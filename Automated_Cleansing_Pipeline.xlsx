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me\OneDrive\Desktop\EXCEL_PORTFOLIO_PROJECTS\"/>
    </mc:Choice>
  </mc:AlternateContent>
  <xr:revisionPtr revIDLastSave="0" documentId="13_ncr:10000001_{E4962BE4-AF15-42FE-B699-51912451F2C6}" xr6:coauthVersionLast="47" xr6:coauthVersionMax="47" xr10:uidLastSave="{00000000-0000-0000-0000-000000000000}"/>
  <bookViews>
    <workbookView xWindow="-120" yWindow="-120" windowWidth="29040" windowHeight="15720" tabRatio="395" activeTab="1" xr2:uid="{A82B7E90-8B51-4743-80B6-C5BF7CC7FEDB}"/>
  </bookViews>
  <sheets>
    <sheet name="RAW_DATA" sheetId="6" r:id="rId1"/>
    <sheet name="Formula_Cleansing" sheetId="1" r:id="rId2"/>
    <sheet name="PQ_Cleansing" sheetId="2" r:id="rId3"/>
  </sheets>
  <definedNames>
    <definedName name="ExternalData_1" localSheetId="2" hidden="1">PQ_Cleansing!$A$1:$N$1021</definedName>
    <definedName name="ExternalData_1" localSheetId="0" hidden="1">RAW_DATA!$A$1:$L$1021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G2" i="1"/>
  <c r="E2" i="1"/>
  <c r="F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  <c r="B491" i="1"/>
  <c r="C491" i="1"/>
  <c r="D491" i="1"/>
  <c r="E491" i="1"/>
  <c r="B492" i="1"/>
  <c r="C492" i="1"/>
  <c r="D492" i="1"/>
  <c r="E492" i="1"/>
  <c r="B493" i="1"/>
  <c r="C493" i="1"/>
  <c r="D493" i="1"/>
  <c r="E493" i="1"/>
  <c r="B494" i="1"/>
  <c r="C494" i="1"/>
  <c r="D494" i="1"/>
  <c r="E494" i="1"/>
  <c r="B495" i="1"/>
  <c r="C495" i="1"/>
  <c r="D495" i="1"/>
  <c r="E495" i="1"/>
  <c r="B496" i="1"/>
  <c r="C496" i="1"/>
  <c r="D496" i="1"/>
  <c r="E496" i="1"/>
  <c r="B497" i="1"/>
  <c r="C497" i="1"/>
  <c r="D497" i="1"/>
  <c r="E497" i="1"/>
  <c r="B498" i="1"/>
  <c r="C498" i="1"/>
  <c r="D498" i="1"/>
  <c r="E498" i="1"/>
  <c r="B499" i="1"/>
  <c r="C499" i="1"/>
  <c r="D499" i="1"/>
  <c r="E499" i="1"/>
  <c r="B500" i="1"/>
  <c r="C500" i="1"/>
  <c r="D500" i="1"/>
  <c r="E500" i="1"/>
  <c r="B501" i="1"/>
  <c r="C501" i="1"/>
  <c r="D501" i="1"/>
  <c r="E501" i="1"/>
  <c r="B502" i="1"/>
  <c r="C502" i="1"/>
  <c r="D502" i="1"/>
  <c r="E502" i="1"/>
  <c r="B503" i="1"/>
  <c r="C503" i="1"/>
  <c r="D503" i="1"/>
  <c r="E503" i="1"/>
  <c r="B504" i="1"/>
  <c r="C504" i="1"/>
  <c r="D504" i="1"/>
  <c r="E504" i="1"/>
  <c r="B505" i="1"/>
  <c r="C505" i="1"/>
  <c r="D505" i="1"/>
  <c r="E505" i="1"/>
  <c r="B506" i="1"/>
  <c r="C506" i="1"/>
  <c r="D506" i="1"/>
  <c r="E506" i="1"/>
  <c r="B507" i="1"/>
  <c r="C507" i="1"/>
  <c r="D507" i="1"/>
  <c r="E507" i="1"/>
  <c r="B508" i="1"/>
  <c r="C508" i="1"/>
  <c r="D508" i="1"/>
  <c r="E508" i="1"/>
  <c r="B509" i="1"/>
  <c r="C509" i="1"/>
  <c r="D509" i="1"/>
  <c r="E509" i="1"/>
  <c r="B510" i="1"/>
  <c r="C510" i="1"/>
  <c r="D510" i="1"/>
  <c r="E510" i="1"/>
  <c r="B511" i="1"/>
  <c r="C511" i="1"/>
  <c r="D511" i="1"/>
  <c r="E511" i="1"/>
  <c r="B512" i="1"/>
  <c r="C512" i="1"/>
  <c r="D512" i="1"/>
  <c r="E512" i="1"/>
  <c r="B513" i="1"/>
  <c r="C513" i="1"/>
  <c r="D513" i="1"/>
  <c r="E513" i="1"/>
  <c r="B514" i="1"/>
  <c r="C514" i="1"/>
  <c r="D514" i="1"/>
  <c r="E514" i="1"/>
  <c r="B515" i="1"/>
  <c r="C515" i="1"/>
  <c r="D515" i="1"/>
  <c r="E515" i="1"/>
  <c r="B516" i="1"/>
  <c r="C516" i="1"/>
  <c r="D516" i="1"/>
  <c r="E516" i="1"/>
  <c r="B517" i="1"/>
  <c r="C517" i="1"/>
  <c r="D517" i="1"/>
  <c r="E517" i="1"/>
  <c r="B518" i="1"/>
  <c r="C518" i="1"/>
  <c r="D518" i="1"/>
  <c r="E518" i="1"/>
  <c r="B519" i="1"/>
  <c r="C519" i="1"/>
  <c r="D519" i="1"/>
  <c r="E519" i="1"/>
  <c r="B520" i="1"/>
  <c r="C520" i="1"/>
  <c r="D520" i="1"/>
  <c r="E520" i="1"/>
  <c r="B521" i="1"/>
  <c r="C521" i="1"/>
  <c r="D521" i="1"/>
  <c r="E521" i="1"/>
  <c r="B522" i="1"/>
  <c r="C522" i="1"/>
  <c r="D522" i="1"/>
  <c r="E522" i="1"/>
  <c r="B523" i="1"/>
  <c r="C523" i="1"/>
  <c r="D523" i="1"/>
  <c r="E523" i="1"/>
  <c r="B524" i="1"/>
  <c r="C524" i="1"/>
  <c r="D524" i="1"/>
  <c r="E524" i="1"/>
  <c r="B525" i="1"/>
  <c r="C525" i="1"/>
  <c r="D525" i="1"/>
  <c r="E525" i="1"/>
  <c r="B526" i="1"/>
  <c r="C526" i="1"/>
  <c r="D526" i="1"/>
  <c r="E526" i="1"/>
  <c r="B527" i="1"/>
  <c r="C527" i="1"/>
  <c r="D527" i="1"/>
  <c r="E527" i="1"/>
  <c r="B528" i="1"/>
  <c r="C528" i="1"/>
  <c r="D528" i="1"/>
  <c r="E528" i="1"/>
  <c r="B529" i="1"/>
  <c r="C529" i="1"/>
  <c r="D529" i="1"/>
  <c r="E529" i="1"/>
  <c r="B530" i="1"/>
  <c r="C530" i="1"/>
  <c r="D530" i="1"/>
  <c r="E530" i="1"/>
  <c r="B531" i="1"/>
  <c r="C531" i="1"/>
  <c r="D531" i="1"/>
  <c r="E531" i="1"/>
  <c r="B532" i="1"/>
  <c r="C532" i="1"/>
  <c r="D532" i="1"/>
  <c r="E532" i="1"/>
  <c r="B533" i="1"/>
  <c r="C533" i="1"/>
  <c r="D533" i="1"/>
  <c r="E533" i="1"/>
  <c r="B534" i="1"/>
  <c r="C534" i="1"/>
  <c r="D534" i="1"/>
  <c r="E534" i="1"/>
  <c r="B535" i="1"/>
  <c r="C535" i="1"/>
  <c r="D535" i="1"/>
  <c r="E535" i="1"/>
  <c r="B536" i="1"/>
  <c r="C536" i="1"/>
  <c r="D536" i="1"/>
  <c r="E536" i="1"/>
  <c r="B537" i="1"/>
  <c r="C537" i="1"/>
  <c r="D537" i="1"/>
  <c r="E537" i="1"/>
  <c r="B538" i="1"/>
  <c r="C538" i="1"/>
  <c r="D538" i="1"/>
  <c r="E538" i="1"/>
  <c r="B539" i="1"/>
  <c r="C539" i="1"/>
  <c r="D539" i="1"/>
  <c r="E539" i="1"/>
  <c r="B540" i="1"/>
  <c r="C540" i="1"/>
  <c r="D540" i="1"/>
  <c r="E540" i="1"/>
  <c r="B541" i="1"/>
  <c r="C541" i="1"/>
  <c r="D541" i="1"/>
  <c r="E541" i="1"/>
  <c r="B542" i="1"/>
  <c r="C542" i="1"/>
  <c r="D542" i="1"/>
  <c r="E542" i="1"/>
  <c r="B543" i="1"/>
  <c r="C543" i="1"/>
  <c r="D543" i="1"/>
  <c r="E543" i="1"/>
  <c r="B544" i="1"/>
  <c r="C544" i="1"/>
  <c r="D544" i="1"/>
  <c r="E544" i="1"/>
  <c r="B545" i="1"/>
  <c r="C545" i="1"/>
  <c r="D545" i="1"/>
  <c r="E545" i="1"/>
  <c r="B546" i="1"/>
  <c r="C546" i="1"/>
  <c r="D546" i="1"/>
  <c r="E546" i="1"/>
  <c r="B547" i="1"/>
  <c r="C547" i="1"/>
  <c r="D547" i="1"/>
  <c r="E547" i="1"/>
  <c r="B548" i="1"/>
  <c r="C548" i="1"/>
  <c r="D548" i="1"/>
  <c r="E548" i="1"/>
  <c r="B549" i="1"/>
  <c r="C549" i="1"/>
  <c r="D549" i="1"/>
  <c r="E549" i="1"/>
  <c r="B550" i="1"/>
  <c r="C550" i="1"/>
  <c r="D550" i="1"/>
  <c r="E550" i="1"/>
  <c r="B551" i="1"/>
  <c r="C551" i="1"/>
  <c r="D551" i="1"/>
  <c r="E551" i="1"/>
  <c r="B552" i="1"/>
  <c r="C552" i="1"/>
  <c r="D552" i="1"/>
  <c r="E552" i="1"/>
  <c r="B553" i="1"/>
  <c r="C553" i="1"/>
  <c r="D553" i="1"/>
  <c r="E553" i="1"/>
  <c r="B554" i="1"/>
  <c r="C554" i="1"/>
  <c r="D554" i="1"/>
  <c r="E554" i="1"/>
  <c r="B555" i="1"/>
  <c r="C555" i="1"/>
  <c r="D555" i="1"/>
  <c r="E555" i="1"/>
  <c r="B556" i="1"/>
  <c r="C556" i="1"/>
  <c r="D556" i="1"/>
  <c r="E556" i="1"/>
  <c r="B557" i="1"/>
  <c r="C557" i="1"/>
  <c r="D557" i="1"/>
  <c r="E557" i="1"/>
  <c r="B558" i="1"/>
  <c r="C558" i="1"/>
  <c r="D558" i="1"/>
  <c r="E558" i="1"/>
  <c r="B559" i="1"/>
  <c r="C559" i="1"/>
  <c r="D559" i="1"/>
  <c r="E559" i="1"/>
  <c r="B560" i="1"/>
  <c r="C560" i="1"/>
  <c r="D560" i="1"/>
  <c r="E560" i="1"/>
  <c r="B561" i="1"/>
  <c r="C561" i="1"/>
  <c r="D561" i="1"/>
  <c r="E561" i="1"/>
  <c r="B562" i="1"/>
  <c r="C562" i="1"/>
  <c r="D562" i="1"/>
  <c r="E562" i="1"/>
  <c r="B563" i="1"/>
  <c r="C563" i="1"/>
  <c r="D563" i="1"/>
  <c r="E563" i="1"/>
  <c r="B564" i="1"/>
  <c r="C564" i="1"/>
  <c r="D564" i="1"/>
  <c r="E564" i="1"/>
  <c r="B565" i="1"/>
  <c r="C565" i="1"/>
  <c r="D565" i="1"/>
  <c r="E565" i="1"/>
  <c r="B566" i="1"/>
  <c r="C566" i="1"/>
  <c r="D566" i="1"/>
  <c r="E566" i="1"/>
  <c r="B567" i="1"/>
  <c r="C567" i="1"/>
  <c r="D567" i="1"/>
  <c r="E567" i="1"/>
  <c r="B568" i="1"/>
  <c r="C568" i="1"/>
  <c r="D568" i="1"/>
  <c r="E568" i="1"/>
  <c r="B569" i="1"/>
  <c r="C569" i="1"/>
  <c r="D569" i="1"/>
  <c r="E569" i="1"/>
  <c r="B570" i="1"/>
  <c r="C570" i="1"/>
  <c r="D570" i="1"/>
  <c r="E570" i="1"/>
  <c r="B571" i="1"/>
  <c r="C571" i="1"/>
  <c r="D571" i="1"/>
  <c r="E571" i="1"/>
  <c r="B572" i="1"/>
  <c r="C572" i="1"/>
  <c r="D572" i="1"/>
  <c r="E572" i="1"/>
  <c r="B573" i="1"/>
  <c r="C573" i="1"/>
  <c r="D573" i="1"/>
  <c r="E573" i="1"/>
  <c r="B574" i="1"/>
  <c r="C574" i="1"/>
  <c r="D574" i="1"/>
  <c r="E574" i="1"/>
  <c r="B575" i="1"/>
  <c r="C575" i="1"/>
  <c r="D575" i="1"/>
  <c r="E575" i="1"/>
  <c r="B576" i="1"/>
  <c r="C576" i="1"/>
  <c r="D576" i="1"/>
  <c r="E576" i="1"/>
  <c r="B577" i="1"/>
  <c r="C577" i="1"/>
  <c r="D577" i="1"/>
  <c r="E577" i="1"/>
  <c r="B578" i="1"/>
  <c r="C578" i="1"/>
  <c r="D578" i="1"/>
  <c r="E578" i="1"/>
  <c r="B579" i="1"/>
  <c r="C579" i="1"/>
  <c r="D579" i="1"/>
  <c r="E579" i="1"/>
  <c r="B580" i="1"/>
  <c r="C580" i="1"/>
  <c r="D580" i="1"/>
  <c r="E580" i="1"/>
  <c r="B581" i="1"/>
  <c r="C581" i="1"/>
  <c r="D581" i="1"/>
  <c r="E581" i="1"/>
  <c r="B582" i="1"/>
  <c r="C582" i="1"/>
  <c r="D582" i="1"/>
  <c r="E582" i="1"/>
  <c r="B583" i="1"/>
  <c r="C583" i="1"/>
  <c r="D583" i="1"/>
  <c r="E583" i="1"/>
  <c r="B584" i="1"/>
  <c r="C584" i="1"/>
  <c r="D584" i="1"/>
  <c r="E584" i="1"/>
  <c r="B585" i="1"/>
  <c r="C585" i="1"/>
  <c r="D585" i="1"/>
  <c r="E585" i="1"/>
  <c r="B586" i="1"/>
  <c r="C586" i="1"/>
  <c r="D586" i="1"/>
  <c r="E586" i="1"/>
  <c r="B587" i="1"/>
  <c r="C587" i="1"/>
  <c r="D587" i="1"/>
  <c r="E587" i="1"/>
  <c r="B588" i="1"/>
  <c r="C588" i="1"/>
  <c r="D588" i="1"/>
  <c r="E588" i="1"/>
  <c r="B589" i="1"/>
  <c r="C589" i="1"/>
  <c r="D589" i="1"/>
  <c r="E589" i="1"/>
  <c r="B590" i="1"/>
  <c r="C590" i="1"/>
  <c r="D590" i="1"/>
  <c r="E590" i="1"/>
  <c r="B591" i="1"/>
  <c r="C591" i="1"/>
  <c r="D591" i="1"/>
  <c r="E591" i="1"/>
  <c r="B592" i="1"/>
  <c r="C592" i="1"/>
  <c r="D592" i="1"/>
  <c r="E592" i="1"/>
  <c r="B593" i="1"/>
  <c r="C593" i="1"/>
  <c r="D593" i="1"/>
  <c r="E593" i="1"/>
  <c r="B594" i="1"/>
  <c r="C594" i="1"/>
  <c r="D594" i="1"/>
  <c r="E594" i="1"/>
  <c r="B595" i="1"/>
  <c r="C595" i="1"/>
  <c r="D595" i="1"/>
  <c r="E595" i="1"/>
  <c r="B596" i="1"/>
  <c r="C596" i="1"/>
  <c r="D596" i="1"/>
  <c r="E596" i="1"/>
  <c r="B597" i="1"/>
  <c r="C597" i="1"/>
  <c r="D597" i="1"/>
  <c r="E597" i="1"/>
  <c r="B598" i="1"/>
  <c r="C598" i="1"/>
  <c r="D598" i="1"/>
  <c r="E598" i="1"/>
  <c r="B599" i="1"/>
  <c r="C599" i="1"/>
  <c r="D599" i="1"/>
  <c r="E599" i="1"/>
  <c r="B600" i="1"/>
  <c r="C600" i="1"/>
  <c r="D600" i="1"/>
  <c r="E600" i="1"/>
  <c r="B601" i="1"/>
  <c r="C601" i="1"/>
  <c r="D601" i="1"/>
  <c r="E601" i="1"/>
  <c r="B602" i="1"/>
  <c r="C602" i="1"/>
  <c r="D602" i="1"/>
  <c r="E602" i="1"/>
  <c r="B603" i="1"/>
  <c r="C603" i="1"/>
  <c r="D603" i="1"/>
  <c r="E603" i="1"/>
  <c r="B604" i="1"/>
  <c r="C604" i="1"/>
  <c r="D604" i="1"/>
  <c r="E604" i="1"/>
  <c r="B605" i="1"/>
  <c r="C605" i="1"/>
  <c r="D605" i="1"/>
  <c r="E605" i="1"/>
  <c r="B606" i="1"/>
  <c r="C606" i="1"/>
  <c r="D606" i="1"/>
  <c r="E606" i="1"/>
  <c r="B607" i="1"/>
  <c r="C607" i="1"/>
  <c r="D607" i="1"/>
  <c r="E607" i="1"/>
  <c r="B608" i="1"/>
  <c r="C608" i="1"/>
  <c r="D608" i="1"/>
  <c r="E608" i="1"/>
  <c r="B609" i="1"/>
  <c r="C609" i="1"/>
  <c r="D609" i="1"/>
  <c r="E609" i="1"/>
  <c r="B610" i="1"/>
  <c r="C610" i="1"/>
  <c r="D610" i="1"/>
  <c r="E610" i="1"/>
  <c r="B611" i="1"/>
  <c r="C611" i="1"/>
  <c r="D611" i="1"/>
  <c r="E611" i="1"/>
  <c r="B612" i="1"/>
  <c r="C612" i="1"/>
  <c r="D612" i="1"/>
  <c r="E612" i="1"/>
  <c r="B613" i="1"/>
  <c r="C613" i="1"/>
  <c r="D613" i="1"/>
  <c r="E613" i="1"/>
  <c r="B614" i="1"/>
  <c r="C614" i="1"/>
  <c r="D614" i="1"/>
  <c r="E614" i="1"/>
  <c r="B615" i="1"/>
  <c r="C615" i="1"/>
  <c r="D615" i="1"/>
  <c r="E615" i="1"/>
  <c r="B616" i="1"/>
  <c r="C616" i="1"/>
  <c r="D616" i="1"/>
  <c r="E616" i="1"/>
  <c r="B617" i="1"/>
  <c r="C617" i="1"/>
  <c r="D617" i="1"/>
  <c r="E617" i="1"/>
  <c r="B618" i="1"/>
  <c r="C618" i="1"/>
  <c r="D618" i="1"/>
  <c r="E618" i="1"/>
  <c r="B619" i="1"/>
  <c r="C619" i="1"/>
  <c r="D619" i="1"/>
  <c r="E619" i="1"/>
  <c r="B620" i="1"/>
  <c r="C620" i="1"/>
  <c r="D620" i="1"/>
  <c r="E620" i="1"/>
  <c r="B621" i="1"/>
  <c r="C621" i="1"/>
  <c r="D621" i="1"/>
  <c r="E621" i="1"/>
  <c r="B622" i="1"/>
  <c r="C622" i="1"/>
  <c r="D622" i="1"/>
  <c r="E622" i="1"/>
  <c r="B623" i="1"/>
  <c r="C623" i="1"/>
  <c r="D623" i="1"/>
  <c r="E623" i="1"/>
  <c r="B624" i="1"/>
  <c r="C624" i="1"/>
  <c r="D624" i="1"/>
  <c r="E624" i="1"/>
  <c r="B625" i="1"/>
  <c r="C625" i="1"/>
  <c r="D625" i="1"/>
  <c r="E625" i="1"/>
  <c r="B626" i="1"/>
  <c r="C626" i="1"/>
  <c r="D626" i="1"/>
  <c r="E626" i="1"/>
  <c r="B627" i="1"/>
  <c r="C627" i="1"/>
  <c r="D627" i="1"/>
  <c r="E627" i="1"/>
  <c r="B628" i="1"/>
  <c r="C628" i="1"/>
  <c r="D628" i="1"/>
  <c r="E628" i="1"/>
  <c r="B629" i="1"/>
  <c r="C629" i="1"/>
  <c r="D629" i="1"/>
  <c r="E629" i="1"/>
  <c r="B630" i="1"/>
  <c r="C630" i="1"/>
  <c r="D630" i="1"/>
  <c r="E630" i="1"/>
  <c r="B631" i="1"/>
  <c r="C631" i="1"/>
  <c r="D631" i="1"/>
  <c r="E631" i="1"/>
  <c r="B632" i="1"/>
  <c r="C632" i="1"/>
  <c r="D632" i="1"/>
  <c r="E632" i="1"/>
  <c r="B633" i="1"/>
  <c r="C633" i="1"/>
  <c r="D633" i="1"/>
  <c r="E633" i="1"/>
  <c r="B634" i="1"/>
  <c r="C634" i="1"/>
  <c r="D634" i="1"/>
  <c r="E634" i="1"/>
  <c r="B635" i="1"/>
  <c r="C635" i="1"/>
  <c r="D635" i="1"/>
  <c r="E635" i="1"/>
  <c r="B636" i="1"/>
  <c r="C636" i="1"/>
  <c r="D636" i="1"/>
  <c r="E636" i="1"/>
  <c r="B637" i="1"/>
  <c r="C637" i="1"/>
  <c r="D637" i="1"/>
  <c r="E637" i="1"/>
  <c r="B638" i="1"/>
  <c r="C638" i="1"/>
  <c r="D638" i="1"/>
  <c r="E638" i="1"/>
  <c r="B639" i="1"/>
  <c r="C639" i="1"/>
  <c r="D639" i="1"/>
  <c r="E639" i="1"/>
  <c r="B640" i="1"/>
  <c r="C640" i="1"/>
  <c r="D640" i="1"/>
  <c r="E640" i="1"/>
  <c r="B641" i="1"/>
  <c r="C641" i="1"/>
  <c r="D641" i="1"/>
  <c r="E641" i="1"/>
  <c r="B642" i="1"/>
  <c r="C642" i="1"/>
  <c r="D642" i="1"/>
  <c r="E642" i="1"/>
  <c r="B643" i="1"/>
  <c r="C643" i="1"/>
  <c r="D643" i="1"/>
  <c r="E643" i="1"/>
  <c r="B644" i="1"/>
  <c r="C644" i="1"/>
  <c r="D644" i="1"/>
  <c r="E644" i="1"/>
  <c r="B645" i="1"/>
  <c r="C645" i="1"/>
  <c r="D645" i="1"/>
  <c r="E645" i="1"/>
  <c r="B646" i="1"/>
  <c r="C646" i="1"/>
  <c r="D646" i="1"/>
  <c r="E646" i="1"/>
  <c r="B647" i="1"/>
  <c r="C647" i="1"/>
  <c r="D647" i="1"/>
  <c r="E647" i="1"/>
  <c r="B648" i="1"/>
  <c r="C648" i="1"/>
  <c r="D648" i="1"/>
  <c r="E648" i="1"/>
  <c r="B649" i="1"/>
  <c r="C649" i="1"/>
  <c r="D649" i="1"/>
  <c r="E649" i="1"/>
  <c r="B650" i="1"/>
  <c r="C650" i="1"/>
  <c r="D650" i="1"/>
  <c r="E650" i="1"/>
  <c r="B651" i="1"/>
  <c r="C651" i="1"/>
  <c r="D651" i="1"/>
  <c r="E651" i="1"/>
  <c r="B652" i="1"/>
  <c r="C652" i="1"/>
  <c r="D652" i="1"/>
  <c r="E652" i="1"/>
  <c r="B653" i="1"/>
  <c r="C653" i="1"/>
  <c r="D653" i="1"/>
  <c r="E653" i="1"/>
  <c r="B654" i="1"/>
  <c r="C654" i="1"/>
  <c r="D654" i="1"/>
  <c r="E654" i="1"/>
  <c r="B655" i="1"/>
  <c r="C655" i="1"/>
  <c r="D655" i="1"/>
  <c r="E655" i="1"/>
  <c r="B656" i="1"/>
  <c r="C656" i="1"/>
  <c r="D656" i="1"/>
  <c r="E656" i="1"/>
  <c r="B657" i="1"/>
  <c r="C657" i="1"/>
  <c r="D657" i="1"/>
  <c r="E657" i="1"/>
  <c r="B658" i="1"/>
  <c r="C658" i="1"/>
  <c r="D658" i="1"/>
  <c r="E658" i="1"/>
  <c r="B659" i="1"/>
  <c r="C659" i="1"/>
  <c r="D659" i="1"/>
  <c r="E659" i="1"/>
  <c r="B660" i="1"/>
  <c r="C660" i="1"/>
  <c r="D660" i="1"/>
  <c r="E660" i="1"/>
  <c r="B661" i="1"/>
  <c r="C661" i="1"/>
  <c r="D661" i="1"/>
  <c r="E661" i="1"/>
  <c r="B662" i="1"/>
  <c r="C662" i="1"/>
  <c r="D662" i="1"/>
  <c r="E662" i="1"/>
  <c r="B663" i="1"/>
  <c r="C663" i="1"/>
  <c r="D663" i="1"/>
  <c r="E663" i="1"/>
  <c r="B664" i="1"/>
  <c r="C664" i="1"/>
  <c r="D664" i="1"/>
  <c r="E664" i="1"/>
  <c r="B665" i="1"/>
  <c r="C665" i="1"/>
  <c r="D665" i="1"/>
  <c r="E665" i="1"/>
  <c r="B666" i="1"/>
  <c r="C666" i="1"/>
  <c r="D666" i="1"/>
  <c r="E666" i="1"/>
  <c r="B667" i="1"/>
  <c r="C667" i="1"/>
  <c r="D667" i="1"/>
  <c r="E667" i="1"/>
  <c r="B668" i="1"/>
  <c r="C668" i="1"/>
  <c r="D668" i="1"/>
  <c r="E668" i="1"/>
  <c r="B669" i="1"/>
  <c r="C669" i="1"/>
  <c r="D669" i="1"/>
  <c r="E669" i="1"/>
  <c r="B670" i="1"/>
  <c r="C670" i="1"/>
  <c r="D670" i="1"/>
  <c r="E670" i="1"/>
  <c r="B671" i="1"/>
  <c r="C671" i="1"/>
  <c r="D671" i="1"/>
  <c r="E671" i="1"/>
  <c r="B672" i="1"/>
  <c r="C672" i="1"/>
  <c r="D672" i="1"/>
  <c r="E672" i="1"/>
  <c r="B673" i="1"/>
  <c r="C673" i="1"/>
  <c r="D673" i="1"/>
  <c r="E673" i="1"/>
  <c r="B674" i="1"/>
  <c r="C674" i="1"/>
  <c r="D674" i="1"/>
  <c r="E674" i="1"/>
  <c r="B675" i="1"/>
  <c r="C675" i="1"/>
  <c r="D675" i="1"/>
  <c r="E675" i="1"/>
  <c r="B676" i="1"/>
  <c r="C676" i="1"/>
  <c r="D676" i="1"/>
  <c r="E676" i="1"/>
  <c r="B677" i="1"/>
  <c r="C677" i="1"/>
  <c r="D677" i="1"/>
  <c r="E677" i="1"/>
  <c r="B678" i="1"/>
  <c r="C678" i="1"/>
  <c r="D678" i="1"/>
  <c r="E678" i="1"/>
  <c r="B679" i="1"/>
  <c r="C679" i="1"/>
  <c r="D679" i="1"/>
  <c r="E679" i="1"/>
  <c r="B680" i="1"/>
  <c r="C680" i="1"/>
  <c r="D680" i="1"/>
  <c r="E680" i="1"/>
  <c r="B681" i="1"/>
  <c r="C681" i="1"/>
  <c r="D681" i="1"/>
  <c r="E681" i="1"/>
  <c r="B682" i="1"/>
  <c r="C682" i="1"/>
  <c r="D682" i="1"/>
  <c r="E682" i="1"/>
  <c r="B683" i="1"/>
  <c r="C683" i="1"/>
  <c r="D683" i="1"/>
  <c r="E683" i="1"/>
  <c r="B684" i="1"/>
  <c r="C684" i="1"/>
  <c r="D684" i="1"/>
  <c r="E684" i="1"/>
  <c r="B685" i="1"/>
  <c r="C685" i="1"/>
  <c r="D685" i="1"/>
  <c r="E685" i="1"/>
  <c r="B686" i="1"/>
  <c r="C686" i="1"/>
  <c r="D686" i="1"/>
  <c r="E686" i="1"/>
  <c r="B687" i="1"/>
  <c r="C687" i="1"/>
  <c r="D687" i="1"/>
  <c r="E687" i="1"/>
  <c r="B688" i="1"/>
  <c r="C688" i="1"/>
  <c r="D688" i="1"/>
  <c r="E688" i="1"/>
  <c r="B689" i="1"/>
  <c r="C689" i="1"/>
  <c r="D689" i="1"/>
  <c r="E689" i="1"/>
  <c r="B690" i="1"/>
  <c r="C690" i="1"/>
  <c r="D690" i="1"/>
  <c r="E690" i="1"/>
  <c r="B691" i="1"/>
  <c r="C691" i="1"/>
  <c r="D691" i="1"/>
  <c r="E691" i="1"/>
  <c r="B692" i="1"/>
  <c r="C692" i="1"/>
  <c r="D692" i="1"/>
  <c r="E692" i="1"/>
  <c r="B693" i="1"/>
  <c r="C693" i="1"/>
  <c r="D693" i="1"/>
  <c r="E693" i="1"/>
  <c r="B694" i="1"/>
  <c r="C694" i="1"/>
  <c r="D694" i="1"/>
  <c r="E694" i="1"/>
  <c r="B695" i="1"/>
  <c r="C695" i="1"/>
  <c r="D695" i="1"/>
  <c r="E695" i="1"/>
  <c r="B696" i="1"/>
  <c r="C696" i="1"/>
  <c r="D696" i="1"/>
  <c r="E696" i="1"/>
  <c r="B697" i="1"/>
  <c r="C697" i="1"/>
  <c r="D697" i="1"/>
  <c r="E697" i="1"/>
  <c r="B698" i="1"/>
  <c r="C698" i="1"/>
  <c r="D698" i="1"/>
  <c r="E698" i="1"/>
  <c r="B699" i="1"/>
  <c r="C699" i="1"/>
  <c r="D699" i="1"/>
  <c r="E699" i="1"/>
  <c r="B700" i="1"/>
  <c r="C700" i="1"/>
  <c r="D700" i="1"/>
  <c r="E700" i="1"/>
  <c r="B701" i="1"/>
  <c r="C701" i="1"/>
  <c r="D701" i="1"/>
  <c r="E701" i="1"/>
  <c r="B702" i="1"/>
  <c r="C702" i="1"/>
  <c r="D702" i="1"/>
  <c r="E702" i="1"/>
  <c r="B703" i="1"/>
  <c r="C703" i="1"/>
  <c r="D703" i="1"/>
  <c r="E703" i="1"/>
  <c r="B704" i="1"/>
  <c r="C704" i="1"/>
  <c r="D704" i="1"/>
  <c r="E704" i="1"/>
  <c r="B705" i="1"/>
  <c r="C705" i="1"/>
  <c r="D705" i="1"/>
  <c r="E705" i="1"/>
  <c r="B706" i="1"/>
  <c r="C706" i="1"/>
  <c r="D706" i="1"/>
  <c r="E706" i="1"/>
  <c r="B707" i="1"/>
  <c r="C707" i="1"/>
  <c r="D707" i="1"/>
  <c r="E707" i="1"/>
  <c r="B708" i="1"/>
  <c r="C708" i="1"/>
  <c r="D708" i="1"/>
  <c r="E708" i="1"/>
  <c r="B709" i="1"/>
  <c r="C709" i="1"/>
  <c r="D709" i="1"/>
  <c r="E709" i="1"/>
  <c r="B710" i="1"/>
  <c r="C710" i="1"/>
  <c r="D710" i="1"/>
  <c r="E710" i="1"/>
  <c r="B711" i="1"/>
  <c r="C711" i="1"/>
  <c r="D711" i="1"/>
  <c r="E711" i="1"/>
  <c r="B712" i="1"/>
  <c r="C712" i="1"/>
  <c r="D712" i="1"/>
  <c r="E712" i="1"/>
  <c r="B713" i="1"/>
  <c r="C713" i="1"/>
  <c r="D713" i="1"/>
  <c r="E713" i="1"/>
  <c r="B714" i="1"/>
  <c r="C714" i="1"/>
  <c r="D714" i="1"/>
  <c r="E714" i="1"/>
  <c r="B715" i="1"/>
  <c r="C715" i="1"/>
  <c r="D715" i="1"/>
  <c r="E715" i="1"/>
  <c r="B716" i="1"/>
  <c r="C716" i="1"/>
  <c r="D716" i="1"/>
  <c r="E716" i="1"/>
  <c r="B717" i="1"/>
  <c r="C717" i="1"/>
  <c r="D717" i="1"/>
  <c r="E717" i="1"/>
  <c r="B718" i="1"/>
  <c r="C718" i="1"/>
  <c r="D718" i="1"/>
  <c r="E718" i="1"/>
  <c r="B719" i="1"/>
  <c r="C719" i="1"/>
  <c r="D719" i="1"/>
  <c r="E719" i="1"/>
  <c r="B720" i="1"/>
  <c r="C720" i="1"/>
  <c r="D720" i="1"/>
  <c r="E720" i="1"/>
  <c r="B721" i="1"/>
  <c r="C721" i="1"/>
  <c r="D721" i="1"/>
  <c r="E721" i="1"/>
  <c r="B722" i="1"/>
  <c r="C722" i="1"/>
  <c r="D722" i="1"/>
  <c r="E722" i="1"/>
  <c r="B723" i="1"/>
  <c r="C723" i="1"/>
  <c r="D723" i="1"/>
  <c r="E723" i="1"/>
  <c r="B724" i="1"/>
  <c r="C724" i="1"/>
  <c r="D724" i="1"/>
  <c r="E724" i="1"/>
  <c r="B725" i="1"/>
  <c r="C725" i="1"/>
  <c r="D725" i="1"/>
  <c r="E725" i="1"/>
  <c r="B726" i="1"/>
  <c r="C726" i="1"/>
  <c r="D726" i="1"/>
  <c r="E726" i="1"/>
  <c r="B727" i="1"/>
  <c r="C727" i="1"/>
  <c r="D727" i="1"/>
  <c r="E727" i="1"/>
  <c r="B728" i="1"/>
  <c r="C728" i="1"/>
  <c r="D728" i="1"/>
  <c r="E728" i="1"/>
  <c r="B729" i="1"/>
  <c r="C729" i="1"/>
  <c r="D729" i="1"/>
  <c r="E729" i="1"/>
  <c r="B730" i="1"/>
  <c r="C730" i="1"/>
  <c r="D730" i="1"/>
  <c r="E730" i="1"/>
  <c r="B731" i="1"/>
  <c r="C731" i="1"/>
  <c r="D731" i="1"/>
  <c r="E731" i="1"/>
  <c r="B732" i="1"/>
  <c r="C732" i="1"/>
  <c r="D732" i="1"/>
  <c r="E732" i="1"/>
  <c r="B733" i="1"/>
  <c r="C733" i="1"/>
  <c r="D733" i="1"/>
  <c r="E733" i="1"/>
  <c r="B734" i="1"/>
  <c r="C734" i="1"/>
  <c r="D734" i="1"/>
  <c r="E734" i="1"/>
  <c r="B735" i="1"/>
  <c r="C735" i="1"/>
  <c r="D735" i="1"/>
  <c r="E735" i="1"/>
  <c r="B736" i="1"/>
  <c r="C736" i="1"/>
  <c r="D736" i="1"/>
  <c r="E736" i="1"/>
  <c r="B737" i="1"/>
  <c r="C737" i="1"/>
  <c r="D737" i="1"/>
  <c r="E737" i="1"/>
  <c r="B738" i="1"/>
  <c r="C738" i="1"/>
  <c r="D738" i="1"/>
  <c r="E738" i="1"/>
  <c r="B739" i="1"/>
  <c r="C739" i="1"/>
  <c r="D739" i="1"/>
  <c r="E739" i="1"/>
  <c r="B740" i="1"/>
  <c r="C740" i="1"/>
  <c r="D740" i="1"/>
  <c r="E740" i="1"/>
  <c r="B741" i="1"/>
  <c r="C741" i="1"/>
  <c r="D741" i="1"/>
  <c r="E741" i="1"/>
  <c r="B742" i="1"/>
  <c r="C742" i="1"/>
  <c r="D742" i="1"/>
  <c r="E742" i="1"/>
  <c r="B743" i="1"/>
  <c r="C743" i="1"/>
  <c r="D743" i="1"/>
  <c r="E743" i="1"/>
  <c r="B744" i="1"/>
  <c r="C744" i="1"/>
  <c r="D744" i="1"/>
  <c r="E744" i="1"/>
  <c r="B745" i="1"/>
  <c r="C745" i="1"/>
  <c r="D745" i="1"/>
  <c r="E745" i="1"/>
  <c r="B746" i="1"/>
  <c r="C746" i="1"/>
  <c r="D746" i="1"/>
  <c r="E746" i="1"/>
  <c r="B747" i="1"/>
  <c r="C747" i="1"/>
  <c r="D747" i="1"/>
  <c r="E747" i="1"/>
  <c r="B748" i="1"/>
  <c r="C748" i="1"/>
  <c r="D748" i="1"/>
  <c r="E748" i="1"/>
  <c r="B749" i="1"/>
  <c r="C749" i="1"/>
  <c r="D749" i="1"/>
  <c r="E749" i="1"/>
  <c r="B750" i="1"/>
  <c r="C750" i="1"/>
  <c r="D750" i="1"/>
  <c r="E750" i="1"/>
  <c r="B751" i="1"/>
  <c r="C751" i="1"/>
  <c r="D751" i="1"/>
  <c r="E751" i="1"/>
  <c r="B752" i="1"/>
  <c r="C752" i="1"/>
  <c r="D752" i="1"/>
  <c r="E752" i="1"/>
  <c r="B753" i="1"/>
  <c r="C753" i="1"/>
  <c r="D753" i="1"/>
  <c r="E753" i="1"/>
  <c r="B754" i="1"/>
  <c r="C754" i="1"/>
  <c r="D754" i="1"/>
  <c r="E754" i="1"/>
  <c r="B755" i="1"/>
  <c r="C755" i="1"/>
  <c r="D755" i="1"/>
  <c r="E755" i="1"/>
  <c r="B756" i="1"/>
  <c r="C756" i="1"/>
  <c r="D756" i="1"/>
  <c r="E756" i="1"/>
  <c r="B757" i="1"/>
  <c r="C757" i="1"/>
  <c r="D757" i="1"/>
  <c r="E757" i="1"/>
  <c r="B758" i="1"/>
  <c r="C758" i="1"/>
  <c r="D758" i="1"/>
  <c r="E758" i="1"/>
  <c r="B759" i="1"/>
  <c r="C759" i="1"/>
  <c r="D759" i="1"/>
  <c r="E759" i="1"/>
  <c r="B760" i="1"/>
  <c r="C760" i="1"/>
  <c r="D760" i="1"/>
  <c r="E760" i="1"/>
  <c r="B761" i="1"/>
  <c r="C761" i="1"/>
  <c r="D761" i="1"/>
  <c r="E761" i="1"/>
  <c r="B762" i="1"/>
  <c r="C762" i="1"/>
  <c r="D762" i="1"/>
  <c r="E762" i="1"/>
  <c r="B763" i="1"/>
  <c r="C763" i="1"/>
  <c r="D763" i="1"/>
  <c r="E763" i="1"/>
  <c r="B764" i="1"/>
  <c r="C764" i="1"/>
  <c r="D764" i="1"/>
  <c r="E764" i="1"/>
  <c r="B765" i="1"/>
  <c r="C765" i="1"/>
  <c r="D765" i="1"/>
  <c r="E765" i="1"/>
  <c r="B766" i="1"/>
  <c r="C766" i="1"/>
  <c r="D766" i="1"/>
  <c r="E766" i="1"/>
  <c r="B767" i="1"/>
  <c r="C767" i="1"/>
  <c r="D767" i="1"/>
  <c r="E767" i="1"/>
  <c r="B768" i="1"/>
  <c r="C768" i="1"/>
  <c r="D768" i="1"/>
  <c r="E768" i="1"/>
  <c r="B769" i="1"/>
  <c r="C769" i="1"/>
  <c r="D769" i="1"/>
  <c r="E769" i="1"/>
  <c r="B770" i="1"/>
  <c r="C770" i="1"/>
  <c r="D770" i="1"/>
  <c r="E770" i="1"/>
  <c r="B771" i="1"/>
  <c r="C771" i="1"/>
  <c r="D771" i="1"/>
  <c r="E771" i="1"/>
  <c r="B772" i="1"/>
  <c r="C772" i="1"/>
  <c r="D772" i="1"/>
  <c r="E772" i="1"/>
  <c r="B773" i="1"/>
  <c r="C773" i="1"/>
  <c r="D773" i="1"/>
  <c r="E773" i="1"/>
  <c r="B774" i="1"/>
  <c r="C774" i="1"/>
  <c r="D774" i="1"/>
  <c r="E774" i="1"/>
  <c r="B775" i="1"/>
  <c r="C775" i="1"/>
  <c r="D775" i="1"/>
  <c r="E775" i="1"/>
  <c r="B776" i="1"/>
  <c r="C776" i="1"/>
  <c r="D776" i="1"/>
  <c r="E776" i="1"/>
  <c r="B777" i="1"/>
  <c r="C777" i="1"/>
  <c r="D777" i="1"/>
  <c r="E777" i="1"/>
  <c r="B778" i="1"/>
  <c r="C778" i="1"/>
  <c r="D778" i="1"/>
  <c r="E778" i="1"/>
  <c r="B779" i="1"/>
  <c r="C779" i="1"/>
  <c r="D779" i="1"/>
  <c r="E779" i="1"/>
  <c r="B780" i="1"/>
  <c r="C780" i="1"/>
  <c r="D780" i="1"/>
  <c r="E780" i="1"/>
  <c r="B781" i="1"/>
  <c r="C781" i="1"/>
  <c r="D781" i="1"/>
  <c r="E781" i="1"/>
  <c r="B782" i="1"/>
  <c r="C782" i="1"/>
  <c r="D782" i="1"/>
  <c r="E782" i="1"/>
  <c r="B783" i="1"/>
  <c r="C783" i="1"/>
  <c r="D783" i="1"/>
  <c r="E783" i="1"/>
  <c r="B784" i="1"/>
  <c r="C784" i="1"/>
  <c r="D784" i="1"/>
  <c r="E784" i="1"/>
  <c r="B785" i="1"/>
  <c r="C785" i="1"/>
  <c r="D785" i="1"/>
  <c r="E785" i="1"/>
  <c r="B786" i="1"/>
  <c r="C786" i="1"/>
  <c r="D786" i="1"/>
  <c r="E786" i="1"/>
  <c r="B787" i="1"/>
  <c r="C787" i="1"/>
  <c r="D787" i="1"/>
  <c r="E787" i="1"/>
  <c r="B788" i="1"/>
  <c r="C788" i="1"/>
  <c r="D788" i="1"/>
  <c r="E788" i="1"/>
  <c r="B789" i="1"/>
  <c r="C789" i="1"/>
  <c r="D789" i="1"/>
  <c r="E789" i="1"/>
  <c r="B790" i="1"/>
  <c r="C790" i="1"/>
  <c r="D790" i="1"/>
  <c r="E790" i="1"/>
  <c r="B791" i="1"/>
  <c r="C791" i="1"/>
  <c r="D791" i="1"/>
  <c r="E791" i="1"/>
  <c r="B792" i="1"/>
  <c r="C792" i="1"/>
  <c r="D792" i="1"/>
  <c r="E792" i="1"/>
  <c r="B793" i="1"/>
  <c r="C793" i="1"/>
  <c r="D793" i="1"/>
  <c r="E793" i="1"/>
  <c r="B794" i="1"/>
  <c r="C794" i="1"/>
  <c r="D794" i="1"/>
  <c r="E794" i="1"/>
  <c r="B795" i="1"/>
  <c r="C795" i="1"/>
  <c r="D795" i="1"/>
  <c r="E795" i="1"/>
  <c r="B796" i="1"/>
  <c r="C796" i="1"/>
  <c r="D796" i="1"/>
  <c r="E796" i="1"/>
  <c r="B797" i="1"/>
  <c r="C797" i="1"/>
  <c r="D797" i="1"/>
  <c r="E797" i="1"/>
  <c r="B798" i="1"/>
  <c r="C798" i="1"/>
  <c r="D798" i="1"/>
  <c r="E798" i="1"/>
  <c r="B799" i="1"/>
  <c r="C799" i="1"/>
  <c r="D799" i="1"/>
  <c r="E799" i="1"/>
  <c r="B800" i="1"/>
  <c r="C800" i="1"/>
  <c r="D800" i="1"/>
  <c r="E800" i="1"/>
  <c r="B801" i="1"/>
  <c r="C801" i="1"/>
  <c r="D801" i="1"/>
  <c r="E801" i="1"/>
  <c r="B802" i="1"/>
  <c r="C802" i="1"/>
  <c r="D802" i="1"/>
  <c r="E802" i="1"/>
  <c r="B803" i="1"/>
  <c r="C803" i="1"/>
  <c r="D803" i="1"/>
  <c r="E803" i="1"/>
  <c r="B804" i="1"/>
  <c r="C804" i="1"/>
  <c r="D804" i="1"/>
  <c r="E804" i="1"/>
  <c r="B805" i="1"/>
  <c r="C805" i="1"/>
  <c r="D805" i="1"/>
  <c r="E805" i="1"/>
  <c r="B806" i="1"/>
  <c r="C806" i="1"/>
  <c r="D806" i="1"/>
  <c r="E806" i="1"/>
  <c r="B807" i="1"/>
  <c r="C807" i="1"/>
  <c r="D807" i="1"/>
  <c r="E807" i="1"/>
  <c r="B808" i="1"/>
  <c r="C808" i="1"/>
  <c r="D808" i="1"/>
  <c r="E808" i="1"/>
  <c r="B809" i="1"/>
  <c r="C809" i="1"/>
  <c r="D809" i="1"/>
  <c r="E809" i="1"/>
  <c r="B810" i="1"/>
  <c r="C810" i="1"/>
  <c r="D810" i="1"/>
  <c r="E810" i="1"/>
  <c r="B811" i="1"/>
  <c r="C811" i="1"/>
  <c r="D811" i="1"/>
  <c r="E811" i="1"/>
  <c r="B812" i="1"/>
  <c r="C812" i="1"/>
  <c r="D812" i="1"/>
  <c r="E812" i="1"/>
  <c r="B813" i="1"/>
  <c r="C813" i="1"/>
  <c r="D813" i="1"/>
  <c r="E813" i="1"/>
  <c r="B814" i="1"/>
  <c r="C814" i="1"/>
  <c r="D814" i="1"/>
  <c r="E814" i="1"/>
  <c r="B815" i="1"/>
  <c r="C815" i="1"/>
  <c r="D815" i="1"/>
  <c r="E815" i="1"/>
  <c r="B816" i="1"/>
  <c r="C816" i="1"/>
  <c r="D816" i="1"/>
  <c r="E816" i="1"/>
  <c r="B817" i="1"/>
  <c r="C817" i="1"/>
  <c r="D817" i="1"/>
  <c r="E817" i="1"/>
  <c r="B818" i="1"/>
  <c r="C818" i="1"/>
  <c r="D818" i="1"/>
  <c r="E818" i="1"/>
  <c r="B819" i="1"/>
  <c r="C819" i="1"/>
  <c r="D819" i="1"/>
  <c r="E819" i="1"/>
  <c r="B820" i="1"/>
  <c r="C820" i="1"/>
  <c r="D820" i="1"/>
  <c r="E820" i="1"/>
  <c r="B821" i="1"/>
  <c r="C821" i="1"/>
  <c r="D821" i="1"/>
  <c r="E821" i="1"/>
  <c r="B822" i="1"/>
  <c r="C822" i="1"/>
  <c r="D822" i="1"/>
  <c r="E822" i="1"/>
  <c r="B823" i="1"/>
  <c r="C823" i="1"/>
  <c r="D823" i="1"/>
  <c r="E823" i="1"/>
  <c r="B824" i="1"/>
  <c r="C824" i="1"/>
  <c r="D824" i="1"/>
  <c r="E824" i="1"/>
  <c r="B825" i="1"/>
  <c r="C825" i="1"/>
  <c r="D825" i="1"/>
  <c r="E825" i="1"/>
  <c r="B826" i="1"/>
  <c r="C826" i="1"/>
  <c r="D826" i="1"/>
  <c r="E826" i="1"/>
  <c r="B827" i="1"/>
  <c r="C827" i="1"/>
  <c r="D827" i="1"/>
  <c r="E827" i="1"/>
  <c r="B828" i="1"/>
  <c r="C828" i="1"/>
  <c r="D828" i="1"/>
  <c r="E828" i="1"/>
  <c r="B829" i="1"/>
  <c r="C829" i="1"/>
  <c r="D829" i="1"/>
  <c r="E829" i="1"/>
  <c r="B830" i="1"/>
  <c r="C830" i="1"/>
  <c r="D830" i="1"/>
  <c r="E830" i="1"/>
  <c r="B831" i="1"/>
  <c r="C831" i="1"/>
  <c r="D831" i="1"/>
  <c r="E831" i="1"/>
  <c r="B832" i="1"/>
  <c r="C832" i="1"/>
  <c r="D832" i="1"/>
  <c r="E832" i="1"/>
  <c r="B833" i="1"/>
  <c r="C833" i="1"/>
  <c r="D833" i="1"/>
  <c r="E833" i="1"/>
  <c r="B834" i="1"/>
  <c r="C834" i="1"/>
  <c r="D834" i="1"/>
  <c r="E834" i="1"/>
  <c r="B835" i="1"/>
  <c r="C835" i="1"/>
  <c r="D835" i="1"/>
  <c r="E835" i="1"/>
  <c r="B836" i="1"/>
  <c r="C836" i="1"/>
  <c r="D836" i="1"/>
  <c r="E836" i="1"/>
  <c r="B837" i="1"/>
  <c r="C837" i="1"/>
  <c r="D837" i="1"/>
  <c r="E837" i="1"/>
  <c r="B838" i="1"/>
  <c r="C838" i="1"/>
  <c r="D838" i="1"/>
  <c r="E838" i="1"/>
  <c r="B839" i="1"/>
  <c r="C839" i="1"/>
  <c r="D839" i="1"/>
  <c r="E839" i="1"/>
  <c r="B840" i="1"/>
  <c r="C840" i="1"/>
  <c r="D840" i="1"/>
  <c r="E840" i="1"/>
  <c r="B841" i="1"/>
  <c r="C841" i="1"/>
  <c r="D841" i="1"/>
  <c r="E841" i="1"/>
  <c r="B842" i="1"/>
  <c r="C842" i="1"/>
  <c r="D842" i="1"/>
  <c r="E842" i="1"/>
  <c r="B843" i="1"/>
  <c r="C843" i="1"/>
  <c r="D843" i="1"/>
  <c r="E843" i="1"/>
  <c r="B844" i="1"/>
  <c r="C844" i="1"/>
  <c r="D844" i="1"/>
  <c r="E844" i="1"/>
  <c r="B845" i="1"/>
  <c r="C845" i="1"/>
  <c r="D845" i="1"/>
  <c r="E845" i="1"/>
  <c r="B846" i="1"/>
  <c r="C846" i="1"/>
  <c r="D846" i="1"/>
  <c r="E846" i="1"/>
  <c r="B847" i="1"/>
  <c r="C847" i="1"/>
  <c r="D847" i="1"/>
  <c r="E847" i="1"/>
  <c r="B848" i="1"/>
  <c r="C848" i="1"/>
  <c r="D848" i="1"/>
  <c r="E848" i="1"/>
  <c r="B849" i="1"/>
  <c r="C849" i="1"/>
  <c r="D849" i="1"/>
  <c r="E849" i="1"/>
  <c r="B850" i="1"/>
  <c r="C850" i="1"/>
  <c r="D850" i="1"/>
  <c r="E850" i="1"/>
  <c r="B851" i="1"/>
  <c r="C851" i="1"/>
  <c r="D851" i="1"/>
  <c r="E851" i="1"/>
  <c r="B852" i="1"/>
  <c r="C852" i="1"/>
  <c r="D852" i="1"/>
  <c r="E852" i="1"/>
  <c r="B853" i="1"/>
  <c r="C853" i="1"/>
  <c r="D853" i="1"/>
  <c r="E853" i="1"/>
  <c r="B854" i="1"/>
  <c r="C854" i="1"/>
  <c r="D854" i="1"/>
  <c r="E854" i="1"/>
  <c r="B855" i="1"/>
  <c r="C855" i="1"/>
  <c r="D855" i="1"/>
  <c r="E855" i="1"/>
  <c r="B856" i="1"/>
  <c r="C856" i="1"/>
  <c r="D856" i="1"/>
  <c r="E856" i="1"/>
  <c r="B857" i="1"/>
  <c r="C857" i="1"/>
  <c r="D857" i="1"/>
  <c r="E857" i="1"/>
  <c r="B858" i="1"/>
  <c r="C858" i="1"/>
  <c r="D858" i="1"/>
  <c r="E858" i="1"/>
  <c r="B859" i="1"/>
  <c r="C859" i="1"/>
  <c r="D859" i="1"/>
  <c r="E859" i="1"/>
  <c r="B860" i="1"/>
  <c r="C860" i="1"/>
  <c r="D860" i="1"/>
  <c r="E860" i="1"/>
  <c r="B861" i="1"/>
  <c r="C861" i="1"/>
  <c r="D861" i="1"/>
  <c r="E861" i="1"/>
  <c r="B862" i="1"/>
  <c r="C862" i="1"/>
  <c r="D862" i="1"/>
  <c r="E862" i="1"/>
  <c r="B863" i="1"/>
  <c r="C863" i="1"/>
  <c r="D863" i="1"/>
  <c r="E863" i="1"/>
  <c r="B864" i="1"/>
  <c r="C864" i="1"/>
  <c r="D864" i="1"/>
  <c r="E864" i="1"/>
  <c r="B865" i="1"/>
  <c r="C865" i="1"/>
  <c r="D865" i="1"/>
  <c r="E865" i="1"/>
  <c r="B866" i="1"/>
  <c r="C866" i="1"/>
  <c r="D866" i="1"/>
  <c r="E866" i="1"/>
  <c r="B867" i="1"/>
  <c r="C867" i="1"/>
  <c r="D867" i="1"/>
  <c r="E867" i="1"/>
  <c r="B868" i="1"/>
  <c r="C868" i="1"/>
  <c r="D868" i="1"/>
  <c r="E868" i="1"/>
  <c r="B869" i="1"/>
  <c r="C869" i="1"/>
  <c r="D869" i="1"/>
  <c r="E869" i="1"/>
  <c r="B870" i="1"/>
  <c r="C870" i="1"/>
  <c r="D870" i="1"/>
  <c r="E870" i="1"/>
  <c r="B871" i="1"/>
  <c r="C871" i="1"/>
  <c r="D871" i="1"/>
  <c r="E871" i="1"/>
  <c r="B872" i="1"/>
  <c r="C872" i="1"/>
  <c r="D872" i="1"/>
  <c r="E872" i="1"/>
  <c r="B873" i="1"/>
  <c r="C873" i="1"/>
  <c r="D873" i="1"/>
  <c r="E873" i="1"/>
  <c r="B874" i="1"/>
  <c r="C874" i="1"/>
  <c r="D874" i="1"/>
  <c r="E874" i="1"/>
  <c r="B875" i="1"/>
  <c r="C875" i="1"/>
  <c r="D875" i="1"/>
  <c r="E875" i="1"/>
  <c r="B876" i="1"/>
  <c r="C876" i="1"/>
  <c r="D876" i="1"/>
  <c r="E876" i="1"/>
  <c r="B877" i="1"/>
  <c r="C877" i="1"/>
  <c r="D877" i="1"/>
  <c r="E877" i="1"/>
  <c r="B878" i="1"/>
  <c r="C878" i="1"/>
  <c r="D878" i="1"/>
  <c r="E878" i="1"/>
  <c r="B879" i="1"/>
  <c r="C879" i="1"/>
  <c r="D879" i="1"/>
  <c r="E879" i="1"/>
  <c r="B880" i="1"/>
  <c r="C880" i="1"/>
  <c r="D880" i="1"/>
  <c r="E880" i="1"/>
  <c r="B881" i="1"/>
  <c r="C881" i="1"/>
  <c r="D881" i="1"/>
  <c r="E881" i="1"/>
  <c r="B882" i="1"/>
  <c r="C882" i="1"/>
  <c r="D882" i="1"/>
  <c r="E882" i="1"/>
  <c r="B883" i="1"/>
  <c r="C883" i="1"/>
  <c r="D883" i="1"/>
  <c r="E883" i="1"/>
  <c r="B884" i="1"/>
  <c r="C884" i="1"/>
  <c r="D884" i="1"/>
  <c r="E884" i="1"/>
  <c r="B885" i="1"/>
  <c r="C885" i="1"/>
  <c r="D885" i="1"/>
  <c r="E885" i="1"/>
  <c r="B886" i="1"/>
  <c r="C886" i="1"/>
  <c r="D886" i="1"/>
  <c r="E886" i="1"/>
  <c r="B887" i="1"/>
  <c r="C887" i="1"/>
  <c r="D887" i="1"/>
  <c r="E887" i="1"/>
  <c r="B888" i="1"/>
  <c r="C888" i="1"/>
  <c r="D888" i="1"/>
  <c r="E888" i="1"/>
  <c r="B889" i="1"/>
  <c r="C889" i="1"/>
  <c r="D889" i="1"/>
  <c r="E889" i="1"/>
  <c r="B890" i="1"/>
  <c r="C890" i="1"/>
  <c r="D890" i="1"/>
  <c r="E890" i="1"/>
  <c r="B891" i="1"/>
  <c r="C891" i="1"/>
  <c r="D891" i="1"/>
  <c r="E891" i="1"/>
  <c r="B892" i="1"/>
  <c r="C892" i="1"/>
  <c r="D892" i="1"/>
  <c r="E892" i="1"/>
  <c r="B893" i="1"/>
  <c r="C893" i="1"/>
  <c r="D893" i="1"/>
  <c r="E893" i="1"/>
  <c r="B894" i="1"/>
  <c r="C894" i="1"/>
  <c r="D894" i="1"/>
  <c r="E894" i="1"/>
  <c r="B895" i="1"/>
  <c r="C895" i="1"/>
  <c r="D895" i="1"/>
  <c r="E895" i="1"/>
  <c r="B896" i="1"/>
  <c r="C896" i="1"/>
  <c r="D896" i="1"/>
  <c r="E896" i="1"/>
  <c r="B897" i="1"/>
  <c r="C897" i="1"/>
  <c r="D897" i="1"/>
  <c r="E897" i="1"/>
  <c r="B898" i="1"/>
  <c r="C898" i="1"/>
  <c r="D898" i="1"/>
  <c r="E898" i="1"/>
  <c r="B899" i="1"/>
  <c r="C899" i="1"/>
  <c r="D899" i="1"/>
  <c r="E899" i="1"/>
  <c r="B900" i="1"/>
  <c r="C900" i="1"/>
  <c r="D900" i="1"/>
  <c r="E900" i="1"/>
  <c r="B901" i="1"/>
  <c r="C901" i="1"/>
  <c r="D901" i="1"/>
  <c r="E901" i="1"/>
  <c r="B902" i="1"/>
  <c r="C902" i="1"/>
  <c r="D902" i="1"/>
  <c r="E902" i="1"/>
  <c r="B903" i="1"/>
  <c r="C903" i="1"/>
  <c r="D903" i="1"/>
  <c r="E903" i="1"/>
  <c r="B904" i="1"/>
  <c r="C904" i="1"/>
  <c r="D904" i="1"/>
  <c r="E904" i="1"/>
  <c r="B905" i="1"/>
  <c r="C905" i="1"/>
  <c r="D905" i="1"/>
  <c r="E905" i="1"/>
  <c r="B906" i="1"/>
  <c r="C906" i="1"/>
  <c r="D906" i="1"/>
  <c r="E906" i="1"/>
  <c r="B907" i="1"/>
  <c r="C907" i="1"/>
  <c r="D907" i="1"/>
  <c r="E907" i="1"/>
  <c r="B908" i="1"/>
  <c r="C908" i="1"/>
  <c r="D908" i="1"/>
  <c r="E908" i="1"/>
  <c r="B909" i="1"/>
  <c r="C909" i="1"/>
  <c r="D909" i="1"/>
  <c r="E909" i="1"/>
  <c r="B910" i="1"/>
  <c r="C910" i="1"/>
  <c r="D910" i="1"/>
  <c r="E910" i="1"/>
  <c r="B911" i="1"/>
  <c r="C911" i="1"/>
  <c r="D911" i="1"/>
  <c r="E911" i="1"/>
  <c r="B912" i="1"/>
  <c r="C912" i="1"/>
  <c r="D912" i="1"/>
  <c r="E912" i="1"/>
  <c r="B913" i="1"/>
  <c r="C913" i="1"/>
  <c r="D913" i="1"/>
  <c r="E913" i="1"/>
  <c r="B914" i="1"/>
  <c r="C914" i="1"/>
  <c r="D914" i="1"/>
  <c r="E914" i="1"/>
  <c r="B915" i="1"/>
  <c r="C915" i="1"/>
  <c r="D915" i="1"/>
  <c r="E915" i="1"/>
  <c r="B916" i="1"/>
  <c r="C916" i="1"/>
  <c r="D916" i="1"/>
  <c r="E916" i="1"/>
  <c r="B917" i="1"/>
  <c r="C917" i="1"/>
  <c r="D917" i="1"/>
  <c r="E917" i="1"/>
  <c r="B918" i="1"/>
  <c r="C918" i="1"/>
  <c r="D918" i="1"/>
  <c r="E918" i="1"/>
  <c r="B919" i="1"/>
  <c r="C919" i="1"/>
  <c r="D919" i="1"/>
  <c r="E919" i="1"/>
  <c r="B920" i="1"/>
  <c r="C920" i="1"/>
  <c r="D920" i="1"/>
  <c r="E920" i="1"/>
  <c r="B921" i="1"/>
  <c r="C921" i="1"/>
  <c r="D921" i="1"/>
  <c r="E921" i="1"/>
  <c r="B922" i="1"/>
  <c r="C922" i="1"/>
  <c r="D922" i="1"/>
  <c r="E922" i="1"/>
  <c r="B923" i="1"/>
  <c r="C923" i="1"/>
  <c r="D923" i="1"/>
  <c r="E923" i="1"/>
  <c r="B924" i="1"/>
  <c r="C924" i="1"/>
  <c r="D924" i="1"/>
  <c r="E924" i="1"/>
  <c r="B925" i="1"/>
  <c r="C925" i="1"/>
  <c r="D925" i="1"/>
  <c r="E925" i="1"/>
  <c r="B926" i="1"/>
  <c r="C926" i="1"/>
  <c r="D926" i="1"/>
  <c r="E926" i="1"/>
  <c r="B927" i="1"/>
  <c r="C927" i="1"/>
  <c r="D927" i="1"/>
  <c r="E927" i="1"/>
  <c r="B928" i="1"/>
  <c r="C928" i="1"/>
  <c r="D928" i="1"/>
  <c r="E928" i="1"/>
  <c r="B929" i="1"/>
  <c r="C929" i="1"/>
  <c r="D929" i="1"/>
  <c r="E929" i="1"/>
  <c r="B930" i="1"/>
  <c r="C930" i="1"/>
  <c r="D930" i="1"/>
  <c r="E930" i="1"/>
  <c r="B931" i="1"/>
  <c r="C931" i="1"/>
  <c r="D931" i="1"/>
  <c r="E931" i="1"/>
  <c r="B932" i="1"/>
  <c r="C932" i="1"/>
  <c r="D932" i="1"/>
  <c r="E932" i="1"/>
  <c r="B933" i="1"/>
  <c r="C933" i="1"/>
  <c r="D933" i="1"/>
  <c r="E933" i="1"/>
  <c r="B934" i="1"/>
  <c r="C934" i="1"/>
  <c r="D934" i="1"/>
  <c r="E934" i="1"/>
  <c r="B935" i="1"/>
  <c r="C935" i="1"/>
  <c r="D935" i="1"/>
  <c r="E935" i="1"/>
  <c r="B936" i="1"/>
  <c r="C936" i="1"/>
  <c r="D936" i="1"/>
  <c r="E936" i="1"/>
  <c r="B937" i="1"/>
  <c r="C937" i="1"/>
  <c r="D937" i="1"/>
  <c r="E937" i="1"/>
  <c r="B938" i="1"/>
  <c r="C938" i="1"/>
  <c r="D938" i="1"/>
  <c r="E938" i="1"/>
  <c r="B939" i="1"/>
  <c r="C939" i="1"/>
  <c r="D939" i="1"/>
  <c r="E939" i="1"/>
  <c r="B940" i="1"/>
  <c r="C940" i="1"/>
  <c r="D940" i="1"/>
  <c r="E940" i="1"/>
  <c r="B941" i="1"/>
  <c r="C941" i="1"/>
  <c r="D941" i="1"/>
  <c r="E941" i="1"/>
  <c r="B942" i="1"/>
  <c r="C942" i="1"/>
  <c r="D942" i="1"/>
  <c r="E942" i="1"/>
  <c r="B943" i="1"/>
  <c r="C943" i="1"/>
  <c r="D943" i="1"/>
  <c r="E943" i="1"/>
  <c r="B944" i="1"/>
  <c r="C944" i="1"/>
  <c r="D944" i="1"/>
  <c r="E944" i="1"/>
  <c r="B945" i="1"/>
  <c r="C945" i="1"/>
  <c r="D945" i="1"/>
  <c r="E945" i="1"/>
  <c r="B946" i="1"/>
  <c r="C946" i="1"/>
  <c r="D946" i="1"/>
  <c r="E946" i="1"/>
  <c r="B947" i="1"/>
  <c r="C947" i="1"/>
  <c r="D947" i="1"/>
  <c r="E947" i="1"/>
  <c r="B948" i="1"/>
  <c r="C948" i="1"/>
  <c r="D948" i="1"/>
  <c r="E948" i="1"/>
  <c r="B949" i="1"/>
  <c r="C949" i="1"/>
  <c r="D949" i="1"/>
  <c r="E949" i="1"/>
  <c r="B950" i="1"/>
  <c r="C950" i="1"/>
  <c r="D950" i="1"/>
  <c r="E950" i="1"/>
  <c r="B951" i="1"/>
  <c r="C951" i="1"/>
  <c r="D951" i="1"/>
  <c r="E951" i="1"/>
  <c r="B952" i="1"/>
  <c r="C952" i="1"/>
  <c r="D952" i="1"/>
  <c r="E952" i="1"/>
  <c r="B953" i="1"/>
  <c r="C953" i="1"/>
  <c r="D953" i="1"/>
  <c r="E953" i="1"/>
  <c r="B954" i="1"/>
  <c r="C954" i="1"/>
  <c r="D954" i="1"/>
  <c r="E954" i="1"/>
  <c r="B955" i="1"/>
  <c r="C955" i="1"/>
  <c r="D955" i="1"/>
  <c r="E955" i="1"/>
  <c r="B956" i="1"/>
  <c r="C956" i="1"/>
  <c r="D956" i="1"/>
  <c r="E956" i="1"/>
  <c r="B957" i="1"/>
  <c r="C957" i="1"/>
  <c r="D957" i="1"/>
  <c r="E957" i="1"/>
  <c r="B958" i="1"/>
  <c r="C958" i="1"/>
  <c r="D958" i="1"/>
  <c r="E958" i="1"/>
  <c r="B959" i="1"/>
  <c r="C959" i="1"/>
  <c r="D959" i="1"/>
  <c r="E959" i="1"/>
  <c r="B960" i="1"/>
  <c r="C960" i="1"/>
  <c r="D960" i="1"/>
  <c r="E960" i="1"/>
  <c r="B961" i="1"/>
  <c r="C961" i="1"/>
  <c r="D961" i="1"/>
  <c r="E961" i="1"/>
  <c r="B962" i="1"/>
  <c r="C962" i="1"/>
  <c r="D962" i="1"/>
  <c r="E962" i="1"/>
  <c r="B963" i="1"/>
  <c r="C963" i="1"/>
  <c r="D963" i="1"/>
  <c r="E963" i="1"/>
  <c r="B964" i="1"/>
  <c r="C964" i="1"/>
  <c r="D964" i="1"/>
  <c r="E964" i="1"/>
  <c r="B965" i="1"/>
  <c r="C965" i="1"/>
  <c r="D965" i="1"/>
  <c r="E965" i="1"/>
  <c r="B966" i="1"/>
  <c r="C966" i="1"/>
  <c r="D966" i="1"/>
  <c r="E966" i="1"/>
  <c r="B967" i="1"/>
  <c r="C967" i="1"/>
  <c r="D967" i="1"/>
  <c r="E967" i="1"/>
  <c r="B968" i="1"/>
  <c r="C968" i="1"/>
  <c r="D968" i="1"/>
  <c r="E968" i="1"/>
  <c r="B969" i="1"/>
  <c r="C969" i="1"/>
  <c r="D969" i="1"/>
  <c r="E969" i="1"/>
  <c r="B970" i="1"/>
  <c r="C970" i="1"/>
  <c r="D970" i="1"/>
  <c r="E970" i="1"/>
  <c r="B971" i="1"/>
  <c r="C971" i="1"/>
  <c r="D971" i="1"/>
  <c r="E971" i="1"/>
  <c r="B972" i="1"/>
  <c r="C972" i="1"/>
  <c r="D972" i="1"/>
  <c r="E972" i="1"/>
  <c r="B973" i="1"/>
  <c r="C973" i="1"/>
  <c r="D973" i="1"/>
  <c r="E973" i="1"/>
  <c r="B974" i="1"/>
  <c r="C974" i="1"/>
  <c r="D974" i="1"/>
  <c r="E974" i="1"/>
  <c r="B975" i="1"/>
  <c r="C975" i="1"/>
  <c r="D975" i="1"/>
  <c r="E975" i="1"/>
  <c r="B976" i="1"/>
  <c r="C976" i="1"/>
  <c r="D976" i="1"/>
  <c r="E976" i="1"/>
  <c r="B977" i="1"/>
  <c r="C977" i="1"/>
  <c r="D977" i="1"/>
  <c r="E977" i="1"/>
  <c r="B978" i="1"/>
  <c r="C978" i="1"/>
  <c r="D978" i="1"/>
  <c r="E978" i="1"/>
  <c r="B979" i="1"/>
  <c r="C979" i="1"/>
  <c r="D979" i="1"/>
  <c r="E979" i="1"/>
  <c r="B980" i="1"/>
  <c r="C980" i="1"/>
  <c r="D980" i="1"/>
  <c r="E980" i="1"/>
  <c r="B981" i="1"/>
  <c r="C981" i="1"/>
  <c r="D981" i="1"/>
  <c r="E981" i="1"/>
  <c r="B982" i="1"/>
  <c r="C982" i="1"/>
  <c r="D982" i="1"/>
  <c r="E982" i="1"/>
  <c r="B983" i="1"/>
  <c r="C983" i="1"/>
  <c r="D983" i="1"/>
  <c r="E983" i="1"/>
  <c r="B984" i="1"/>
  <c r="C984" i="1"/>
  <c r="D984" i="1"/>
  <c r="E984" i="1"/>
  <c r="B985" i="1"/>
  <c r="C985" i="1"/>
  <c r="D985" i="1"/>
  <c r="E985" i="1"/>
  <c r="B986" i="1"/>
  <c r="C986" i="1"/>
  <c r="D986" i="1"/>
  <c r="E986" i="1"/>
  <c r="B987" i="1"/>
  <c r="C987" i="1"/>
  <c r="D987" i="1"/>
  <c r="E987" i="1"/>
  <c r="B988" i="1"/>
  <c r="C988" i="1"/>
  <c r="D988" i="1"/>
  <c r="E988" i="1"/>
  <c r="B989" i="1"/>
  <c r="C989" i="1"/>
  <c r="D989" i="1"/>
  <c r="E989" i="1"/>
  <c r="B990" i="1"/>
  <c r="C990" i="1"/>
  <c r="D990" i="1"/>
  <c r="E990" i="1"/>
  <c r="B991" i="1"/>
  <c r="C991" i="1"/>
  <c r="D991" i="1"/>
  <c r="E991" i="1"/>
  <c r="B992" i="1"/>
  <c r="C992" i="1"/>
  <c r="D992" i="1"/>
  <c r="E992" i="1"/>
  <c r="B993" i="1"/>
  <c r="C993" i="1"/>
  <c r="D993" i="1"/>
  <c r="E993" i="1"/>
  <c r="B994" i="1"/>
  <c r="C994" i="1"/>
  <c r="D994" i="1"/>
  <c r="E994" i="1"/>
  <c r="B995" i="1"/>
  <c r="C995" i="1"/>
  <c r="D995" i="1"/>
  <c r="E995" i="1"/>
  <c r="B996" i="1"/>
  <c r="C996" i="1"/>
  <c r="D996" i="1"/>
  <c r="E996" i="1"/>
  <c r="B997" i="1"/>
  <c r="C997" i="1"/>
  <c r="D997" i="1"/>
  <c r="E997" i="1"/>
  <c r="B998" i="1"/>
  <c r="C998" i="1"/>
  <c r="D998" i="1"/>
  <c r="E998" i="1"/>
  <c r="B999" i="1"/>
  <c r="C999" i="1"/>
  <c r="D999" i="1"/>
  <c r="E999" i="1"/>
  <c r="B1000" i="1"/>
  <c r="C1000" i="1"/>
  <c r="D1000" i="1"/>
  <c r="E1000" i="1"/>
  <c r="B1001" i="1"/>
  <c r="C1001" i="1"/>
  <c r="D1001" i="1"/>
  <c r="E1001" i="1"/>
  <c r="B1002" i="1"/>
  <c r="C1002" i="1"/>
  <c r="D1002" i="1"/>
  <c r="E1002" i="1"/>
  <c r="B1003" i="1"/>
  <c r="C1003" i="1"/>
  <c r="D1003" i="1"/>
  <c r="E1003" i="1"/>
  <c r="B1004" i="1"/>
  <c r="C1004" i="1"/>
  <c r="D1004" i="1"/>
  <c r="E1004" i="1"/>
  <c r="B1005" i="1"/>
  <c r="C1005" i="1"/>
  <c r="D1005" i="1"/>
  <c r="E1005" i="1"/>
  <c r="B1006" i="1"/>
  <c r="C1006" i="1"/>
  <c r="D1006" i="1"/>
  <c r="E1006" i="1"/>
  <c r="B1007" i="1"/>
  <c r="C1007" i="1"/>
  <c r="D1007" i="1"/>
  <c r="E1007" i="1"/>
  <c r="B1008" i="1"/>
  <c r="C1008" i="1"/>
  <c r="D1008" i="1"/>
  <c r="E1008" i="1"/>
  <c r="B1009" i="1"/>
  <c r="C1009" i="1"/>
  <c r="D1009" i="1"/>
  <c r="E1009" i="1"/>
  <c r="B1010" i="1"/>
  <c r="C1010" i="1"/>
  <c r="D1010" i="1"/>
  <c r="E1010" i="1"/>
  <c r="B1011" i="1"/>
  <c r="C1011" i="1"/>
  <c r="D1011" i="1"/>
  <c r="E1011" i="1"/>
  <c r="B1012" i="1"/>
  <c r="C1012" i="1"/>
  <c r="D1012" i="1"/>
  <c r="E1012" i="1"/>
  <c r="B1013" i="1"/>
  <c r="C1013" i="1"/>
  <c r="D1013" i="1"/>
  <c r="E1013" i="1"/>
  <c r="B1014" i="1"/>
  <c r="C1014" i="1"/>
  <c r="D1014" i="1"/>
  <c r="E1014" i="1"/>
  <c r="B1015" i="1"/>
  <c r="C1015" i="1"/>
  <c r="D1015" i="1"/>
  <c r="E1015" i="1"/>
  <c r="B1016" i="1"/>
  <c r="C1016" i="1"/>
  <c r="D1016" i="1"/>
  <c r="E1016" i="1"/>
  <c r="B1017" i="1"/>
  <c r="C1017" i="1"/>
  <c r="D1017" i="1"/>
  <c r="E1017" i="1"/>
  <c r="B1018" i="1"/>
  <c r="C1018" i="1"/>
  <c r="D1018" i="1"/>
  <c r="E1018" i="1"/>
  <c r="B1019" i="1"/>
  <c r="C1019" i="1"/>
  <c r="D1019" i="1"/>
  <c r="E1019" i="1"/>
  <c r="B1020" i="1"/>
  <c r="C1020" i="1"/>
  <c r="D1020" i="1"/>
  <c r="E1020" i="1"/>
  <c r="B1021" i="1"/>
  <c r="C1021" i="1"/>
  <c r="D1021" i="1"/>
  <c r="E1021" i="1"/>
  <c r="B2" i="1"/>
  <c r="C2" i="1"/>
  <c r="D2" i="1"/>
  <c r="Q6" i="1"/>
  <c r="Q13" i="1"/>
  <c r="Q18" i="1"/>
  <c r="Q38" i="1"/>
  <c r="Q41" i="1"/>
  <c r="Q65" i="1"/>
  <c r="Q69" i="1"/>
  <c r="Q70" i="1"/>
  <c r="Q72" i="1"/>
  <c r="Q74" i="1"/>
  <c r="Q84" i="1"/>
  <c r="Q87" i="1"/>
  <c r="Q94" i="1"/>
  <c r="Q107" i="1"/>
  <c r="Q108" i="1"/>
  <c r="Q120" i="1"/>
  <c r="Q124" i="1"/>
  <c r="Q126" i="1"/>
  <c r="Q134" i="1"/>
  <c r="Q136" i="1"/>
  <c r="Q140" i="1"/>
  <c r="Q141" i="1"/>
  <c r="Q142" i="1"/>
  <c r="Q152" i="1"/>
  <c r="Q159" i="1"/>
  <c r="Q163" i="1"/>
  <c r="Q164" i="1"/>
  <c r="Q165" i="1"/>
  <c r="Q166" i="1"/>
  <c r="Q167" i="1"/>
  <c r="Q168" i="1"/>
  <c r="Q171" i="1"/>
  <c r="Q175" i="1"/>
  <c r="Q184" i="1"/>
  <c r="Q193" i="1"/>
  <c r="Q209" i="1"/>
  <c r="Q213" i="1"/>
  <c r="Q217" i="1"/>
  <c r="Q219" i="1"/>
  <c r="Q223" i="1"/>
  <c r="Q227" i="1"/>
  <c r="Q231" i="1"/>
  <c r="Q234" i="1"/>
  <c r="Q240" i="1"/>
  <c r="Q249" i="1"/>
  <c r="Q257" i="1"/>
  <c r="Q261" i="1"/>
  <c r="Q270" i="1"/>
  <c r="Q274" i="1"/>
  <c r="Q276" i="1"/>
  <c r="Q283" i="1"/>
  <c r="Q288" i="1"/>
  <c r="Q289" i="1"/>
  <c r="Q291" i="1"/>
  <c r="Q297" i="1"/>
  <c r="Q299" i="1"/>
  <c r="Q302" i="1"/>
  <c r="Q315" i="1"/>
  <c r="Q316" i="1"/>
  <c r="Q323" i="1"/>
  <c r="Q330" i="1"/>
  <c r="Q332" i="1"/>
  <c r="Q333" i="1"/>
  <c r="Q337" i="1"/>
  <c r="Q338" i="1"/>
  <c r="Q340" i="1"/>
  <c r="Q346" i="1"/>
  <c r="Q354" i="1"/>
  <c r="Q358" i="1"/>
  <c r="Q363" i="1"/>
  <c r="Q365" i="1"/>
  <c r="Q367" i="1"/>
  <c r="Q369" i="1"/>
  <c r="Q374" i="1"/>
  <c r="Q380" i="1"/>
  <c r="Q387" i="1"/>
  <c r="Q392" i="1"/>
  <c r="Q395" i="1"/>
  <c r="Q397" i="1"/>
  <c r="Q406" i="1"/>
  <c r="Q415" i="1"/>
  <c r="Q416" i="1"/>
  <c r="Q420" i="1"/>
  <c r="Q424" i="1"/>
  <c r="Q428" i="1"/>
  <c r="Q429" i="1"/>
  <c r="Q431" i="1"/>
  <c r="Q432" i="1"/>
  <c r="Q434" i="1"/>
  <c r="Q439" i="1"/>
  <c r="Q450" i="1"/>
  <c r="Q456" i="1"/>
  <c r="Q457" i="1"/>
  <c r="Q459" i="1"/>
  <c r="Q461" i="1"/>
  <c r="Q478" i="1"/>
  <c r="Q479" i="1"/>
  <c r="Q488" i="1"/>
  <c r="Q490" i="1"/>
  <c r="Q491" i="1"/>
  <c r="Q496" i="1"/>
  <c r="Q500" i="1"/>
  <c r="Q511" i="1"/>
  <c r="Q524" i="1"/>
  <c r="Q526" i="1"/>
  <c r="Q527" i="1"/>
  <c r="Q528" i="1"/>
  <c r="Q531" i="1"/>
  <c r="Q535" i="1"/>
  <c r="Q536" i="1"/>
  <c r="Q543" i="1"/>
  <c r="Q544" i="1"/>
  <c r="Q549" i="1"/>
  <c r="Q553" i="1"/>
  <c r="Q556" i="1"/>
  <c r="Q562" i="1"/>
  <c r="Q565" i="1"/>
  <c r="Q571" i="1"/>
  <c r="Q572" i="1"/>
  <c r="Q574" i="1"/>
  <c r="Q575" i="1"/>
  <c r="Q576" i="1"/>
  <c r="Q577" i="1"/>
  <c r="Q578" i="1"/>
  <c r="Q580" i="1"/>
  <c r="Q582" i="1"/>
  <c r="Q586" i="1"/>
  <c r="Q594" i="1"/>
  <c r="Q605" i="1"/>
  <c r="Q614" i="1"/>
  <c r="Q622" i="1"/>
  <c r="Q629" i="1"/>
  <c r="Q641" i="1"/>
  <c r="Q644" i="1"/>
  <c r="Q648" i="1"/>
  <c r="Q651" i="1"/>
  <c r="Q654" i="1"/>
  <c r="Q662" i="1"/>
  <c r="Q668" i="1"/>
  <c r="Q671" i="1"/>
  <c r="Q674" i="1"/>
  <c r="Q677" i="1"/>
  <c r="Q681" i="1"/>
  <c r="Q687" i="1"/>
  <c r="Q690" i="1"/>
  <c r="Q697" i="1"/>
  <c r="Q698" i="1"/>
  <c r="Q708" i="1"/>
  <c r="Q715" i="1"/>
  <c r="Q717" i="1"/>
  <c r="Q722" i="1"/>
  <c r="Q728" i="1"/>
  <c r="Q732" i="1"/>
  <c r="Q733" i="1"/>
  <c r="Q737" i="1"/>
  <c r="Q742" i="1"/>
  <c r="Q747" i="1"/>
  <c r="Q755" i="1"/>
  <c r="Q757" i="1"/>
  <c r="Q760" i="1"/>
  <c r="Q761" i="1"/>
  <c r="Q763" i="1"/>
  <c r="Q764" i="1"/>
  <c r="Q767" i="1"/>
  <c r="Q768" i="1"/>
  <c r="Q769" i="1"/>
  <c r="Q776" i="1"/>
  <c r="Q785" i="1"/>
  <c r="Q788" i="1"/>
  <c r="Q790" i="1"/>
  <c r="Q796" i="1"/>
  <c r="Q804" i="1"/>
  <c r="Q805" i="1"/>
  <c r="Q809" i="1"/>
  <c r="Q814" i="1"/>
  <c r="Q816" i="1"/>
  <c r="Q819" i="1"/>
  <c r="Q820" i="1"/>
  <c r="Q824" i="1"/>
  <c r="Q828" i="1"/>
  <c r="Q829" i="1"/>
  <c r="Q836" i="1"/>
  <c r="Q846" i="1"/>
  <c r="Q857" i="1"/>
  <c r="Q860" i="1"/>
  <c r="Q869" i="1"/>
  <c r="Q880" i="1"/>
  <c r="Q882" i="1"/>
  <c r="Q892" i="1"/>
  <c r="Q896" i="1"/>
  <c r="Q898" i="1"/>
  <c r="Q904" i="1"/>
  <c r="Q910" i="1"/>
  <c r="Q912" i="1"/>
  <c r="Q913" i="1"/>
  <c r="Q917" i="1"/>
  <c r="Q923" i="1"/>
  <c r="Q927" i="1"/>
  <c r="Q930" i="1"/>
  <c r="Q932" i="1"/>
  <c r="Q935" i="1"/>
  <c r="Q949" i="1"/>
  <c r="Q955" i="1"/>
  <c r="Q963" i="1"/>
  <c r="Q964" i="1"/>
  <c r="Q969" i="1"/>
  <c r="Q972" i="1"/>
  <c r="Q983" i="1"/>
  <c r="Q985" i="1"/>
  <c r="Q986" i="1"/>
  <c r="Q988" i="1"/>
  <c r="Q995" i="1"/>
  <c r="Q997" i="1"/>
  <c r="Q1001" i="1"/>
  <c r="Q1009" i="1"/>
  <c r="Q1011" i="1"/>
  <c r="R3" i="1"/>
  <c r="P3" i="1" s="1"/>
  <c r="Q3" i="1" s="1"/>
  <c r="R4" i="1"/>
  <c r="P4" i="1" s="1"/>
  <c r="Q4" i="1" s="1"/>
  <c r="R5" i="1"/>
  <c r="P5" i="1" s="1"/>
  <c r="Q5" i="1" s="1"/>
  <c r="R6" i="1"/>
  <c r="P6" i="1" s="1"/>
  <c r="R7" i="1"/>
  <c r="P7" i="1" s="1"/>
  <c r="Q7" i="1" s="1"/>
  <c r="R8" i="1"/>
  <c r="P8" i="1" s="1"/>
  <c r="Q8" i="1" s="1"/>
  <c r="R9" i="1"/>
  <c r="P9" i="1" s="1"/>
  <c r="Q9" i="1" s="1"/>
  <c r="R10" i="1"/>
  <c r="P10" i="1" s="1"/>
  <c r="Q10" i="1" s="1"/>
  <c r="R11" i="1"/>
  <c r="P11" i="1" s="1"/>
  <c r="Q11" i="1" s="1"/>
  <c r="R12" i="1"/>
  <c r="P12" i="1" s="1"/>
  <c r="Q12" i="1" s="1"/>
  <c r="R13" i="1"/>
  <c r="P13" i="1" s="1"/>
  <c r="R14" i="1"/>
  <c r="P14" i="1" s="1"/>
  <c r="Q14" i="1" s="1"/>
  <c r="R15" i="1"/>
  <c r="P15" i="1" s="1"/>
  <c r="Q15" i="1" s="1"/>
  <c r="R16" i="1"/>
  <c r="P16" i="1" s="1"/>
  <c r="Q16" i="1" s="1"/>
  <c r="R17" i="1"/>
  <c r="P17" i="1" s="1"/>
  <c r="Q17" i="1" s="1"/>
  <c r="R18" i="1"/>
  <c r="P18" i="1" s="1"/>
  <c r="R19" i="1"/>
  <c r="P19" i="1" s="1"/>
  <c r="Q19" i="1" s="1"/>
  <c r="R20" i="1"/>
  <c r="P20" i="1" s="1"/>
  <c r="Q20" i="1" s="1"/>
  <c r="R21" i="1"/>
  <c r="P21" i="1" s="1"/>
  <c r="Q21" i="1" s="1"/>
  <c r="R22" i="1"/>
  <c r="P22" i="1" s="1"/>
  <c r="Q22" i="1" s="1"/>
  <c r="R23" i="1"/>
  <c r="P23" i="1" s="1"/>
  <c r="Q23" i="1" s="1"/>
  <c r="R24" i="1"/>
  <c r="P24" i="1" s="1"/>
  <c r="Q24" i="1" s="1"/>
  <c r="R25" i="1"/>
  <c r="P25" i="1" s="1"/>
  <c r="Q25" i="1" s="1"/>
  <c r="R26" i="1"/>
  <c r="P26" i="1" s="1"/>
  <c r="Q26" i="1" s="1"/>
  <c r="R27" i="1"/>
  <c r="P27" i="1" s="1"/>
  <c r="Q27" i="1" s="1"/>
  <c r="R28" i="1"/>
  <c r="P28" i="1" s="1"/>
  <c r="Q28" i="1" s="1"/>
  <c r="R29" i="1"/>
  <c r="P29" i="1" s="1"/>
  <c r="Q29" i="1" s="1"/>
  <c r="R30" i="1"/>
  <c r="P30" i="1" s="1"/>
  <c r="Q30" i="1" s="1"/>
  <c r="R31" i="1"/>
  <c r="P31" i="1" s="1"/>
  <c r="Q31" i="1" s="1"/>
  <c r="R32" i="1"/>
  <c r="P32" i="1" s="1"/>
  <c r="Q32" i="1" s="1"/>
  <c r="R33" i="1"/>
  <c r="P33" i="1" s="1"/>
  <c r="Q33" i="1" s="1"/>
  <c r="R34" i="1"/>
  <c r="P34" i="1" s="1"/>
  <c r="Q34" i="1" s="1"/>
  <c r="R35" i="1"/>
  <c r="P35" i="1" s="1"/>
  <c r="Q35" i="1" s="1"/>
  <c r="R36" i="1"/>
  <c r="P36" i="1" s="1"/>
  <c r="Q36" i="1" s="1"/>
  <c r="R37" i="1"/>
  <c r="P37" i="1" s="1"/>
  <c r="Q37" i="1" s="1"/>
  <c r="R38" i="1"/>
  <c r="P38" i="1" s="1"/>
  <c r="R39" i="1"/>
  <c r="P39" i="1" s="1"/>
  <c r="Q39" i="1" s="1"/>
  <c r="R40" i="1"/>
  <c r="P40" i="1" s="1"/>
  <c r="Q40" i="1" s="1"/>
  <c r="R41" i="1"/>
  <c r="P41" i="1" s="1"/>
  <c r="R42" i="1"/>
  <c r="P42" i="1" s="1"/>
  <c r="Q42" i="1" s="1"/>
  <c r="R43" i="1"/>
  <c r="P43" i="1" s="1"/>
  <c r="Q43" i="1" s="1"/>
  <c r="R44" i="1"/>
  <c r="P44" i="1" s="1"/>
  <c r="Q44" i="1" s="1"/>
  <c r="R45" i="1"/>
  <c r="P45" i="1" s="1"/>
  <c r="Q45" i="1" s="1"/>
  <c r="R46" i="1"/>
  <c r="P46" i="1" s="1"/>
  <c r="Q46" i="1" s="1"/>
  <c r="R47" i="1"/>
  <c r="P47" i="1" s="1"/>
  <c r="Q47" i="1" s="1"/>
  <c r="R48" i="1"/>
  <c r="P48" i="1" s="1"/>
  <c r="Q48" i="1" s="1"/>
  <c r="R49" i="1"/>
  <c r="P49" i="1" s="1"/>
  <c r="Q49" i="1" s="1"/>
  <c r="R50" i="1"/>
  <c r="P50" i="1" s="1"/>
  <c r="Q50" i="1" s="1"/>
  <c r="R51" i="1"/>
  <c r="P51" i="1" s="1"/>
  <c r="Q51" i="1" s="1"/>
  <c r="R52" i="1"/>
  <c r="P52" i="1" s="1"/>
  <c r="Q52" i="1" s="1"/>
  <c r="R53" i="1"/>
  <c r="P53" i="1" s="1"/>
  <c r="Q53" i="1" s="1"/>
  <c r="R54" i="1"/>
  <c r="P54" i="1" s="1"/>
  <c r="Q54" i="1" s="1"/>
  <c r="R55" i="1"/>
  <c r="P55" i="1" s="1"/>
  <c r="Q55" i="1" s="1"/>
  <c r="R56" i="1"/>
  <c r="P56" i="1" s="1"/>
  <c r="Q56" i="1" s="1"/>
  <c r="R57" i="1"/>
  <c r="P57" i="1" s="1"/>
  <c r="Q57" i="1" s="1"/>
  <c r="R58" i="1"/>
  <c r="P58" i="1" s="1"/>
  <c r="Q58" i="1" s="1"/>
  <c r="R59" i="1"/>
  <c r="P59" i="1" s="1"/>
  <c r="Q59" i="1" s="1"/>
  <c r="R60" i="1"/>
  <c r="P60" i="1" s="1"/>
  <c r="Q60" i="1" s="1"/>
  <c r="R61" i="1"/>
  <c r="P61" i="1" s="1"/>
  <c r="Q61" i="1" s="1"/>
  <c r="R62" i="1"/>
  <c r="P62" i="1" s="1"/>
  <c r="Q62" i="1" s="1"/>
  <c r="R63" i="1"/>
  <c r="P63" i="1" s="1"/>
  <c r="Q63" i="1" s="1"/>
  <c r="R64" i="1"/>
  <c r="P64" i="1" s="1"/>
  <c r="Q64" i="1" s="1"/>
  <c r="R65" i="1"/>
  <c r="P65" i="1" s="1"/>
  <c r="R66" i="1"/>
  <c r="P66" i="1" s="1"/>
  <c r="Q66" i="1" s="1"/>
  <c r="R67" i="1"/>
  <c r="P67" i="1" s="1"/>
  <c r="Q67" i="1" s="1"/>
  <c r="R68" i="1"/>
  <c r="P68" i="1" s="1"/>
  <c r="Q68" i="1" s="1"/>
  <c r="R69" i="1"/>
  <c r="P69" i="1" s="1"/>
  <c r="R70" i="1"/>
  <c r="P70" i="1" s="1"/>
  <c r="R71" i="1"/>
  <c r="P71" i="1" s="1"/>
  <c r="Q71" i="1" s="1"/>
  <c r="R72" i="1"/>
  <c r="P72" i="1" s="1"/>
  <c r="R73" i="1"/>
  <c r="P73" i="1" s="1"/>
  <c r="Q73" i="1" s="1"/>
  <c r="R74" i="1"/>
  <c r="P74" i="1" s="1"/>
  <c r="R75" i="1"/>
  <c r="P75" i="1" s="1"/>
  <c r="Q75" i="1" s="1"/>
  <c r="R76" i="1"/>
  <c r="P76" i="1" s="1"/>
  <c r="Q76" i="1" s="1"/>
  <c r="R77" i="1"/>
  <c r="P77" i="1" s="1"/>
  <c r="Q77" i="1" s="1"/>
  <c r="R78" i="1"/>
  <c r="P78" i="1" s="1"/>
  <c r="Q78" i="1" s="1"/>
  <c r="R79" i="1"/>
  <c r="P79" i="1" s="1"/>
  <c r="Q79" i="1" s="1"/>
  <c r="R80" i="1"/>
  <c r="P80" i="1" s="1"/>
  <c r="Q80" i="1" s="1"/>
  <c r="R81" i="1"/>
  <c r="P81" i="1" s="1"/>
  <c r="Q81" i="1" s="1"/>
  <c r="R82" i="1"/>
  <c r="P82" i="1" s="1"/>
  <c r="Q82" i="1" s="1"/>
  <c r="R83" i="1"/>
  <c r="P83" i="1" s="1"/>
  <c r="Q83" i="1" s="1"/>
  <c r="R84" i="1"/>
  <c r="P84" i="1" s="1"/>
  <c r="R85" i="1"/>
  <c r="P85" i="1" s="1"/>
  <c r="Q85" i="1" s="1"/>
  <c r="R86" i="1"/>
  <c r="P86" i="1" s="1"/>
  <c r="Q86" i="1" s="1"/>
  <c r="R87" i="1"/>
  <c r="P87" i="1" s="1"/>
  <c r="R88" i="1"/>
  <c r="P88" i="1" s="1"/>
  <c r="Q88" i="1" s="1"/>
  <c r="R89" i="1"/>
  <c r="P89" i="1" s="1"/>
  <c r="Q89" i="1" s="1"/>
  <c r="R90" i="1"/>
  <c r="P90" i="1" s="1"/>
  <c r="Q90" i="1" s="1"/>
  <c r="R91" i="1"/>
  <c r="P91" i="1" s="1"/>
  <c r="Q91" i="1" s="1"/>
  <c r="R92" i="1"/>
  <c r="P92" i="1" s="1"/>
  <c r="Q92" i="1" s="1"/>
  <c r="R93" i="1"/>
  <c r="P93" i="1" s="1"/>
  <c r="Q93" i="1" s="1"/>
  <c r="R94" i="1"/>
  <c r="P94" i="1" s="1"/>
  <c r="R95" i="1"/>
  <c r="P95" i="1" s="1"/>
  <c r="Q95" i="1" s="1"/>
  <c r="R96" i="1"/>
  <c r="P96" i="1" s="1"/>
  <c r="Q96" i="1" s="1"/>
  <c r="R97" i="1"/>
  <c r="P97" i="1" s="1"/>
  <c r="Q97" i="1" s="1"/>
  <c r="R98" i="1"/>
  <c r="P98" i="1" s="1"/>
  <c r="Q98" i="1" s="1"/>
  <c r="R99" i="1"/>
  <c r="P99" i="1" s="1"/>
  <c r="Q99" i="1" s="1"/>
  <c r="R100" i="1"/>
  <c r="P100" i="1" s="1"/>
  <c r="Q100" i="1" s="1"/>
  <c r="R101" i="1"/>
  <c r="R102" i="1"/>
  <c r="P102" i="1" s="1"/>
  <c r="Q102" i="1" s="1"/>
  <c r="R103" i="1"/>
  <c r="P103" i="1" s="1"/>
  <c r="Q103" i="1" s="1"/>
  <c r="R104" i="1"/>
  <c r="P104" i="1" s="1"/>
  <c r="Q104" i="1" s="1"/>
  <c r="R105" i="1"/>
  <c r="P105" i="1" s="1"/>
  <c r="Q105" i="1" s="1"/>
  <c r="R106" i="1"/>
  <c r="P106" i="1" s="1"/>
  <c r="Q106" i="1" s="1"/>
  <c r="R107" i="1"/>
  <c r="P107" i="1" s="1"/>
  <c r="R108" i="1"/>
  <c r="P108" i="1" s="1"/>
  <c r="R109" i="1"/>
  <c r="P109" i="1" s="1"/>
  <c r="Q109" i="1" s="1"/>
  <c r="R110" i="1"/>
  <c r="P110" i="1" s="1"/>
  <c r="Q110" i="1" s="1"/>
  <c r="R111" i="1"/>
  <c r="P111" i="1" s="1"/>
  <c r="Q111" i="1" s="1"/>
  <c r="R112" i="1"/>
  <c r="P112" i="1" s="1"/>
  <c r="Q112" i="1" s="1"/>
  <c r="R113" i="1"/>
  <c r="P113" i="1" s="1"/>
  <c r="Q113" i="1" s="1"/>
  <c r="R114" i="1"/>
  <c r="P114" i="1" s="1"/>
  <c r="Q114" i="1" s="1"/>
  <c r="R115" i="1"/>
  <c r="P115" i="1" s="1"/>
  <c r="Q115" i="1" s="1"/>
  <c r="R116" i="1"/>
  <c r="P116" i="1" s="1"/>
  <c r="Q116" i="1" s="1"/>
  <c r="R117" i="1"/>
  <c r="P117" i="1" s="1"/>
  <c r="Q117" i="1" s="1"/>
  <c r="R118" i="1"/>
  <c r="P118" i="1" s="1"/>
  <c r="Q118" i="1" s="1"/>
  <c r="R119" i="1"/>
  <c r="P119" i="1" s="1"/>
  <c r="Q119" i="1" s="1"/>
  <c r="R120" i="1"/>
  <c r="P120" i="1" s="1"/>
  <c r="R121" i="1"/>
  <c r="P121" i="1" s="1"/>
  <c r="Q121" i="1" s="1"/>
  <c r="R122" i="1"/>
  <c r="P122" i="1" s="1"/>
  <c r="Q122" i="1" s="1"/>
  <c r="R123" i="1"/>
  <c r="P123" i="1" s="1"/>
  <c r="Q123" i="1" s="1"/>
  <c r="R124" i="1"/>
  <c r="P124" i="1" s="1"/>
  <c r="R125" i="1"/>
  <c r="P125" i="1" s="1"/>
  <c r="Q125" i="1" s="1"/>
  <c r="R126" i="1"/>
  <c r="P126" i="1" s="1"/>
  <c r="R127" i="1"/>
  <c r="P127" i="1" s="1"/>
  <c r="Q127" i="1" s="1"/>
  <c r="R128" i="1"/>
  <c r="P128" i="1" s="1"/>
  <c r="Q128" i="1" s="1"/>
  <c r="R129" i="1"/>
  <c r="P129" i="1" s="1"/>
  <c r="Q129" i="1" s="1"/>
  <c r="R130" i="1"/>
  <c r="P130" i="1" s="1"/>
  <c r="Q130" i="1" s="1"/>
  <c r="R131" i="1"/>
  <c r="P131" i="1" s="1"/>
  <c r="Q131" i="1" s="1"/>
  <c r="R132" i="1"/>
  <c r="P132" i="1" s="1"/>
  <c r="Q132" i="1" s="1"/>
  <c r="R133" i="1"/>
  <c r="P133" i="1" s="1"/>
  <c r="Q133" i="1" s="1"/>
  <c r="R134" i="1"/>
  <c r="P134" i="1" s="1"/>
  <c r="R135" i="1"/>
  <c r="P135" i="1" s="1"/>
  <c r="Q135" i="1" s="1"/>
  <c r="R136" i="1"/>
  <c r="P136" i="1" s="1"/>
  <c r="R137" i="1"/>
  <c r="P137" i="1" s="1"/>
  <c r="Q137" i="1" s="1"/>
  <c r="R138" i="1"/>
  <c r="P138" i="1" s="1"/>
  <c r="Q138" i="1" s="1"/>
  <c r="R139" i="1"/>
  <c r="P139" i="1" s="1"/>
  <c r="Q139" i="1" s="1"/>
  <c r="R140" i="1"/>
  <c r="P140" i="1" s="1"/>
  <c r="R141" i="1"/>
  <c r="P141" i="1" s="1"/>
  <c r="R142" i="1"/>
  <c r="P142" i="1" s="1"/>
  <c r="R143" i="1"/>
  <c r="P143" i="1" s="1"/>
  <c r="Q143" i="1" s="1"/>
  <c r="R144" i="1"/>
  <c r="P144" i="1" s="1"/>
  <c r="Q144" i="1" s="1"/>
  <c r="R145" i="1"/>
  <c r="P145" i="1" s="1"/>
  <c r="Q145" i="1" s="1"/>
  <c r="R146" i="1"/>
  <c r="P146" i="1" s="1"/>
  <c r="Q146" i="1" s="1"/>
  <c r="R147" i="1"/>
  <c r="P147" i="1" s="1"/>
  <c r="Q147" i="1" s="1"/>
  <c r="R148" i="1"/>
  <c r="P148" i="1" s="1"/>
  <c r="Q148" i="1" s="1"/>
  <c r="R149" i="1"/>
  <c r="P149" i="1" s="1"/>
  <c r="Q149" i="1" s="1"/>
  <c r="R150" i="1"/>
  <c r="P150" i="1" s="1"/>
  <c r="Q150" i="1" s="1"/>
  <c r="R151" i="1"/>
  <c r="P151" i="1" s="1"/>
  <c r="Q151" i="1" s="1"/>
  <c r="R152" i="1"/>
  <c r="P152" i="1" s="1"/>
  <c r="R153" i="1"/>
  <c r="P153" i="1" s="1"/>
  <c r="Q153" i="1" s="1"/>
  <c r="R154" i="1"/>
  <c r="P154" i="1" s="1"/>
  <c r="Q154" i="1" s="1"/>
  <c r="R155" i="1"/>
  <c r="P155" i="1" s="1"/>
  <c r="Q155" i="1" s="1"/>
  <c r="R156" i="1"/>
  <c r="P156" i="1" s="1"/>
  <c r="Q156" i="1" s="1"/>
  <c r="R157" i="1"/>
  <c r="P157" i="1" s="1"/>
  <c r="Q157" i="1" s="1"/>
  <c r="R158" i="1"/>
  <c r="P158" i="1" s="1"/>
  <c r="Q158" i="1" s="1"/>
  <c r="R159" i="1"/>
  <c r="P159" i="1" s="1"/>
  <c r="R160" i="1"/>
  <c r="P160" i="1" s="1"/>
  <c r="Q160" i="1" s="1"/>
  <c r="R161" i="1"/>
  <c r="P161" i="1" s="1"/>
  <c r="Q161" i="1" s="1"/>
  <c r="R162" i="1"/>
  <c r="P162" i="1" s="1"/>
  <c r="Q162" i="1" s="1"/>
  <c r="R163" i="1"/>
  <c r="P163" i="1" s="1"/>
  <c r="R164" i="1"/>
  <c r="P164" i="1" s="1"/>
  <c r="R165" i="1"/>
  <c r="P165" i="1" s="1"/>
  <c r="R166" i="1"/>
  <c r="P166" i="1" s="1"/>
  <c r="R167" i="1"/>
  <c r="P167" i="1" s="1"/>
  <c r="R168" i="1"/>
  <c r="P168" i="1" s="1"/>
  <c r="R169" i="1"/>
  <c r="P169" i="1" s="1"/>
  <c r="Q169" i="1" s="1"/>
  <c r="R170" i="1"/>
  <c r="P170" i="1" s="1"/>
  <c r="Q170" i="1" s="1"/>
  <c r="R171" i="1"/>
  <c r="P171" i="1" s="1"/>
  <c r="R172" i="1"/>
  <c r="P172" i="1" s="1"/>
  <c r="Q172" i="1" s="1"/>
  <c r="R173" i="1"/>
  <c r="P173" i="1" s="1"/>
  <c r="Q173" i="1" s="1"/>
  <c r="R174" i="1"/>
  <c r="P174" i="1" s="1"/>
  <c r="Q174" i="1" s="1"/>
  <c r="R175" i="1"/>
  <c r="P175" i="1" s="1"/>
  <c r="R176" i="1"/>
  <c r="P176" i="1" s="1"/>
  <c r="Q176" i="1" s="1"/>
  <c r="R177" i="1"/>
  <c r="P177" i="1" s="1"/>
  <c r="Q177" i="1" s="1"/>
  <c r="R178" i="1"/>
  <c r="P178" i="1" s="1"/>
  <c r="Q178" i="1" s="1"/>
  <c r="R179" i="1"/>
  <c r="P179" i="1" s="1"/>
  <c r="Q179" i="1" s="1"/>
  <c r="R180" i="1"/>
  <c r="P180" i="1" s="1"/>
  <c r="Q180" i="1" s="1"/>
  <c r="R181" i="1"/>
  <c r="P181" i="1" s="1"/>
  <c r="Q181" i="1" s="1"/>
  <c r="R182" i="1"/>
  <c r="P182" i="1" s="1"/>
  <c r="Q182" i="1" s="1"/>
  <c r="R183" i="1"/>
  <c r="P183" i="1" s="1"/>
  <c r="Q183" i="1" s="1"/>
  <c r="R184" i="1"/>
  <c r="P184" i="1" s="1"/>
  <c r="R185" i="1"/>
  <c r="P185" i="1" s="1"/>
  <c r="Q185" i="1" s="1"/>
  <c r="R186" i="1"/>
  <c r="P186" i="1" s="1"/>
  <c r="Q186" i="1" s="1"/>
  <c r="R187" i="1"/>
  <c r="P187" i="1" s="1"/>
  <c r="Q187" i="1" s="1"/>
  <c r="R188" i="1"/>
  <c r="P188" i="1" s="1"/>
  <c r="Q188" i="1" s="1"/>
  <c r="R189" i="1"/>
  <c r="P189" i="1" s="1"/>
  <c r="Q189" i="1" s="1"/>
  <c r="R190" i="1"/>
  <c r="P190" i="1" s="1"/>
  <c r="Q190" i="1" s="1"/>
  <c r="R191" i="1"/>
  <c r="P191" i="1" s="1"/>
  <c r="Q191" i="1" s="1"/>
  <c r="R192" i="1"/>
  <c r="P192" i="1" s="1"/>
  <c r="Q192" i="1" s="1"/>
  <c r="R193" i="1"/>
  <c r="P193" i="1" s="1"/>
  <c r="R194" i="1"/>
  <c r="P194" i="1" s="1"/>
  <c r="Q194" i="1" s="1"/>
  <c r="R195" i="1"/>
  <c r="P195" i="1" s="1"/>
  <c r="Q195" i="1" s="1"/>
  <c r="R196" i="1"/>
  <c r="P196" i="1" s="1"/>
  <c r="Q196" i="1" s="1"/>
  <c r="R197" i="1"/>
  <c r="P197" i="1" s="1"/>
  <c r="Q197" i="1" s="1"/>
  <c r="R198" i="1"/>
  <c r="P198" i="1" s="1"/>
  <c r="Q198" i="1" s="1"/>
  <c r="R199" i="1"/>
  <c r="P199" i="1" s="1"/>
  <c r="Q199" i="1" s="1"/>
  <c r="R200" i="1"/>
  <c r="P200" i="1" s="1"/>
  <c r="Q200" i="1" s="1"/>
  <c r="R201" i="1"/>
  <c r="P201" i="1" s="1"/>
  <c r="Q201" i="1" s="1"/>
  <c r="R202" i="1"/>
  <c r="P202" i="1" s="1"/>
  <c r="Q202" i="1" s="1"/>
  <c r="R203" i="1"/>
  <c r="P203" i="1" s="1"/>
  <c r="Q203" i="1" s="1"/>
  <c r="R204" i="1"/>
  <c r="P204" i="1" s="1"/>
  <c r="Q204" i="1" s="1"/>
  <c r="R205" i="1"/>
  <c r="P205" i="1" s="1"/>
  <c r="Q205" i="1" s="1"/>
  <c r="R206" i="1"/>
  <c r="P206" i="1" s="1"/>
  <c r="Q206" i="1" s="1"/>
  <c r="R207" i="1"/>
  <c r="P207" i="1" s="1"/>
  <c r="Q207" i="1" s="1"/>
  <c r="R208" i="1"/>
  <c r="P208" i="1" s="1"/>
  <c r="Q208" i="1" s="1"/>
  <c r="R209" i="1"/>
  <c r="P209" i="1" s="1"/>
  <c r="R210" i="1"/>
  <c r="P210" i="1" s="1"/>
  <c r="Q210" i="1" s="1"/>
  <c r="R211" i="1"/>
  <c r="P211" i="1" s="1"/>
  <c r="Q211" i="1" s="1"/>
  <c r="R212" i="1"/>
  <c r="P212" i="1" s="1"/>
  <c r="Q212" i="1" s="1"/>
  <c r="R213" i="1"/>
  <c r="P213" i="1" s="1"/>
  <c r="R214" i="1"/>
  <c r="P214" i="1" s="1"/>
  <c r="Q214" i="1" s="1"/>
  <c r="R215" i="1"/>
  <c r="P215" i="1" s="1"/>
  <c r="Q215" i="1" s="1"/>
  <c r="R216" i="1"/>
  <c r="P216" i="1" s="1"/>
  <c r="Q216" i="1" s="1"/>
  <c r="R217" i="1"/>
  <c r="P217" i="1" s="1"/>
  <c r="R218" i="1"/>
  <c r="P218" i="1" s="1"/>
  <c r="Q218" i="1" s="1"/>
  <c r="R219" i="1"/>
  <c r="P219" i="1" s="1"/>
  <c r="R220" i="1"/>
  <c r="P220" i="1" s="1"/>
  <c r="Q220" i="1" s="1"/>
  <c r="R221" i="1"/>
  <c r="P221" i="1" s="1"/>
  <c r="Q221" i="1" s="1"/>
  <c r="R222" i="1"/>
  <c r="P222" i="1" s="1"/>
  <c r="Q222" i="1" s="1"/>
  <c r="R223" i="1"/>
  <c r="P223" i="1" s="1"/>
  <c r="R224" i="1"/>
  <c r="P224" i="1" s="1"/>
  <c r="Q224" i="1" s="1"/>
  <c r="R225" i="1"/>
  <c r="P225" i="1" s="1"/>
  <c r="Q225" i="1" s="1"/>
  <c r="R226" i="1"/>
  <c r="P226" i="1" s="1"/>
  <c r="Q226" i="1" s="1"/>
  <c r="R227" i="1"/>
  <c r="P227" i="1" s="1"/>
  <c r="R228" i="1"/>
  <c r="P228" i="1" s="1"/>
  <c r="Q228" i="1" s="1"/>
  <c r="R229" i="1"/>
  <c r="P229" i="1" s="1"/>
  <c r="Q229" i="1" s="1"/>
  <c r="R230" i="1"/>
  <c r="P230" i="1" s="1"/>
  <c r="Q230" i="1" s="1"/>
  <c r="R231" i="1"/>
  <c r="P231" i="1" s="1"/>
  <c r="R232" i="1"/>
  <c r="P232" i="1" s="1"/>
  <c r="Q232" i="1" s="1"/>
  <c r="R233" i="1"/>
  <c r="P233" i="1" s="1"/>
  <c r="Q233" i="1" s="1"/>
  <c r="R234" i="1"/>
  <c r="P234" i="1" s="1"/>
  <c r="R235" i="1"/>
  <c r="P235" i="1" s="1"/>
  <c r="Q235" i="1" s="1"/>
  <c r="R236" i="1"/>
  <c r="P236" i="1" s="1"/>
  <c r="Q236" i="1" s="1"/>
  <c r="R237" i="1"/>
  <c r="P237" i="1" s="1"/>
  <c r="Q237" i="1" s="1"/>
  <c r="R238" i="1"/>
  <c r="P238" i="1" s="1"/>
  <c r="Q238" i="1" s="1"/>
  <c r="R239" i="1"/>
  <c r="P239" i="1" s="1"/>
  <c r="Q239" i="1" s="1"/>
  <c r="R240" i="1"/>
  <c r="P240" i="1" s="1"/>
  <c r="R241" i="1"/>
  <c r="P241" i="1" s="1"/>
  <c r="Q241" i="1" s="1"/>
  <c r="R242" i="1"/>
  <c r="P242" i="1" s="1"/>
  <c r="Q242" i="1" s="1"/>
  <c r="R243" i="1"/>
  <c r="P243" i="1" s="1"/>
  <c r="Q243" i="1" s="1"/>
  <c r="R244" i="1"/>
  <c r="P244" i="1" s="1"/>
  <c r="Q244" i="1" s="1"/>
  <c r="R245" i="1"/>
  <c r="P245" i="1" s="1"/>
  <c r="Q245" i="1" s="1"/>
  <c r="R246" i="1"/>
  <c r="P246" i="1" s="1"/>
  <c r="Q246" i="1" s="1"/>
  <c r="R247" i="1"/>
  <c r="P247" i="1" s="1"/>
  <c r="Q247" i="1" s="1"/>
  <c r="R248" i="1"/>
  <c r="P248" i="1" s="1"/>
  <c r="Q248" i="1" s="1"/>
  <c r="R249" i="1"/>
  <c r="P249" i="1" s="1"/>
  <c r="R250" i="1"/>
  <c r="P250" i="1" s="1"/>
  <c r="Q250" i="1" s="1"/>
  <c r="R251" i="1"/>
  <c r="P251" i="1" s="1"/>
  <c r="Q251" i="1" s="1"/>
  <c r="R252" i="1"/>
  <c r="P252" i="1" s="1"/>
  <c r="Q252" i="1" s="1"/>
  <c r="R253" i="1"/>
  <c r="P253" i="1" s="1"/>
  <c r="Q253" i="1" s="1"/>
  <c r="R254" i="1"/>
  <c r="P254" i="1" s="1"/>
  <c r="Q254" i="1" s="1"/>
  <c r="R255" i="1"/>
  <c r="P255" i="1" s="1"/>
  <c r="Q255" i="1" s="1"/>
  <c r="R256" i="1"/>
  <c r="P256" i="1" s="1"/>
  <c r="Q256" i="1" s="1"/>
  <c r="R257" i="1"/>
  <c r="P257" i="1" s="1"/>
  <c r="R258" i="1"/>
  <c r="P258" i="1" s="1"/>
  <c r="Q258" i="1" s="1"/>
  <c r="R259" i="1"/>
  <c r="P259" i="1" s="1"/>
  <c r="Q259" i="1" s="1"/>
  <c r="R260" i="1"/>
  <c r="P260" i="1" s="1"/>
  <c r="Q260" i="1" s="1"/>
  <c r="R261" i="1"/>
  <c r="P261" i="1" s="1"/>
  <c r="R262" i="1"/>
  <c r="P262" i="1" s="1"/>
  <c r="Q262" i="1" s="1"/>
  <c r="R263" i="1"/>
  <c r="P263" i="1" s="1"/>
  <c r="Q263" i="1" s="1"/>
  <c r="R264" i="1"/>
  <c r="P264" i="1" s="1"/>
  <c r="Q264" i="1" s="1"/>
  <c r="R265" i="1"/>
  <c r="P265" i="1" s="1"/>
  <c r="Q265" i="1" s="1"/>
  <c r="R266" i="1"/>
  <c r="P266" i="1" s="1"/>
  <c r="Q266" i="1" s="1"/>
  <c r="R267" i="1"/>
  <c r="P267" i="1" s="1"/>
  <c r="Q267" i="1" s="1"/>
  <c r="R268" i="1"/>
  <c r="P268" i="1" s="1"/>
  <c r="Q268" i="1" s="1"/>
  <c r="R269" i="1"/>
  <c r="P269" i="1" s="1"/>
  <c r="Q269" i="1" s="1"/>
  <c r="R270" i="1"/>
  <c r="P270" i="1" s="1"/>
  <c r="R271" i="1"/>
  <c r="P271" i="1" s="1"/>
  <c r="Q271" i="1" s="1"/>
  <c r="R272" i="1"/>
  <c r="P272" i="1" s="1"/>
  <c r="Q272" i="1" s="1"/>
  <c r="R273" i="1"/>
  <c r="P273" i="1" s="1"/>
  <c r="Q273" i="1" s="1"/>
  <c r="R274" i="1"/>
  <c r="P274" i="1" s="1"/>
  <c r="R275" i="1"/>
  <c r="P275" i="1" s="1"/>
  <c r="Q275" i="1" s="1"/>
  <c r="R276" i="1"/>
  <c r="P276" i="1" s="1"/>
  <c r="R277" i="1"/>
  <c r="P277" i="1" s="1"/>
  <c r="Q277" i="1" s="1"/>
  <c r="R278" i="1"/>
  <c r="P278" i="1" s="1"/>
  <c r="Q278" i="1" s="1"/>
  <c r="R279" i="1"/>
  <c r="P279" i="1" s="1"/>
  <c r="Q279" i="1" s="1"/>
  <c r="R280" i="1"/>
  <c r="P280" i="1" s="1"/>
  <c r="Q280" i="1" s="1"/>
  <c r="R281" i="1"/>
  <c r="P281" i="1" s="1"/>
  <c r="Q281" i="1" s="1"/>
  <c r="R282" i="1"/>
  <c r="P282" i="1" s="1"/>
  <c r="Q282" i="1" s="1"/>
  <c r="R283" i="1"/>
  <c r="P283" i="1" s="1"/>
  <c r="R284" i="1"/>
  <c r="P284" i="1" s="1"/>
  <c r="Q284" i="1" s="1"/>
  <c r="R285" i="1"/>
  <c r="P285" i="1" s="1"/>
  <c r="Q285" i="1" s="1"/>
  <c r="R286" i="1"/>
  <c r="P286" i="1" s="1"/>
  <c r="Q286" i="1" s="1"/>
  <c r="R287" i="1"/>
  <c r="P287" i="1" s="1"/>
  <c r="Q287" i="1" s="1"/>
  <c r="R288" i="1"/>
  <c r="P288" i="1" s="1"/>
  <c r="R289" i="1"/>
  <c r="P289" i="1" s="1"/>
  <c r="R290" i="1"/>
  <c r="P290" i="1" s="1"/>
  <c r="Q290" i="1" s="1"/>
  <c r="R291" i="1"/>
  <c r="R292" i="1"/>
  <c r="P292" i="1" s="1"/>
  <c r="Q292" i="1" s="1"/>
  <c r="R293" i="1"/>
  <c r="P293" i="1" s="1"/>
  <c r="Q293" i="1" s="1"/>
  <c r="R294" i="1"/>
  <c r="P294" i="1" s="1"/>
  <c r="Q294" i="1" s="1"/>
  <c r="R295" i="1"/>
  <c r="P295" i="1" s="1"/>
  <c r="Q295" i="1" s="1"/>
  <c r="R296" i="1"/>
  <c r="P296" i="1" s="1"/>
  <c r="Q296" i="1" s="1"/>
  <c r="R297" i="1"/>
  <c r="P297" i="1" s="1"/>
  <c r="R298" i="1"/>
  <c r="P298" i="1" s="1"/>
  <c r="Q298" i="1" s="1"/>
  <c r="R299" i="1"/>
  <c r="P299" i="1" s="1"/>
  <c r="R300" i="1"/>
  <c r="P300" i="1" s="1"/>
  <c r="Q300" i="1" s="1"/>
  <c r="R301" i="1"/>
  <c r="P301" i="1" s="1"/>
  <c r="Q301" i="1" s="1"/>
  <c r="R302" i="1"/>
  <c r="P302" i="1" s="1"/>
  <c r="R303" i="1"/>
  <c r="P303" i="1" s="1"/>
  <c r="Q303" i="1" s="1"/>
  <c r="R304" i="1"/>
  <c r="P304" i="1" s="1"/>
  <c r="Q304" i="1" s="1"/>
  <c r="R305" i="1"/>
  <c r="P305" i="1" s="1"/>
  <c r="Q305" i="1" s="1"/>
  <c r="R306" i="1"/>
  <c r="P306" i="1" s="1"/>
  <c r="Q306" i="1" s="1"/>
  <c r="R307" i="1"/>
  <c r="P307" i="1" s="1"/>
  <c r="Q307" i="1" s="1"/>
  <c r="R308" i="1"/>
  <c r="P308" i="1" s="1"/>
  <c r="Q308" i="1" s="1"/>
  <c r="R309" i="1"/>
  <c r="P309" i="1" s="1"/>
  <c r="Q309" i="1" s="1"/>
  <c r="R310" i="1"/>
  <c r="P310" i="1" s="1"/>
  <c r="Q310" i="1" s="1"/>
  <c r="R311" i="1"/>
  <c r="P311" i="1" s="1"/>
  <c r="Q311" i="1" s="1"/>
  <c r="R312" i="1"/>
  <c r="P312" i="1" s="1"/>
  <c r="Q312" i="1" s="1"/>
  <c r="R313" i="1"/>
  <c r="P313" i="1" s="1"/>
  <c r="Q313" i="1" s="1"/>
  <c r="R314" i="1"/>
  <c r="P314" i="1" s="1"/>
  <c r="Q314" i="1" s="1"/>
  <c r="R315" i="1"/>
  <c r="P315" i="1" s="1"/>
  <c r="R316" i="1"/>
  <c r="P316" i="1" s="1"/>
  <c r="R317" i="1"/>
  <c r="P317" i="1" s="1"/>
  <c r="Q317" i="1" s="1"/>
  <c r="R318" i="1"/>
  <c r="P318" i="1" s="1"/>
  <c r="Q318" i="1" s="1"/>
  <c r="R319" i="1"/>
  <c r="P319" i="1" s="1"/>
  <c r="Q319" i="1" s="1"/>
  <c r="R320" i="1"/>
  <c r="P320" i="1" s="1"/>
  <c r="Q320" i="1" s="1"/>
  <c r="R321" i="1"/>
  <c r="P321" i="1" s="1"/>
  <c r="Q321" i="1" s="1"/>
  <c r="R322" i="1"/>
  <c r="P322" i="1" s="1"/>
  <c r="Q322" i="1" s="1"/>
  <c r="R323" i="1"/>
  <c r="P323" i="1" s="1"/>
  <c r="R324" i="1"/>
  <c r="P324" i="1" s="1"/>
  <c r="Q324" i="1" s="1"/>
  <c r="R325" i="1"/>
  <c r="P325" i="1" s="1"/>
  <c r="Q325" i="1" s="1"/>
  <c r="R326" i="1"/>
  <c r="P326" i="1" s="1"/>
  <c r="Q326" i="1" s="1"/>
  <c r="R327" i="1"/>
  <c r="P327" i="1" s="1"/>
  <c r="Q327" i="1" s="1"/>
  <c r="R328" i="1"/>
  <c r="P328" i="1" s="1"/>
  <c r="Q328" i="1" s="1"/>
  <c r="R329" i="1"/>
  <c r="P329" i="1" s="1"/>
  <c r="Q329" i="1" s="1"/>
  <c r="R330" i="1"/>
  <c r="P330" i="1" s="1"/>
  <c r="R331" i="1"/>
  <c r="R332" i="1"/>
  <c r="P332" i="1" s="1"/>
  <c r="R333" i="1"/>
  <c r="P333" i="1" s="1"/>
  <c r="R334" i="1"/>
  <c r="P334" i="1" s="1"/>
  <c r="Q334" i="1" s="1"/>
  <c r="R335" i="1"/>
  <c r="P335" i="1" s="1"/>
  <c r="Q335" i="1" s="1"/>
  <c r="R336" i="1"/>
  <c r="P336" i="1" s="1"/>
  <c r="Q336" i="1" s="1"/>
  <c r="R337" i="1"/>
  <c r="P337" i="1" s="1"/>
  <c r="R338" i="1"/>
  <c r="P338" i="1" s="1"/>
  <c r="R339" i="1"/>
  <c r="P339" i="1" s="1"/>
  <c r="Q339" i="1" s="1"/>
  <c r="R340" i="1"/>
  <c r="P340" i="1" s="1"/>
  <c r="R341" i="1"/>
  <c r="P341" i="1" s="1"/>
  <c r="Q341" i="1" s="1"/>
  <c r="R342" i="1"/>
  <c r="P342" i="1" s="1"/>
  <c r="Q342" i="1" s="1"/>
  <c r="R343" i="1"/>
  <c r="P343" i="1" s="1"/>
  <c r="Q343" i="1" s="1"/>
  <c r="R344" i="1"/>
  <c r="P344" i="1" s="1"/>
  <c r="Q344" i="1" s="1"/>
  <c r="R345" i="1"/>
  <c r="P345" i="1" s="1"/>
  <c r="Q345" i="1" s="1"/>
  <c r="R346" i="1"/>
  <c r="R347" i="1"/>
  <c r="P347" i="1" s="1"/>
  <c r="Q347" i="1" s="1"/>
  <c r="R348" i="1"/>
  <c r="P348" i="1" s="1"/>
  <c r="Q348" i="1" s="1"/>
  <c r="R349" i="1"/>
  <c r="P349" i="1" s="1"/>
  <c r="Q349" i="1" s="1"/>
  <c r="R350" i="1"/>
  <c r="P350" i="1" s="1"/>
  <c r="Q350" i="1" s="1"/>
  <c r="R351" i="1"/>
  <c r="P351" i="1" s="1"/>
  <c r="Q351" i="1" s="1"/>
  <c r="R352" i="1"/>
  <c r="P352" i="1" s="1"/>
  <c r="Q352" i="1" s="1"/>
  <c r="R353" i="1"/>
  <c r="P353" i="1" s="1"/>
  <c r="Q353" i="1" s="1"/>
  <c r="R354" i="1"/>
  <c r="P354" i="1" s="1"/>
  <c r="R355" i="1"/>
  <c r="P355" i="1" s="1"/>
  <c r="Q355" i="1" s="1"/>
  <c r="R356" i="1"/>
  <c r="P356" i="1" s="1"/>
  <c r="Q356" i="1" s="1"/>
  <c r="R357" i="1"/>
  <c r="P357" i="1" s="1"/>
  <c r="Q357" i="1" s="1"/>
  <c r="R358" i="1"/>
  <c r="P358" i="1" s="1"/>
  <c r="R359" i="1"/>
  <c r="P359" i="1" s="1"/>
  <c r="Q359" i="1" s="1"/>
  <c r="R360" i="1"/>
  <c r="P360" i="1" s="1"/>
  <c r="Q360" i="1" s="1"/>
  <c r="R361" i="1"/>
  <c r="P361" i="1" s="1"/>
  <c r="Q361" i="1" s="1"/>
  <c r="R362" i="1"/>
  <c r="P362" i="1" s="1"/>
  <c r="Q362" i="1" s="1"/>
  <c r="R363" i="1"/>
  <c r="P363" i="1" s="1"/>
  <c r="R364" i="1"/>
  <c r="P364" i="1" s="1"/>
  <c r="Q364" i="1" s="1"/>
  <c r="R365" i="1"/>
  <c r="P365" i="1" s="1"/>
  <c r="R366" i="1"/>
  <c r="P366" i="1" s="1"/>
  <c r="Q366" i="1" s="1"/>
  <c r="R367" i="1"/>
  <c r="P367" i="1" s="1"/>
  <c r="R368" i="1"/>
  <c r="P368" i="1" s="1"/>
  <c r="Q368" i="1" s="1"/>
  <c r="R369" i="1"/>
  <c r="P369" i="1" s="1"/>
  <c r="R370" i="1"/>
  <c r="P370" i="1" s="1"/>
  <c r="Q370" i="1" s="1"/>
  <c r="R371" i="1"/>
  <c r="P371" i="1" s="1"/>
  <c r="Q371" i="1" s="1"/>
  <c r="R372" i="1"/>
  <c r="P372" i="1" s="1"/>
  <c r="Q372" i="1" s="1"/>
  <c r="R373" i="1"/>
  <c r="P373" i="1" s="1"/>
  <c r="Q373" i="1" s="1"/>
  <c r="R374" i="1"/>
  <c r="P374" i="1" s="1"/>
  <c r="R375" i="1"/>
  <c r="P375" i="1" s="1"/>
  <c r="Q375" i="1" s="1"/>
  <c r="R376" i="1"/>
  <c r="P376" i="1" s="1"/>
  <c r="Q376" i="1" s="1"/>
  <c r="R377" i="1"/>
  <c r="P377" i="1" s="1"/>
  <c r="Q377" i="1" s="1"/>
  <c r="R378" i="1"/>
  <c r="P378" i="1" s="1"/>
  <c r="Q378" i="1" s="1"/>
  <c r="R379" i="1"/>
  <c r="P379" i="1" s="1"/>
  <c r="Q379" i="1" s="1"/>
  <c r="R380" i="1"/>
  <c r="P380" i="1" s="1"/>
  <c r="R381" i="1"/>
  <c r="P381" i="1" s="1"/>
  <c r="Q381" i="1" s="1"/>
  <c r="R382" i="1"/>
  <c r="P382" i="1" s="1"/>
  <c r="Q382" i="1" s="1"/>
  <c r="R383" i="1"/>
  <c r="P383" i="1" s="1"/>
  <c r="Q383" i="1" s="1"/>
  <c r="R384" i="1"/>
  <c r="P384" i="1" s="1"/>
  <c r="Q384" i="1" s="1"/>
  <c r="R385" i="1"/>
  <c r="P385" i="1" s="1"/>
  <c r="Q385" i="1" s="1"/>
  <c r="R386" i="1"/>
  <c r="P386" i="1" s="1"/>
  <c r="Q386" i="1" s="1"/>
  <c r="R387" i="1"/>
  <c r="P387" i="1" s="1"/>
  <c r="R388" i="1"/>
  <c r="P388" i="1" s="1"/>
  <c r="Q388" i="1" s="1"/>
  <c r="R389" i="1"/>
  <c r="P389" i="1" s="1"/>
  <c r="Q389" i="1" s="1"/>
  <c r="R390" i="1"/>
  <c r="P390" i="1" s="1"/>
  <c r="Q390" i="1" s="1"/>
  <c r="R391" i="1"/>
  <c r="P391" i="1" s="1"/>
  <c r="Q391" i="1" s="1"/>
  <c r="R392" i="1"/>
  <c r="P392" i="1" s="1"/>
  <c r="R393" i="1"/>
  <c r="P393" i="1" s="1"/>
  <c r="Q393" i="1" s="1"/>
  <c r="R394" i="1"/>
  <c r="P394" i="1" s="1"/>
  <c r="Q394" i="1" s="1"/>
  <c r="R395" i="1"/>
  <c r="P395" i="1" s="1"/>
  <c r="R396" i="1"/>
  <c r="P396" i="1" s="1"/>
  <c r="Q396" i="1" s="1"/>
  <c r="R397" i="1"/>
  <c r="P397" i="1" s="1"/>
  <c r="R398" i="1"/>
  <c r="P398" i="1" s="1"/>
  <c r="Q398" i="1" s="1"/>
  <c r="R399" i="1"/>
  <c r="P399" i="1" s="1"/>
  <c r="Q399" i="1" s="1"/>
  <c r="R400" i="1"/>
  <c r="R401" i="1"/>
  <c r="P401" i="1" s="1"/>
  <c r="Q401" i="1" s="1"/>
  <c r="R402" i="1"/>
  <c r="P402" i="1" s="1"/>
  <c r="Q402" i="1" s="1"/>
  <c r="R403" i="1"/>
  <c r="P403" i="1" s="1"/>
  <c r="Q403" i="1" s="1"/>
  <c r="R404" i="1"/>
  <c r="P404" i="1" s="1"/>
  <c r="Q404" i="1" s="1"/>
  <c r="R405" i="1"/>
  <c r="P405" i="1" s="1"/>
  <c r="Q405" i="1" s="1"/>
  <c r="R406" i="1"/>
  <c r="P406" i="1" s="1"/>
  <c r="R407" i="1"/>
  <c r="P407" i="1" s="1"/>
  <c r="Q407" i="1" s="1"/>
  <c r="R408" i="1"/>
  <c r="P408" i="1" s="1"/>
  <c r="Q408" i="1" s="1"/>
  <c r="R409" i="1"/>
  <c r="P409" i="1" s="1"/>
  <c r="Q409" i="1" s="1"/>
  <c r="R410" i="1"/>
  <c r="P410" i="1" s="1"/>
  <c r="Q410" i="1" s="1"/>
  <c r="R411" i="1"/>
  <c r="P411" i="1" s="1"/>
  <c r="Q411" i="1" s="1"/>
  <c r="R412" i="1"/>
  <c r="P412" i="1" s="1"/>
  <c r="Q412" i="1" s="1"/>
  <c r="R413" i="1"/>
  <c r="P413" i="1" s="1"/>
  <c r="Q413" i="1" s="1"/>
  <c r="R414" i="1"/>
  <c r="P414" i="1" s="1"/>
  <c r="Q414" i="1" s="1"/>
  <c r="R415" i="1"/>
  <c r="P415" i="1" s="1"/>
  <c r="R416" i="1"/>
  <c r="P416" i="1" s="1"/>
  <c r="R417" i="1"/>
  <c r="P417" i="1" s="1"/>
  <c r="Q417" i="1" s="1"/>
  <c r="R418" i="1"/>
  <c r="P418" i="1" s="1"/>
  <c r="Q418" i="1" s="1"/>
  <c r="R419" i="1"/>
  <c r="P419" i="1" s="1"/>
  <c r="Q419" i="1" s="1"/>
  <c r="R420" i="1"/>
  <c r="P420" i="1" s="1"/>
  <c r="R421" i="1"/>
  <c r="P421" i="1" s="1"/>
  <c r="Q421" i="1" s="1"/>
  <c r="R422" i="1"/>
  <c r="P422" i="1" s="1"/>
  <c r="Q422" i="1" s="1"/>
  <c r="R423" i="1"/>
  <c r="P423" i="1" s="1"/>
  <c r="Q423" i="1" s="1"/>
  <c r="R424" i="1"/>
  <c r="P424" i="1" s="1"/>
  <c r="R425" i="1"/>
  <c r="P425" i="1" s="1"/>
  <c r="Q425" i="1" s="1"/>
  <c r="R426" i="1"/>
  <c r="P426" i="1" s="1"/>
  <c r="Q426" i="1" s="1"/>
  <c r="R427" i="1"/>
  <c r="P427" i="1" s="1"/>
  <c r="Q427" i="1" s="1"/>
  <c r="R428" i="1"/>
  <c r="P428" i="1" s="1"/>
  <c r="R429" i="1"/>
  <c r="P429" i="1" s="1"/>
  <c r="R430" i="1"/>
  <c r="P430" i="1" s="1"/>
  <c r="Q430" i="1" s="1"/>
  <c r="R431" i="1"/>
  <c r="P431" i="1" s="1"/>
  <c r="R432" i="1"/>
  <c r="P432" i="1" s="1"/>
  <c r="R433" i="1"/>
  <c r="P433" i="1" s="1"/>
  <c r="Q433" i="1" s="1"/>
  <c r="R434" i="1"/>
  <c r="P434" i="1" s="1"/>
  <c r="R435" i="1"/>
  <c r="P435" i="1" s="1"/>
  <c r="Q435" i="1" s="1"/>
  <c r="R436" i="1"/>
  <c r="P436" i="1" s="1"/>
  <c r="Q436" i="1" s="1"/>
  <c r="R437" i="1"/>
  <c r="P437" i="1" s="1"/>
  <c r="Q437" i="1" s="1"/>
  <c r="R438" i="1"/>
  <c r="P438" i="1" s="1"/>
  <c r="Q438" i="1" s="1"/>
  <c r="R439" i="1"/>
  <c r="P439" i="1" s="1"/>
  <c r="R440" i="1"/>
  <c r="P440" i="1" s="1"/>
  <c r="Q440" i="1" s="1"/>
  <c r="R441" i="1"/>
  <c r="P441" i="1" s="1"/>
  <c r="Q441" i="1" s="1"/>
  <c r="R442" i="1"/>
  <c r="P442" i="1" s="1"/>
  <c r="Q442" i="1" s="1"/>
  <c r="R443" i="1"/>
  <c r="P443" i="1" s="1"/>
  <c r="Q443" i="1" s="1"/>
  <c r="R444" i="1"/>
  <c r="P444" i="1" s="1"/>
  <c r="Q444" i="1" s="1"/>
  <c r="R445" i="1"/>
  <c r="P445" i="1" s="1"/>
  <c r="Q445" i="1" s="1"/>
  <c r="R446" i="1"/>
  <c r="P446" i="1" s="1"/>
  <c r="Q446" i="1" s="1"/>
  <c r="R447" i="1"/>
  <c r="P447" i="1" s="1"/>
  <c r="Q447" i="1" s="1"/>
  <c r="R448" i="1"/>
  <c r="P448" i="1" s="1"/>
  <c r="Q448" i="1" s="1"/>
  <c r="R449" i="1"/>
  <c r="P449" i="1" s="1"/>
  <c r="Q449" i="1" s="1"/>
  <c r="R450" i="1"/>
  <c r="P450" i="1" s="1"/>
  <c r="R451" i="1"/>
  <c r="P451" i="1" s="1"/>
  <c r="Q451" i="1" s="1"/>
  <c r="R452" i="1"/>
  <c r="P452" i="1" s="1"/>
  <c r="Q452" i="1" s="1"/>
  <c r="R453" i="1"/>
  <c r="P453" i="1" s="1"/>
  <c r="Q453" i="1" s="1"/>
  <c r="R454" i="1"/>
  <c r="P454" i="1" s="1"/>
  <c r="Q454" i="1" s="1"/>
  <c r="R455" i="1"/>
  <c r="P455" i="1" s="1"/>
  <c r="Q455" i="1" s="1"/>
  <c r="R456" i="1"/>
  <c r="P456" i="1" s="1"/>
  <c r="R457" i="1"/>
  <c r="P457" i="1" s="1"/>
  <c r="R458" i="1"/>
  <c r="P458" i="1" s="1"/>
  <c r="Q458" i="1" s="1"/>
  <c r="R459" i="1"/>
  <c r="P459" i="1" s="1"/>
  <c r="R460" i="1"/>
  <c r="P460" i="1" s="1"/>
  <c r="Q460" i="1" s="1"/>
  <c r="R461" i="1"/>
  <c r="P461" i="1" s="1"/>
  <c r="R462" i="1"/>
  <c r="P462" i="1" s="1"/>
  <c r="Q462" i="1" s="1"/>
  <c r="R463" i="1"/>
  <c r="P463" i="1" s="1"/>
  <c r="Q463" i="1" s="1"/>
  <c r="R464" i="1"/>
  <c r="P464" i="1" s="1"/>
  <c r="Q464" i="1" s="1"/>
  <c r="R465" i="1"/>
  <c r="P465" i="1" s="1"/>
  <c r="Q465" i="1" s="1"/>
  <c r="R466" i="1"/>
  <c r="P466" i="1" s="1"/>
  <c r="Q466" i="1" s="1"/>
  <c r="R467" i="1"/>
  <c r="P467" i="1" s="1"/>
  <c r="Q467" i="1" s="1"/>
  <c r="R468" i="1"/>
  <c r="P468" i="1" s="1"/>
  <c r="Q468" i="1" s="1"/>
  <c r="R469" i="1"/>
  <c r="P469" i="1" s="1"/>
  <c r="Q469" i="1" s="1"/>
  <c r="R470" i="1"/>
  <c r="P470" i="1" s="1"/>
  <c r="Q470" i="1" s="1"/>
  <c r="R471" i="1"/>
  <c r="P471" i="1" s="1"/>
  <c r="Q471" i="1" s="1"/>
  <c r="R472" i="1"/>
  <c r="P472" i="1" s="1"/>
  <c r="Q472" i="1" s="1"/>
  <c r="R473" i="1"/>
  <c r="P473" i="1" s="1"/>
  <c r="Q473" i="1" s="1"/>
  <c r="R474" i="1"/>
  <c r="P474" i="1" s="1"/>
  <c r="Q474" i="1" s="1"/>
  <c r="R475" i="1"/>
  <c r="P475" i="1" s="1"/>
  <c r="Q475" i="1" s="1"/>
  <c r="R476" i="1"/>
  <c r="P476" i="1" s="1"/>
  <c r="Q476" i="1" s="1"/>
  <c r="R477" i="1"/>
  <c r="P477" i="1" s="1"/>
  <c r="Q477" i="1" s="1"/>
  <c r="R478" i="1"/>
  <c r="P478" i="1" s="1"/>
  <c r="R479" i="1"/>
  <c r="P479" i="1" s="1"/>
  <c r="R480" i="1"/>
  <c r="P480" i="1" s="1"/>
  <c r="Q480" i="1" s="1"/>
  <c r="R481" i="1"/>
  <c r="P481" i="1" s="1"/>
  <c r="Q481" i="1" s="1"/>
  <c r="R482" i="1"/>
  <c r="P482" i="1" s="1"/>
  <c r="Q482" i="1" s="1"/>
  <c r="R483" i="1"/>
  <c r="P483" i="1" s="1"/>
  <c r="Q483" i="1" s="1"/>
  <c r="R484" i="1"/>
  <c r="P484" i="1" s="1"/>
  <c r="Q484" i="1" s="1"/>
  <c r="R485" i="1"/>
  <c r="P485" i="1" s="1"/>
  <c r="Q485" i="1" s="1"/>
  <c r="R486" i="1"/>
  <c r="P486" i="1" s="1"/>
  <c r="Q486" i="1" s="1"/>
  <c r="R487" i="1"/>
  <c r="P487" i="1" s="1"/>
  <c r="Q487" i="1" s="1"/>
  <c r="R488" i="1"/>
  <c r="P488" i="1" s="1"/>
  <c r="R489" i="1"/>
  <c r="P489" i="1" s="1"/>
  <c r="Q489" i="1" s="1"/>
  <c r="R490" i="1"/>
  <c r="P490" i="1" s="1"/>
  <c r="R491" i="1"/>
  <c r="P491" i="1" s="1"/>
  <c r="R492" i="1"/>
  <c r="P492" i="1" s="1"/>
  <c r="Q492" i="1" s="1"/>
  <c r="R493" i="1"/>
  <c r="P493" i="1" s="1"/>
  <c r="Q493" i="1" s="1"/>
  <c r="R494" i="1"/>
  <c r="P494" i="1" s="1"/>
  <c r="Q494" i="1" s="1"/>
  <c r="R495" i="1"/>
  <c r="P495" i="1" s="1"/>
  <c r="Q495" i="1" s="1"/>
  <c r="R496" i="1"/>
  <c r="P496" i="1" s="1"/>
  <c r="R497" i="1"/>
  <c r="P497" i="1" s="1"/>
  <c r="Q497" i="1" s="1"/>
  <c r="R498" i="1"/>
  <c r="P498" i="1" s="1"/>
  <c r="Q498" i="1" s="1"/>
  <c r="R499" i="1"/>
  <c r="P499" i="1" s="1"/>
  <c r="Q499" i="1" s="1"/>
  <c r="R500" i="1"/>
  <c r="P500" i="1" s="1"/>
  <c r="R501" i="1"/>
  <c r="P501" i="1" s="1"/>
  <c r="Q501" i="1" s="1"/>
  <c r="R502" i="1"/>
  <c r="P502" i="1" s="1"/>
  <c r="Q502" i="1" s="1"/>
  <c r="R503" i="1"/>
  <c r="P503" i="1" s="1"/>
  <c r="Q503" i="1" s="1"/>
  <c r="R504" i="1"/>
  <c r="P504" i="1" s="1"/>
  <c r="Q504" i="1" s="1"/>
  <c r="R505" i="1"/>
  <c r="P505" i="1" s="1"/>
  <c r="Q505" i="1" s="1"/>
  <c r="R506" i="1"/>
  <c r="P506" i="1" s="1"/>
  <c r="Q506" i="1" s="1"/>
  <c r="R507" i="1"/>
  <c r="P507" i="1" s="1"/>
  <c r="Q507" i="1" s="1"/>
  <c r="R508" i="1"/>
  <c r="P508" i="1" s="1"/>
  <c r="Q508" i="1" s="1"/>
  <c r="R509" i="1"/>
  <c r="P509" i="1" s="1"/>
  <c r="Q509" i="1" s="1"/>
  <c r="R510" i="1"/>
  <c r="P510" i="1" s="1"/>
  <c r="Q510" i="1" s="1"/>
  <c r="R511" i="1"/>
  <c r="P511" i="1" s="1"/>
  <c r="R512" i="1"/>
  <c r="P512" i="1" s="1"/>
  <c r="Q512" i="1" s="1"/>
  <c r="R513" i="1"/>
  <c r="P513" i="1" s="1"/>
  <c r="Q513" i="1" s="1"/>
  <c r="R514" i="1"/>
  <c r="P514" i="1" s="1"/>
  <c r="Q514" i="1" s="1"/>
  <c r="R515" i="1"/>
  <c r="P515" i="1" s="1"/>
  <c r="Q515" i="1" s="1"/>
  <c r="R516" i="1"/>
  <c r="P516" i="1" s="1"/>
  <c r="Q516" i="1" s="1"/>
  <c r="R517" i="1"/>
  <c r="P517" i="1" s="1"/>
  <c r="Q517" i="1" s="1"/>
  <c r="R518" i="1"/>
  <c r="P518" i="1" s="1"/>
  <c r="Q518" i="1" s="1"/>
  <c r="R519" i="1"/>
  <c r="P519" i="1" s="1"/>
  <c r="Q519" i="1" s="1"/>
  <c r="R520" i="1"/>
  <c r="P520" i="1" s="1"/>
  <c r="Q520" i="1" s="1"/>
  <c r="R521" i="1"/>
  <c r="P521" i="1" s="1"/>
  <c r="Q521" i="1" s="1"/>
  <c r="R522" i="1"/>
  <c r="P522" i="1" s="1"/>
  <c r="Q522" i="1" s="1"/>
  <c r="R523" i="1"/>
  <c r="P523" i="1" s="1"/>
  <c r="Q523" i="1" s="1"/>
  <c r="R524" i="1"/>
  <c r="P524" i="1" s="1"/>
  <c r="R525" i="1"/>
  <c r="P525" i="1" s="1"/>
  <c r="Q525" i="1" s="1"/>
  <c r="R526" i="1"/>
  <c r="P526" i="1" s="1"/>
  <c r="R527" i="1"/>
  <c r="P527" i="1" s="1"/>
  <c r="R528" i="1"/>
  <c r="P528" i="1" s="1"/>
  <c r="R529" i="1"/>
  <c r="P529" i="1" s="1"/>
  <c r="Q529" i="1" s="1"/>
  <c r="R530" i="1"/>
  <c r="P530" i="1" s="1"/>
  <c r="Q530" i="1" s="1"/>
  <c r="R531" i="1"/>
  <c r="P531" i="1" s="1"/>
  <c r="R532" i="1"/>
  <c r="P532" i="1" s="1"/>
  <c r="Q532" i="1" s="1"/>
  <c r="R533" i="1"/>
  <c r="P533" i="1" s="1"/>
  <c r="Q533" i="1" s="1"/>
  <c r="R534" i="1"/>
  <c r="P534" i="1" s="1"/>
  <c r="Q534" i="1" s="1"/>
  <c r="R535" i="1"/>
  <c r="P535" i="1" s="1"/>
  <c r="R536" i="1"/>
  <c r="P536" i="1" s="1"/>
  <c r="R537" i="1"/>
  <c r="P537" i="1" s="1"/>
  <c r="Q537" i="1" s="1"/>
  <c r="R538" i="1"/>
  <c r="P538" i="1" s="1"/>
  <c r="Q538" i="1" s="1"/>
  <c r="R539" i="1"/>
  <c r="P539" i="1" s="1"/>
  <c r="Q539" i="1" s="1"/>
  <c r="R540" i="1"/>
  <c r="P540" i="1" s="1"/>
  <c r="Q540" i="1" s="1"/>
  <c r="R541" i="1"/>
  <c r="P541" i="1" s="1"/>
  <c r="Q541" i="1" s="1"/>
  <c r="R542" i="1"/>
  <c r="P542" i="1" s="1"/>
  <c r="Q542" i="1" s="1"/>
  <c r="R543" i="1"/>
  <c r="P543" i="1" s="1"/>
  <c r="R544" i="1"/>
  <c r="P544" i="1" s="1"/>
  <c r="R545" i="1"/>
  <c r="P545" i="1" s="1"/>
  <c r="Q545" i="1" s="1"/>
  <c r="R546" i="1"/>
  <c r="P546" i="1" s="1"/>
  <c r="Q546" i="1" s="1"/>
  <c r="R547" i="1"/>
  <c r="P547" i="1" s="1"/>
  <c r="Q547" i="1" s="1"/>
  <c r="R548" i="1"/>
  <c r="P548" i="1" s="1"/>
  <c r="Q548" i="1" s="1"/>
  <c r="R549" i="1"/>
  <c r="P549" i="1" s="1"/>
  <c r="R550" i="1"/>
  <c r="P550" i="1" s="1"/>
  <c r="Q550" i="1" s="1"/>
  <c r="R551" i="1"/>
  <c r="P551" i="1" s="1"/>
  <c r="Q551" i="1" s="1"/>
  <c r="R552" i="1"/>
  <c r="P552" i="1" s="1"/>
  <c r="Q552" i="1" s="1"/>
  <c r="R553" i="1"/>
  <c r="P553" i="1" s="1"/>
  <c r="R554" i="1"/>
  <c r="P554" i="1" s="1"/>
  <c r="Q554" i="1" s="1"/>
  <c r="R555" i="1"/>
  <c r="P555" i="1" s="1"/>
  <c r="Q555" i="1" s="1"/>
  <c r="R556" i="1"/>
  <c r="P556" i="1" s="1"/>
  <c r="R557" i="1"/>
  <c r="P557" i="1" s="1"/>
  <c r="Q557" i="1" s="1"/>
  <c r="R558" i="1"/>
  <c r="P558" i="1" s="1"/>
  <c r="Q558" i="1" s="1"/>
  <c r="R559" i="1"/>
  <c r="P559" i="1" s="1"/>
  <c r="Q559" i="1" s="1"/>
  <c r="R560" i="1"/>
  <c r="P560" i="1" s="1"/>
  <c r="Q560" i="1" s="1"/>
  <c r="R561" i="1"/>
  <c r="P561" i="1" s="1"/>
  <c r="Q561" i="1" s="1"/>
  <c r="R562" i="1"/>
  <c r="P562" i="1" s="1"/>
  <c r="R563" i="1"/>
  <c r="P563" i="1" s="1"/>
  <c r="Q563" i="1" s="1"/>
  <c r="R564" i="1"/>
  <c r="P564" i="1" s="1"/>
  <c r="Q564" i="1" s="1"/>
  <c r="R565" i="1"/>
  <c r="P565" i="1" s="1"/>
  <c r="R566" i="1"/>
  <c r="P566" i="1" s="1"/>
  <c r="Q566" i="1" s="1"/>
  <c r="R567" i="1"/>
  <c r="P567" i="1" s="1"/>
  <c r="Q567" i="1" s="1"/>
  <c r="R568" i="1"/>
  <c r="P568" i="1" s="1"/>
  <c r="Q568" i="1" s="1"/>
  <c r="R569" i="1"/>
  <c r="P569" i="1" s="1"/>
  <c r="Q569" i="1" s="1"/>
  <c r="R570" i="1"/>
  <c r="P570" i="1" s="1"/>
  <c r="Q570" i="1" s="1"/>
  <c r="R571" i="1"/>
  <c r="P571" i="1" s="1"/>
  <c r="R572" i="1"/>
  <c r="P572" i="1" s="1"/>
  <c r="R573" i="1"/>
  <c r="P573" i="1" s="1"/>
  <c r="Q573" i="1" s="1"/>
  <c r="R574" i="1"/>
  <c r="P574" i="1" s="1"/>
  <c r="R575" i="1"/>
  <c r="P575" i="1" s="1"/>
  <c r="R576" i="1"/>
  <c r="P576" i="1" s="1"/>
  <c r="R577" i="1"/>
  <c r="P577" i="1" s="1"/>
  <c r="R578" i="1"/>
  <c r="P578" i="1" s="1"/>
  <c r="R579" i="1"/>
  <c r="R580" i="1"/>
  <c r="P580" i="1" s="1"/>
  <c r="R581" i="1"/>
  <c r="P581" i="1" s="1"/>
  <c r="Q581" i="1" s="1"/>
  <c r="R582" i="1"/>
  <c r="P582" i="1" s="1"/>
  <c r="R583" i="1"/>
  <c r="P583" i="1" s="1"/>
  <c r="Q583" i="1" s="1"/>
  <c r="R584" i="1"/>
  <c r="R585" i="1"/>
  <c r="P585" i="1" s="1"/>
  <c r="Q585" i="1" s="1"/>
  <c r="R586" i="1"/>
  <c r="P586" i="1" s="1"/>
  <c r="R587" i="1"/>
  <c r="P587" i="1" s="1"/>
  <c r="Q587" i="1" s="1"/>
  <c r="R588" i="1"/>
  <c r="P588" i="1" s="1"/>
  <c r="Q588" i="1" s="1"/>
  <c r="R589" i="1"/>
  <c r="P589" i="1" s="1"/>
  <c r="Q589" i="1" s="1"/>
  <c r="R590" i="1"/>
  <c r="P590" i="1" s="1"/>
  <c r="Q590" i="1" s="1"/>
  <c r="R591" i="1"/>
  <c r="P591" i="1" s="1"/>
  <c r="Q591" i="1" s="1"/>
  <c r="R592" i="1"/>
  <c r="P592" i="1" s="1"/>
  <c r="Q592" i="1" s="1"/>
  <c r="R593" i="1"/>
  <c r="P593" i="1" s="1"/>
  <c r="Q593" i="1" s="1"/>
  <c r="R594" i="1"/>
  <c r="P594" i="1" s="1"/>
  <c r="R595" i="1"/>
  <c r="P595" i="1" s="1"/>
  <c r="Q595" i="1" s="1"/>
  <c r="R596" i="1"/>
  <c r="P596" i="1" s="1"/>
  <c r="Q596" i="1" s="1"/>
  <c r="R597" i="1"/>
  <c r="P597" i="1" s="1"/>
  <c r="Q597" i="1" s="1"/>
  <c r="R598" i="1"/>
  <c r="P598" i="1" s="1"/>
  <c r="Q598" i="1" s="1"/>
  <c r="R599" i="1"/>
  <c r="P599" i="1" s="1"/>
  <c r="Q599" i="1" s="1"/>
  <c r="R600" i="1"/>
  <c r="P600" i="1" s="1"/>
  <c r="Q600" i="1" s="1"/>
  <c r="R601" i="1"/>
  <c r="P601" i="1" s="1"/>
  <c r="Q601" i="1" s="1"/>
  <c r="R602" i="1"/>
  <c r="P602" i="1" s="1"/>
  <c r="Q602" i="1" s="1"/>
  <c r="R603" i="1"/>
  <c r="P603" i="1" s="1"/>
  <c r="Q603" i="1" s="1"/>
  <c r="R604" i="1"/>
  <c r="P604" i="1" s="1"/>
  <c r="Q604" i="1" s="1"/>
  <c r="R605" i="1"/>
  <c r="P605" i="1" s="1"/>
  <c r="R606" i="1"/>
  <c r="P606" i="1" s="1"/>
  <c r="Q606" i="1" s="1"/>
  <c r="R607" i="1"/>
  <c r="P607" i="1" s="1"/>
  <c r="Q607" i="1" s="1"/>
  <c r="R608" i="1"/>
  <c r="P608" i="1" s="1"/>
  <c r="Q608" i="1" s="1"/>
  <c r="R609" i="1"/>
  <c r="P609" i="1" s="1"/>
  <c r="Q609" i="1" s="1"/>
  <c r="R610" i="1"/>
  <c r="P610" i="1" s="1"/>
  <c r="Q610" i="1" s="1"/>
  <c r="R611" i="1"/>
  <c r="P611" i="1" s="1"/>
  <c r="Q611" i="1" s="1"/>
  <c r="R612" i="1"/>
  <c r="P612" i="1" s="1"/>
  <c r="Q612" i="1" s="1"/>
  <c r="R613" i="1"/>
  <c r="P613" i="1" s="1"/>
  <c r="Q613" i="1" s="1"/>
  <c r="R614" i="1"/>
  <c r="P614" i="1" s="1"/>
  <c r="R615" i="1"/>
  <c r="P615" i="1" s="1"/>
  <c r="Q615" i="1" s="1"/>
  <c r="R616" i="1"/>
  <c r="P616" i="1" s="1"/>
  <c r="Q616" i="1" s="1"/>
  <c r="R617" i="1"/>
  <c r="P617" i="1" s="1"/>
  <c r="Q617" i="1" s="1"/>
  <c r="R618" i="1"/>
  <c r="P618" i="1" s="1"/>
  <c r="Q618" i="1" s="1"/>
  <c r="R619" i="1"/>
  <c r="P619" i="1" s="1"/>
  <c r="Q619" i="1" s="1"/>
  <c r="R620" i="1"/>
  <c r="P620" i="1" s="1"/>
  <c r="Q620" i="1" s="1"/>
  <c r="R621" i="1"/>
  <c r="R622" i="1"/>
  <c r="P622" i="1" s="1"/>
  <c r="R623" i="1"/>
  <c r="P623" i="1" s="1"/>
  <c r="Q623" i="1" s="1"/>
  <c r="R624" i="1"/>
  <c r="P624" i="1" s="1"/>
  <c r="Q624" i="1" s="1"/>
  <c r="R625" i="1"/>
  <c r="P625" i="1" s="1"/>
  <c r="Q625" i="1" s="1"/>
  <c r="R626" i="1"/>
  <c r="P626" i="1" s="1"/>
  <c r="Q626" i="1" s="1"/>
  <c r="R627" i="1"/>
  <c r="P627" i="1" s="1"/>
  <c r="Q627" i="1" s="1"/>
  <c r="R628" i="1"/>
  <c r="P628" i="1" s="1"/>
  <c r="Q628" i="1" s="1"/>
  <c r="R629" i="1"/>
  <c r="P629" i="1" s="1"/>
  <c r="R630" i="1"/>
  <c r="P630" i="1" s="1"/>
  <c r="Q630" i="1" s="1"/>
  <c r="R631" i="1"/>
  <c r="P631" i="1" s="1"/>
  <c r="Q631" i="1" s="1"/>
  <c r="R632" i="1"/>
  <c r="P632" i="1" s="1"/>
  <c r="Q632" i="1" s="1"/>
  <c r="R633" i="1"/>
  <c r="P633" i="1" s="1"/>
  <c r="Q633" i="1" s="1"/>
  <c r="R634" i="1"/>
  <c r="P634" i="1" s="1"/>
  <c r="Q634" i="1" s="1"/>
  <c r="R635" i="1"/>
  <c r="P635" i="1" s="1"/>
  <c r="Q635" i="1" s="1"/>
  <c r="R636" i="1"/>
  <c r="P636" i="1" s="1"/>
  <c r="Q636" i="1" s="1"/>
  <c r="R637" i="1"/>
  <c r="P637" i="1" s="1"/>
  <c r="Q637" i="1" s="1"/>
  <c r="R638" i="1"/>
  <c r="R639" i="1"/>
  <c r="P639" i="1" s="1"/>
  <c r="Q639" i="1" s="1"/>
  <c r="R640" i="1"/>
  <c r="P640" i="1" s="1"/>
  <c r="Q640" i="1" s="1"/>
  <c r="R641" i="1"/>
  <c r="P641" i="1" s="1"/>
  <c r="R642" i="1"/>
  <c r="P642" i="1" s="1"/>
  <c r="Q642" i="1" s="1"/>
  <c r="R643" i="1"/>
  <c r="P643" i="1" s="1"/>
  <c r="Q643" i="1" s="1"/>
  <c r="R644" i="1"/>
  <c r="P644" i="1" s="1"/>
  <c r="R645" i="1"/>
  <c r="P645" i="1" s="1"/>
  <c r="Q645" i="1" s="1"/>
  <c r="R646" i="1"/>
  <c r="P646" i="1" s="1"/>
  <c r="Q646" i="1" s="1"/>
  <c r="R647" i="1"/>
  <c r="P647" i="1" s="1"/>
  <c r="Q647" i="1" s="1"/>
  <c r="R648" i="1"/>
  <c r="P648" i="1" s="1"/>
  <c r="R649" i="1"/>
  <c r="P649" i="1" s="1"/>
  <c r="Q649" i="1" s="1"/>
  <c r="R650" i="1"/>
  <c r="P650" i="1" s="1"/>
  <c r="Q650" i="1" s="1"/>
  <c r="R651" i="1"/>
  <c r="P651" i="1" s="1"/>
  <c r="R652" i="1"/>
  <c r="P652" i="1" s="1"/>
  <c r="Q652" i="1" s="1"/>
  <c r="R653" i="1"/>
  <c r="P653" i="1" s="1"/>
  <c r="Q653" i="1" s="1"/>
  <c r="R654" i="1"/>
  <c r="P654" i="1" s="1"/>
  <c r="R655" i="1"/>
  <c r="P655" i="1" s="1"/>
  <c r="Q655" i="1" s="1"/>
  <c r="R656" i="1"/>
  <c r="P656" i="1" s="1"/>
  <c r="Q656" i="1" s="1"/>
  <c r="R657" i="1"/>
  <c r="P657" i="1" s="1"/>
  <c r="Q657" i="1" s="1"/>
  <c r="R658" i="1"/>
  <c r="P658" i="1" s="1"/>
  <c r="Q658" i="1" s="1"/>
  <c r="R659" i="1"/>
  <c r="P659" i="1" s="1"/>
  <c r="Q659" i="1" s="1"/>
  <c r="R660" i="1"/>
  <c r="P660" i="1" s="1"/>
  <c r="Q660" i="1" s="1"/>
  <c r="R661" i="1"/>
  <c r="P661" i="1" s="1"/>
  <c r="Q661" i="1" s="1"/>
  <c r="R662" i="1"/>
  <c r="P662" i="1" s="1"/>
  <c r="R663" i="1"/>
  <c r="P663" i="1" s="1"/>
  <c r="Q663" i="1" s="1"/>
  <c r="R664" i="1"/>
  <c r="P664" i="1" s="1"/>
  <c r="Q664" i="1" s="1"/>
  <c r="R665" i="1"/>
  <c r="P665" i="1" s="1"/>
  <c r="Q665" i="1" s="1"/>
  <c r="R666" i="1"/>
  <c r="P666" i="1" s="1"/>
  <c r="Q666" i="1" s="1"/>
  <c r="R667" i="1"/>
  <c r="P667" i="1" s="1"/>
  <c r="Q667" i="1" s="1"/>
  <c r="R668" i="1"/>
  <c r="P668" i="1" s="1"/>
  <c r="R669" i="1"/>
  <c r="P669" i="1" s="1"/>
  <c r="Q669" i="1" s="1"/>
  <c r="R670" i="1"/>
  <c r="P670" i="1" s="1"/>
  <c r="Q670" i="1" s="1"/>
  <c r="R671" i="1"/>
  <c r="P671" i="1" s="1"/>
  <c r="R672" i="1"/>
  <c r="P672" i="1" s="1"/>
  <c r="Q672" i="1" s="1"/>
  <c r="R673" i="1"/>
  <c r="P673" i="1" s="1"/>
  <c r="Q673" i="1" s="1"/>
  <c r="R674" i="1"/>
  <c r="P674" i="1" s="1"/>
  <c r="R675" i="1"/>
  <c r="P675" i="1" s="1"/>
  <c r="Q675" i="1" s="1"/>
  <c r="R676" i="1"/>
  <c r="P676" i="1" s="1"/>
  <c r="Q676" i="1" s="1"/>
  <c r="R677" i="1"/>
  <c r="P677" i="1" s="1"/>
  <c r="R678" i="1"/>
  <c r="P678" i="1" s="1"/>
  <c r="Q678" i="1" s="1"/>
  <c r="R679" i="1"/>
  <c r="R680" i="1"/>
  <c r="P680" i="1" s="1"/>
  <c r="Q680" i="1" s="1"/>
  <c r="R681" i="1"/>
  <c r="P681" i="1" s="1"/>
  <c r="R682" i="1"/>
  <c r="P682" i="1" s="1"/>
  <c r="Q682" i="1" s="1"/>
  <c r="R683" i="1"/>
  <c r="P683" i="1" s="1"/>
  <c r="Q683" i="1" s="1"/>
  <c r="R684" i="1"/>
  <c r="P684" i="1" s="1"/>
  <c r="Q684" i="1" s="1"/>
  <c r="R685" i="1"/>
  <c r="P685" i="1" s="1"/>
  <c r="Q685" i="1" s="1"/>
  <c r="R686" i="1"/>
  <c r="P686" i="1" s="1"/>
  <c r="Q686" i="1" s="1"/>
  <c r="R687" i="1"/>
  <c r="P687" i="1" s="1"/>
  <c r="R688" i="1"/>
  <c r="P688" i="1" s="1"/>
  <c r="Q688" i="1" s="1"/>
  <c r="R689" i="1"/>
  <c r="P689" i="1" s="1"/>
  <c r="Q689" i="1" s="1"/>
  <c r="R690" i="1"/>
  <c r="P690" i="1" s="1"/>
  <c r="R691" i="1"/>
  <c r="P691" i="1" s="1"/>
  <c r="Q691" i="1" s="1"/>
  <c r="R692" i="1"/>
  <c r="P692" i="1" s="1"/>
  <c r="Q692" i="1" s="1"/>
  <c r="R693" i="1"/>
  <c r="P693" i="1" s="1"/>
  <c r="Q693" i="1" s="1"/>
  <c r="R694" i="1"/>
  <c r="P694" i="1" s="1"/>
  <c r="Q694" i="1" s="1"/>
  <c r="R695" i="1"/>
  <c r="P695" i="1" s="1"/>
  <c r="Q695" i="1" s="1"/>
  <c r="R696" i="1"/>
  <c r="P696" i="1" s="1"/>
  <c r="Q696" i="1" s="1"/>
  <c r="R697" i="1"/>
  <c r="P697" i="1" s="1"/>
  <c r="R698" i="1"/>
  <c r="P698" i="1" s="1"/>
  <c r="R699" i="1"/>
  <c r="P699" i="1" s="1"/>
  <c r="Q699" i="1" s="1"/>
  <c r="R700" i="1"/>
  <c r="P700" i="1" s="1"/>
  <c r="Q700" i="1" s="1"/>
  <c r="R701" i="1"/>
  <c r="P701" i="1" s="1"/>
  <c r="Q701" i="1" s="1"/>
  <c r="R702" i="1"/>
  <c r="R703" i="1"/>
  <c r="P703" i="1" s="1"/>
  <c r="Q703" i="1" s="1"/>
  <c r="R704" i="1"/>
  <c r="P704" i="1" s="1"/>
  <c r="Q704" i="1" s="1"/>
  <c r="R705" i="1"/>
  <c r="P705" i="1" s="1"/>
  <c r="Q705" i="1" s="1"/>
  <c r="R706" i="1"/>
  <c r="P706" i="1" s="1"/>
  <c r="Q706" i="1" s="1"/>
  <c r="R707" i="1"/>
  <c r="P707" i="1" s="1"/>
  <c r="Q707" i="1" s="1"/>
  <c r="R708" i="1"/>
  <c r="P708" i="1" s="1"/>
  <c r="R709" i="1"/>
  <c r="P709" i="1" s="1"/>
  <c r="Q709" i="1" s="1"/>
  <c r="R710" i="1"/>
  <c r="P710" i="1" s="1"/>
  <c r="Q710" i="1" s="1"/>
  <c r="R711" i="1"/>
  <c r="P711" i="1" s="1"/>
  <c r="Q711" i="1" s="1"/>
  <c r="R712" i="1"/>
  <c r="P712" i="1" s="1"/>
  <c r="Q712" i="1" s="1"/>
  <c r="R713" i="1"/>
  <c r="P713" i="1" s="1"/>
  <c r="Q713" i="1" s="1"/>
  <c r="R714" i="1"/>
  <c r="P714" i="1" s="1"/>
  <c r="Q714" i="1" s="1"/>
  <c r="R715" i="1"/>
  <c r="P715" i="1" s="1"/>
  <c r="R716" i="1"/>
  <c r="P716" i="1" s="1"/>
  <c r="Q716" i="1" s="1"/>
  <c r="R717" i="1"/>
  <c r="P717" i="1" s="1"/>
  <c r="R718" i="1"/>
  <c r="P718" i="1" s="1"/>
  <c r="Q718" i="1" s="1"/>
  <c r="R719" i="1"/>
  <c r="P719" i="1" s="1"/>
  <c r="Q719" i="1" s="1"/>
  <c r="R720" i="1"/>
  <c r="P720" i="1" s="1"/>
  <c r="Q720" i="1" s="1"/>
  <c r="R721" i="1"/>
  <c r="P721" i="1" s="1"/>
  <c r="Q721" i="1" s="1"/>
  <c r="R722" i="1"/>
  <c r="P722" i="1" s="1"/>
  <c r="R723" i="1"/>
  <c r="P723" i="1" s="1"/>
  <c r="Q723" i="1" s="1"/>
  <c r="R724" i="1"/>
  <c r="P724" i="1" s="1"/>
  <c r="Q724" i="1" s="1"/>
  <c r="R725" i="1"/>
  <c r="P725" i="1" s="1"/>
  <c r="Q725" i="1" s="1"/>
  <c r="R726" i="1"/>
  <c r="P726" i="1" s="1"/>
  <c r="Q726" i="1" s="1"/>
  <c r="R727" i="1"/>
  <c r="P727" i="1" s="1"/>
  <c r="Q727" i="1" s="1"/>
  <c r="R728" i="1"/>
  <c r="P728" i="1" s="1"/>
  <c r="R729" i="1"/>
  <c r="P729" i="1" s="1"/>
  <c r="Q729" i="1" s="1"/>
  <c r="R730" i="1"/>
  <c r="P730" i="1" s="1"/>
  <c r="Q730" i="1" s="1"/>
  <c r="R731" i="1"/>
  <c r="P731" i="1" s="1"/>
  <c r="Q731" i="1" s="1"/>
  <c r="R732" i="1"/>
  <c r="P732" i="1" s="1"/>
  <c r="R733" i="1"/>
  <c r="P733" i="1" s="1"/>
  <c r="R734" i="1"/>
  <c r="P734" i="1" s="1"/>
  <c r="Q734" i="1" s="1"/>
  <c r="R735" i="1"/>
  <c r="P735" i="1" s="1"/>
  <c r="Q735" i="1" s="1"/>
  <c r="R736" i="1"/>
  <c r="P736" i="1" s="1"/>
  <c r="Q736" i="1" s="1"/>
  <c r="R737" i="1"/>
  <c r="P737" i="1" s="1"/>
  <c r="R738" i="1"/>
  <c r="P738" i="1" s="1"/>
  <c r="Q738" i="1" s="1"/>
  <c r="R739" i="1"/>
  <c r="P739" i="1" s="1"/>
  <c r="Q739" i="1" s="1"/>
  <c r="R740" i="1"/>
  <c r="P740" i="1" s="1"/>
  <c r="Q740" i="1" s="1"/>
  <c r="R741" i="1"/>
  <c r="P741" i="1" s="1"/>
  <c r="Q741" i="1" s="1"/>
  <c r="R742" i="1"/>
  <c r="P742" i="1" s="1"/>
  <c r="R743" i="1"/>
  <c r="P743" i="1" s="1"/>
  <c r="Q743" i="1" s="1"/>
  <c r="R744" i="1"/>
  <c r="P744" i="1" s="1"/>
  <c r="Q744" i="1" s="1"/>
  <c r="R745" i="1"/>
  <c r="P745" i="1" s="1"/>
  <c r="Q745" i="1" s="1"/>
  <c r="R746" i="1"/>
  <c r="P746" i="1" s="1"/>
  <c r="Q746" i="1" s="1"/>
  <c r="R747" i="1"/>
  <c r="P747" i="1" s="1"/>
  <c r="R748" i="1"/>
  <c r="P748" i="1" s="1"/>
  <c r="Q748" i="1" s="1"/>
  <c r="R749" i="1"/>
  <c r="P749" i="1" s="1"/>
  <c r="Q749" i="1" s="1"/>
  <c r="R750" i="1"/>
  <c r="P750" i="1" s="1"/>
  <c r="Q750" i="1" s="1"/>
  <c r="R751" i="1"/>
  <c r="P751" i="1" s="1"/>
  <c r="Q751" i="1" s="1"/>
  <c r="R752" i="1"/>
  <c r="P752" i="1" s="1"/>
  <c r="Q752" i="1" s="1"/>
  <c r="R753" i="1"/>
  <c r="P753" i="1" s="1"/>
  <c r="Q753" i="1" s="1"/>
  <c r="R754" i="1"/>
  <c r="P754" i="1" s="1"/>
  <c r="Q754" i="1" s="1"/>
  <c r="R755" i="1"/>
  <c r="P755" i="1" s="1"/>
  <c r="R756" i="1"/>
  <c r="P756" i="1" s="1"/>
  <c r="Q756" i="1" s="1"/>
  <c r="R757" i="1"/>
  <c r="P757" i="1" s="1"/>
  <c r="R758" i="1"/>
  <c r="P758" i="1" s="1"/>
  <c r="Q758" i="1" s="1"/>
  <c r="R759" i="1"/>
  <c r="P759" i="1" s="1"/>
  <c r="Q759" i="1" s="1"/>
  <c r="R760" i="1"/>
  <c r="P760" i="1" s="1"/>
  <c r="R761" i="1"/>
  <c r="P761" i="1" s="1"/>
  <c r="R762" i="1"/>
  <c r="P762" i="1" s="1"/>
  <c r="Q762" i="1" s="1"/>
  <c r="R763" i="1"/>
  <c r="P763" i="1" s="1"/>
  <c r="R764" i="1"/>
  <c r="P764" i="1" s="1"/>
  <c r="R765" i="1"/>
  <c r="P765" i="1" s="1"/>
  <c r="Q765" i="1" s="1"/>
  <c r="R766" i="1"/>
  <c r="P766" i="1" s="1"/>
  <c r="Q766" i="1" s="1"/>
  <c r="R767" i="1"/>
  <c r="P767" i="1" s="1"/>
  <c r="R768" i="1"/>
  <c r="P768" i="1" s="1"/>
  <c r="R769" i="1"/>
  <c r="P769" i="1" s="1"/>
  <c r="R770" i="1"/>
  <c r="P770" i="1" s="1"/>
  <c r="Q770" i="1" s="1"/>
  <c r="R771" i="1"/>
  <c r="P771" i="1" s="1"/>
  <c r="Q771" i="1" s="1"/>
  <c r="R772" i="1"/>
  <c r="R773" i="1"/>
  <c r="P773" i="1" s="1"/>
  <c r="Q773" i="1" s="1"/>
  <c r="R774" i="1"/>
  <c r="P774" i="1" s="1"/>
  <c r="Q774" i="1" s="1"/>
  <c r="R775" i="1"/>
  <c r="P775" i="1" s="1"/>
  <c r="Q775" i="1" s="1"/>
  <c r="R776" i="1"/>
  <c r="P776" i="1" s="1"/>
  <c r="R777" i="1"/>
  <c r="P777" i="1" s="1"/>
  <c r="Q777" i="1" s="1"/>
  <c r="R778" i="1"/>
  <c r="P778" i="1" s="1"/>
  <c r="Q778" i="1" s="1"/>
  <c r="R779" i="1"/>
  <c r="P779" i="1" s="1"/>
  <c r="Q779" i="1" s="1"/>
  <c r="R780" i="1"/>
  <c r="P780" i="1" s="1"/>
  <c r="Q780" i="1" s="1"/>
  <c r="R781" i="1"/>
  <c r="P781" i="1" s="1"/>
  <c r="Q781" i="1" s="1"/>
  <c r="R782" i="1"/>
  <c r="P782" i="1" s="1"/>
  <c r="Q782" i="1" s="1"/>
  <c r="R783" i="1"/>
  <c r="P783" i="1" s="1"/>
  <c r="Q783" i="1" s="1"/>
  <c r="R784" i="1"/>
  <c r="P784" i="1" s="1"/>
  <c r="Q784" i="1" s="1"/>
  <c r="R785" i="1"/>
  <c r="P785" i="1" s="1"/>
  <c r="R786" i="1"/>
  <c r="P786" i="1" s="1"/>
  <c r="Q786" i="1" s="1"/>
  <c r="R787" i="1"/>
  <c r="P787" i="1" s="1"/>
  <c r="Q787" i="1" s="1"/>
  <c r="R788" i="1"/>
  <c r="P788" i="1" s="1"/>
  <c r="R789" i="1"/>
  <c r="P789" i="1" s="1"/>
  <c r="Q789" i="1" s="1"/>
  <c r="R790" i="1"/>
  <c r="P790" i="1" s="1"/>
  <c r="R791" i="1"/>
  <c r="P791" i="1" s="1"/>
  <c r="Q791" i="1" s="1"/>
  <c r="R792" i="1"/>
  <c r="P792" i="1" s="1"/>
  <c r="Q792" i="1" s="1"/>
  <c r="R793" i="1"/>
  <c r="P793" i="1" s="1"/>
  <c r="Q793" i="1" s="1"/>
  <c r="R794" i="1"/>
  <c r="P794" i="1" s="1"/>
  <c r="Q794" i="1" s="1"/>
  <c r="R795" i="1"/>
  <c r="P795" i="1" s="1"/>
  <c r="Q795" i="1" s="1"/>
  <c r="R796" i="1"/>
  <c r="P796" i="1" s="1"/>
  <c r="R797" i="1"/>
  <c r="P797" i="1" s="1"/>
  <c r="Q797" i="1" s="1"/>
  <c r="R798" i="1"/>
  <c r="P798" i="1" s="1"/>
  <c r="Q798" i="1" s="1"/>
  <c r="R799" i="1"/>
  <c r="P799" i="1" s="1"/>
  <c r="Q799" i="1" s="1"/>
  <c r="R800" i="1"/>
  <c r="P800" i="1" s="1"/>
  <c r="Q800" i="1" s="1"/>
  <c r="R801" i="1"/>
  <c r="P801" i="1" s="1"/>
  <c r="Q801" i="1" s="1"/>
  <c r="R802" i="1"/>
  <c r="P802" i="1" s="1"/>
  <c r="Q802" i="1" s="1"/>
  <c r="R803" i="1"/>
  <c r="P803" i="1" s="1"/>
  <c r="Q803" i="1" s="1"/>
  <c r="R804" i="1"/>
  <c r="P804" i="1" s="1"/>
  <c r="R805" i="1"/>
  <c r="P805" i="1" s="1"/>
  <c r="R806" i="1"/>
  <c r="P806" i="1" s="1"/>
  <c r="Q806" i="1" s="1"/>
  <c r="R807" i="1"/>
  <c r="P807" i="1" s="1"/>
  <c r="Q807" i="1" s="1"/>
  <c r="R808" i="1"/>
  <c r="P808" i="1" s="1"/>
  <c r="Q808" i="1" s="1"/>
  <c r="R809" i="1"/>
  <c r="P809" i="1" s="1"/>
  <c r="R810" i="1"/>
  <c r="P810" i="1" s="1"/>
  <c r="Q810" i="1" s="1"/>
  <c r="R811" i="1"/>
  <c r="P811" i="1" s="1"/>
  <c r="Q811" i="1" s="1"/>
  <c r="R812" i="1"/>
  <c r="P812" i="1" s="1"/>
  <c r="Q812" i="1" s="1"/>
  <c r="R813" i="1"/>
  <c r="P813" i="1" s="1"/>
  <c r="Q813" i="1" s="1"/>
  <c r="R814" i="1"/>
  <c r="P814" i="1" s="1"/>
  <c r="R815" i="1"/>
  <c r="P815" i="1" s="1"/>
  <c r="Q815" i="1" s="1"/>
  <c r="R816" i="1"/>
  <c r="P816" i="1" s="1"/>
  <c r="R817" i="1"/>
  <c r="P817" i="1" s="1"/>
  <c r="Q817" i="1" s="1"/>
  <c r="R818" i="1"/>
  <c r="P818" i="1" s="1"/>
  <c r="Q818" i="1" s="1"/>
  <c r="R819" i="1"/>
  <c r="P819" i="1" s="1"/>
  <c r="R820" i="1"/>
  <c r="P820" i="1" s="1"/>
  <c r="R821" i="1"/>
  <c r="P821" i="1" s="1"/>
  <c r="Q821" i="1" s="1"/>
  <c r="R822" i="1"/>
  <c r="P822" i="1" s="1"/>
  <c r="Q822" i="1" s="1"/>
  <c r="R823" i="1"/>
  <c r="R824" i="1"/>
  <c r="P824" i="1" s="1"/>
  <c r="R825" i="1"/>
  <c r="P825" i="1" s="1"/>
  <c r="Q825" i="1" s="1"/>
  <c r="R826" i="1"/>
  <c r="P826" i="1" s="1"/>
  <c r="Q826" i="1" s="1"/>
  <c r="R827" i="1"/>
  <c r="P827" i="1" s="1"/>
  <c r="Q827" i="1" s="1"/>
  <c r="R828" i="1"/>
  <c r="P828" i="1" s="1"/>
  <c r="R829" i="1"/>
  <c r="P829" i="1" s="1"/>
  <c r="R830" i="1"/>
  <c r="P830" i="1" s="1"/>
  <c r="Q830" i="1" s="1"/>
  <c r="R831" i="1"/>
  <c r="P831" i="1" s="1"/>
  <c r="Q831" i="1" s="1"/>
  <c r="R832" i="1"/>
  <c r="P832" i="1" s="1"/>
  <c r="Q832" i="1" s="1"/>
  <c r="R833" i="1"/>
  <c r="P833" i="1" s="1"/>
  <c r="Q833" i="1" s="1"/>
  <c r="R834" i="1"/>
  <c r="P834" i="1" s="1"/>
  <c r="Q834" i="1" s="1"/>
  <c r="R835" i="1"/>
  <c r="P835" i="1" s="1"/>
  <c r="Q835" i="1" s="1"/>
  <c r="R836" i="1"/>
  <c r="P836" i="1" s="1"/>
  <c r="R837" i="1"/>
  <c r="P837" i="1" s="1"/>
  <c r="Q837" i="1" s="1"/>
  <c r="R838" i="1"/>
  <c r="P838" i="1" s="1"/>
  <c r="Q838" i="1" s="1"/>
  <c r="R839" i="1"/>
  <c r="R840" i="1"/>
  <c r="P840" i="1" s="1"/>
  <c r="Q840" i="1" s="1"/>
  <c r="R841" i="1"/>
  <c r="P841" i="1" s="1"/>
  <c r="Q841" i="1" s="1"/>
  <c r="R842" i="1"/>
  <c r="P842" i="1" s="1"/>
  <c r="Q842" i="1" s="1"/>
  <c r="R843" i="1"/>
  <c r="P843" i="1" s="1"/>
  <c r="Q843" i="1" s="1"/>
  <c r="R844" i="1"/>
  <c r="P844" i="1" s="1"/>
  <c r="Q844" i="1" s="1"/>
  <c r="R845" i="1"/>
  <c r="P845" i="1" s="1"/>
  <c r="Q845" i="1" s="1"/>
  <c r="R846" i="1"/>
  <c r="P846" i="1" s="1"/>
  <c r="R847" i="1"/>
  <c r="P847" i="1" s="1"/>
  <c r="Q847" i="1" s="1"/>
  <c r="R848" i="1"/>
  <c r="P848" i="1" s="1"/>
  <c r="Q848" i="1" s="1"/>
  <c r="R849" i="1"/>
  <c r="P849" i="1" s="1"/>
  <c r="Q849" i="1" s="1"/>
  <c r="R850" i="1"/>
  <c r="P850" i="1" s="1"/>
  <c r="Q850" i="1" s="1"/>
  <c r="R851" i="1"/>
  <c r="P851" i="1" s="1"/>
  <c r="Q851" i="1" s="1"/>
  <c r="R852" i="1"/>
  <c r="P852" i="1" s="1"/>
  <c r="Q852" i="1" s="1"/>
  <c r="R853" i="1"/>
  <c r="P853" i="1" s="1"/>
  <c r="Q853" i="1" s="1"/>
  <c r="R854" i="1"/>
  <c r="P854" i="1" s="1"/>
  <c r="Q854" i="1" s="1"/>
  <c r="R855" i="1"/>
  <c r="P855" i="1" s="1"/>
  <c r="Q855" i="1" s="1"/>
  <c r="R856" i="1"/>
  <c r="P856" i="1" s="1"/>
  <c r="Q856" i="1" s="1"/>
  <c r="R857" i="1"/>
  <c r="P857" i="1" s="1"/>
  <c r="R858" i="1"/>
  <c r="P858" i="1" s="1"/>
  <c r="Q858" i="1" s="1"/>
  <c r="R859" i="1"/>
  <c r="P859" i="1" s="1"/>
  <c r="Q859" i="1" s="1"/>
  <c r="R860" i="1"/>
  <c r="P860" i="1" s="1"/>
  <c r="R861" i="1"/>
  <c r="P861" i="1" s="1"/>
  <c r="Q861" i="1" s="1"/>
  <c r="R862" i="1"/>
  <c r="P862" i="1" s="1"/>
  <c r="Q862" i="1" s="1"/>
  <c r="R863" i="1"/>
  <c r="P863" i="1" s="1"/>
  <c r="Q863" i="1" s="1"/>
  <c r="R864" i="1"/>
  <c r="P864" i="1" s="1"/>
  <c r="Q864" i="1" s="1"/>
  <c r="R865" i="1"/>
  <c r="P865" i="1" s="1"/>
  <c r="Q865" i="1" s="1"/>
  <c r="R866" i="1"/>
  <c r="P866" i="1" s="1"/>
  <c r="Q866" i="1" s="1"/>
  <c r="R867" i="1"/>
  <c r="P867" i="1" s="1"/>
  <c r="Q867" i="1" s="1"/>
  <c r="R868" i="1"/>
  <c r="P868" i="1" s="1"/>
  <c r="Q868" i="1" s="1"/>
  <c r="R869" i="1"/>
  <c r="P869" i="1" s="1"/>
  <c r="R870" i="1"/>
  <c r="P870" i="1" s="1"/>
  <c r="Q870" i="1" s="1"/>
  <c r="R871" i="1"/>
  <c r="P871" i="1" s="1"/>
  <c r="Q871" i="1" s="1"/>
  <c r="R872" i="1"/>
  <c r="P872" i="1" s="1"/>
  <c r="Q872" i="1" s="1"/>
  <c r="R873" i="1"/>
  <c r="P873" i="1" s="1"/>
  <c r="Q873" i="1" s="1"/>
  <c r="R874" i="1"/>
  <c r="P874" i="1" s="1"/>
  <c r="Q874" i="1" s="1"/>
  <c r="R875" i="1"/>
  <c r="P875" i="1" s="1"/>
  <c r="Q875" i="1" s="1"/>
  <c r="R876" i="1"/>
  <c r="P876" i="1" s="1"/>
  <c r="Q876" i="1" s="1"/>
  <c r="R877" i="1"/>
  <c r="P877" i="1" s="1"/>
  <c r="Q877" i="1" s="1"/>
  <c r="R878" i="1"/>
  <c r="R879" i="1"/>
  <c r="P879" i="1" s="1"/>
  <c r="Q879" i="1" s="1"/>
  <c r="R880" i="1"/>
  <c r="P880" i="1" s="1"/>
  <c r="R881" i="1"/>
  <c r="P881" i="1" s="1"/>
  <c r="Q881" i="1" s="1"/>
  <c r="R882" i="1"/>
  <c r="P882" i="1" s="1"/>
  <c r="R883" i="1"/>
  <c r="P883" i="1" s="1"/>
  <c r="Q883" i="1" s="1"/>
  <c r="R884" i="1"/>
  <c r="P884" i="1" s="1"/>
  <c r="Q884" i="1" s="1"/>
  <c r="R885" i="1"/>
  <c r="P885" i="1" s="1"/>
  <c r="Q885" i="1" s="1"/>
  <c r="R886" i="1"/>
  <c r="P886" i="1" s="1"/>
  <c r="Q886" i="1" s="1"/>
  <c r="R887" i="1"/>
  <c r="P887" i="1" s="1"/>
  <c r="Q887" i="1" s="1"/>
  <c r="R888" i="1"/>
  <c r="P888" i="1" s="1"/>
  <c r="Q888" i="1" s="1"/>
  <c r="R889" i="1"/>
  <c r="P889" i="1" s="1"/>
  <c r="Q889" i="1" s="1"/>
  <c r="R890" i="1"/>
  <c r="P890" i="1" s="1"/>
  <c r="Q890" i="1" s="1"/>
  <c r="R891" i="1"/>
  <c r="P891" i="1" s="1"/>
  <c r="Q891" i="1" s="1"/>
  <c r="R892" i="1"/>
  <c r="P892" i="1" s="1"/>
  <c r="R893" i="1"/>
  <c r="P893" i="1" s="1"/>
  <c r="Q893" i="1" s="1"/>
  <c r="R894" i="1"/>
  <c r="P894" i="1" s="1"/>
  <c r="Q894" i="1" s="1"/>
  <c r="R895" i="1"/>
  <c r="P895" i="1" s="1"/>
  <c r="Q895" i="1" s="1"/>
  <c r="R896" i="1"/>
  <c r="P896" i="1" s="1"/>
  <c r="R897" i="1"/>
  <c r="P897" i="1" s="1"/>
  <c r="Q897" i="1" s="1"/>
  <c r="R898" i="1"/>
  <c r="P898" i="1" s="1"/>
  <c r="R899" i="1"/>
  <c r="P899" i="1" s="1"/>
  <c r="Q899" i="1" s="1"/>
  <c r="R900" i="1"/>
  <c r="P900" i="1" s="1"/>
  <c r="Q900" i="1" s="1"/>
  <c r="R901" i="1"/>
  <c r="R902" i="1"/>
  <c r="P902" i="1" s="1"/>
  <c r="Q902" i="1" s="1"/>
  <c r="R903" i="1"/>
  <c r="P903" i="1" s="1"/>
  <c r="Q903" i="1" s="1"/>
  <c r="R904" i="1"/>
  <c r="P904" i="1" s="1"/>
  <c r="R905" i="1"/>
  <c r="P905" i="1" s="1"/>
  <c r="Q905" i="1" s="1"/>
  <c r="R906" i="1"/>
  <c r="P906" i="1" s="1"/>
  <c r="Q906" i="1" s="1"/>
  <c r="R907" i="1"/>
  <c r="P907" i="1" s="1"/>
  <c r="Q907" i="1" s="1"/>
  <c r="R908" i="1"/>
  <c r="P908" i="1" s="1"/>
  <c r="Q908" i="1" s="1"/>
  <c r="R909" i="1"/>
  <c r="P909" i="1" s="1"/>
  <c r="Q909" i="1" s="1"/>
  <c r="R910" i="1"/>
  <c r="P910" i="1" s="1"/>
  <c r="R911" i="1"/>
  <c r="P911" i="1" s="1"/>
  <c r="Q911" i="1" s="1"/>
  <c r="R912" i="1"/>
  <c r="P912" i="1" s="1"/>
  <c r="R913" i="1"/>
  <c r="P913" i="1" s="1"/>
  <c r="R914" i="1"/>
  <c r="P914" i="1" s="1"/>
  <c r="Q914" i="1" s="1"/>
  <c r="R915" i="1"/>
  <c r="P915" i="1" s="1"/>
  <c r="Q915" i="1" s="1"/>
  <c r="R916" i="1"/>
  <c r="P916" i="1" s="1"/>
  <c r="Q916" i="1" s="1"/>
  <c r="R917" i="1"/>
  <c r="P917" i="1" s="1"/>
  <c r="R918" i="1"/>
  <c r="P918" i="1" s="1"/>
  <c r="Q918" i="1" s="1"/>
  <c r="R919" i="1"/>
  <c r="P919" i="1" s="1"/>
  <c r="Q919" i="1" s="1"/>
  <c r="R920" i="1"/>
  <c r="P920" i="1" s="1"/>
  <c r="Q920" i="1" s="1"/>
  <c r="R921" i="1"/>
  <c r="P921" i="1" s="1"/>
  <c r="Q921" i="1" s="1"/>
  <c r="R922" i="1"/>
  <c r="P922" i="1" s="1"/>
  <c r="Q922" i="1" s="1"/>
  <c r="R923" i="1"/>
  <c r="P923" i="1" s="1"/>
  <c r="R924" i="1"/>
  <c r="P924" i="1" s="1"/>
  <c r="Q924" i="1" s="1"/>
  <c r="R925" i="1"/>
  <c r="P925" i="1" s="1"/>
  <c r="Q925" i="1" s="1"/>
  <c r="R926" i="1"/>
  <c r="P926" i="1" s="1"/>
  <c r="Q926" i="1" s="1"/>
  <c r="R927" i="1"/>
  <c r="P927" i="1" s="1"/>
  <c r="R928" i="1"/>
  <c r="P928" i="1" s="1"/>
  <c r="Q928" i="1" s="1"/>
  <c r="R929" i="1"/>
  <c r="P929" i="1" s="1"/>
  <c r="Q929" i="1" s="1"/>
  <c r="R930" i="1"/>
  <c r="P930" i="1" s="1"/>
  <c r="R931" i="1"/>
  <c r="P931" i="1" s="1"/>
  <c r="Q931" i="1" s="1"/>
  <c r="R932" i="1"/>
  <c r="P932" i="1" s="1"/>
  <c r="R933" i="1"/>
  <c r="P933" i="1" s="1"/>
  <c r="Q933" i="1" s="1"/>
  <c r="R934" i="1"/>
  <c r="P934" i="1" s="1"/>
  <c r="Q934" i="1" s="1"/>
  <c r="R935" i="1"/>
  <c r="P935" i="1" s="1"/>
  <c r="R936" i="1"/>
  <c r="P936" i="1" s="1"/>
  <c r="Q936" i="1" s="1"/>
  <c r="R937" i="1"/>
  <c r="P937" i="1" s="1"/>
  <c r="Q937" i="1" s="1"/>
  <c r="R938" i="1"/>
  <c r="R939" i="1"/>
  <c r="P939" i="1" s="1"/>
  <c r="Q939" i="1" s="1"/>
  <c r="R940" i="1"/>
  <c r="P940" i="1" s="1"/>
  <c r="Q940" i="1" s="1"/>
  <c r="R941" i="1"/>
  <c r="P941" i="1" s="1"/>
  <c r="Q941" i="1" s="1"/>
  <c r="R942" i="1"/>
  <c r="R943" i="1"/>
  <c r="P943" i="1" s="1"/>
  <c r="Q943" i="1" s="1"/>
  <c r="R944" i="1"/>
  <c r="P944" i="1" s="1"/>
  <c r="Q944" i="1" s="1"/>
  <c r="R945" i="1"/>
  <c r="P945" i="1" s="1"/>
  <c r="Q945" i="1" s="1"/>
  <c r="R946" i="1"/>
  <c r="P946" i="1" s="1"/>
  <c r="Q946" i="1" s="1"/>
  <c r="R947" i="1"/>
  <c r="P947" i="1" s="1"/>
  <c r="Q947" i="1" s="1"/>
  <c r="R948" i="1"/>
  <c r="P948" i="1" s="1"/>
  <c r="Q948" i="1" s="1"/>
  <c r="R949" i="1"/>
  <c r="P949" i="1" s="1"/>
  <c r="R950" i="1"/>
  <c r="R951" i="1"/>
  <c r="P951" i="1" s="1"/>
  <c r="Q951" i="1" s="1"/>
  <c r="R952" i="1"/>
  <c r="P952" i="1" s="1"/>
  <c r="Q952" i="1" s="1"/>
  <c r="R953" i="1"/>
  <c r="P953" i="1" s="1"/>
  <c r="Q953" i="1" s="1"/>
  <c r="R954" i="1"/>
  <c r="P954" i="1" s="1"/>
  <c r="Q954" i="1" s="1"/>
  <c r="R955" i="1"/>
  <c r="R956" i="1"/>
  <c r="P956" i="1" s="1"/>
  <c r="Q956" i="1" s="1"/>
  <c r="R957" i="1"/>
  <c r="P957" i="1" s="1"/>
  <c r="Q957" i="1" s="1"/>
  <c r="R958" i="1"/>
  <c r="R959" i="1"/>
  <c r="P959" i="1" s="1"/>
  <c r="Q959" i="1" s="1"/>
  <c r="R960" i="1"/>
  <c r="P960" i="1" s="1"/>
  <c r="Q960" i="1" s="1"/>
  <c r="R961" i="1"/>
  <c r="P961" i="1" s="1"/>
  <c r="Q961" i="1" s="1"/>
  <c r="R962" i="1"/>
  <c r="P962" i="1" s="1"/>
  <c r="Q962" i="1" s="1"/>
  <c r="R963" i="1"/>
  <c r="P963" i="1" s="1"/>
  <c r="R964" i="1"/>
  <c r="P964" i="1" s="1"/>
  <c r="R965" i="1"/>
  <c r="R966" i="1"/>
  <c r="P966" i="1" s="1"/>
  <c r="Q966" i="1" s="1"/>
  <c r="R967" i="1"/>
  <c r="P967" i="1" s="1"/>
  <c r="Q967" i="1" s="1"/>
  <c r="R968" i="1"/>
  <c r="P968" i="1" s="1"/>
  <c r="Q968" i="1" s="1"/>
  <c r="R969" i="1"/>
  <c r="P969" i="1" s="1"/>
  <c r="R970" i="1"/>
  <c r="P970" i="1" s="1"/>
  <c r="Q970" i="1" s="1"/>
  <c r="R971" i="1"/>
  <c r="P971" i="1" s="1"/>
  <c r="Q971" i="1" s="1"/>
  <c r="R972" i="1"/>
  <c r="P972" i="1" s="1"/>
  <c r="R973" i="1"/>
  <c r="P973" i="1" s="1"/>
  <c r="Q973" i="1" s="1"/>
  <c r="R974" i="1"/>
  <c r="P974" i="1" s="1"/>
  <c r="Q974" i="1" s="1"/>
  <c r="R975" i="1"/>
  <c r="P975" i="1" s="1"/>
  <c r="Q975" i="1" s="1"/>
  <c r="R976" i="1"/>
  <c r="P976" i="1" s="1"/>
  <c r="Q976" i="1" s="1"/>
  <c r="R977" i="1"/>
  <c r="P977" i="1" s="1"/>
  <c r="Q977" i="1" s="1"/>
  <c r="R978" i="1"/>
  <c r="P978" i="1" s="1"/>
  <c r="Q978" i="1" s="1"/>
  <c r="R979" i="1"/>
  <c r="P979" i="1" s="1"/>
  <c r="Q979" i="1" s="1"/>
  <c r="R980" i="1"/>
  <c r="P980" i="1" s="1"/>
  <c r="Q980" i="1" s="1"/>
  <c r="R981" i="1"/>
  <c r="P981" i="1" s="1"/>
  <c r="Q981" i="1" s="1"/>
  <c r="R982" i="1"/>
  <c r="P982" i="1" s="1"/>
  <c r="Q982" i="1" s="1"/>
  <c r="R983" i="1"/>
  <c r="P983" i="1" s="1"/>
  <c r="R984" i="1"/>
  <c r="P984" i="1" s="1"/>
  <c r="Q984" i="1" s="1"/>
  <c r="R985" i="1"/>
  <c r="P985" i="1" s="1"/>
  <c r="R986" i="1"/>
  <c r="P986" i="1" s="1"/>
  <c r="R987" i="1"/>
  <c r="P987" i="1" s="1"/>
  <c r="Q987" i="1" s="1"/>
  <c r="R988" i="1"/>
  <c r="P988" i="1" s="1"/>
  <c r="R989" i="1"/>
  <c r="P989" i="1" s="1"/>
  <c r="Q989" i="1" s="1"/>
  <c r="R990" i="1"/>
  <c r="P990" i="1" s="1"/>
  <c r="Q990" i="1" s="1"/>
  <c r="R991" i="1"/>
  <c r="P991" i="1" s="1"/>
  <c r="Q991" i="1" s="1"/>
  <c r="R992" i="1"/>
  <c r="P992" i="1" s="1"/>
  <c r="Q992" i="1" s="1"/>
  <c r="R993" i="1"/>
  <c r="P993" i="1" s="1"/>
  <c r="Q993" i="1" s="1"/>
  <c r="R994" i="1"/>
  <c r="P994" i="1" s="1"/>
  <c r="Q994" i="1" s="1"/>
  <c r="R995" i="1"/>
  <c r="P995" i="1" s="1"/>
  <c r="R996" i="1"/>
  <c r="P996" i="1" s="1"/>
  <c r="Q996" i="1" s="1"/>
  <c r="R997" i="1"/>
  <c r="P997" i="1" s="1"/>
  <c r="R998" i="1"/>
  <c r="P998" i="1" s="1"/>
  <c r="Q998" i="1" s="1"/>
  <c r="R999" i="1"/>
  <c r="P999" i="1" s="1"/>
  <c r="Q999" i="1" s="1"/>
  <c r="R1000" i="1"/>
  <c r="P1000" i="1" s="1"/>
  <c r="Q1000" i="1" s="1"/>
  <c r="R1001" i="1"/>
  <c r="P1001" i="1" s="1"/>
  <c r="R1002" i="1"/>
  <c r="P1002" i="1" s="1"/>
  <c r="Q1002" i="1" s="1"/>
  <c r="R1003" i="1"/>
  <c r="P1003" i="1" s="1"/>
  <c r="Q1003" i="1" s="1"/>
  <c r="R1004" i="1"/>
  <c r="P1004" i="1" s="1"/>
  <c r="Q1004" i="1" s="1"/>
  <c r="R1005" i="1"/>
  <c r="P1005" i="1" s="1"/>
  <c r="Q1005" i="1" s="1"/>
  <c r="R1006" i="1"/>
  <c r="P1006" i="1" s="1"/>
  <c r="Q1006" i="1" s="1"/>
  <c r="R1007" i="1"/>
  <c r="P1007" i="1" s="1"/>
  <c r="Q1007" i="1" s="1"/>
  <c r="R1008" i="1"/>
  <c r="P1008" i="1" s="1"/>
  <c r="Q1008" i="1" s="1"/>
  <c r="R1009" i="1"/>
  <c r="P1009" i="1" s="1"/>
  <c r="R1010" i="1"/>
  <c r="P1010" i="1" s="1"/>
  <c r="Q1010" i="1" s="1"/>
  <c r="R1011" i="1"/>
  <c r="P1011" i="1" s="1"/>
  <c r="R1012" i="1"/>
  <c r="P1012" i="1" s="1"/>
  <c r="Q1012" i="1" s="1"/>
  <c r="R1013" i="1"/>
  <c r="P1013" i="1" s="1"/>
  <c r="Q1013" i="1" s="1"/>
  <c r="R1014" i="1"/>
  <c r="R1015" i="1"/>
  <c r="P1015" i="1" s="1"/>
  <c r="Q1015" i="1" s="1"/>
  <c r="R1016" i="1"/>
  <c r="P1016" i="1" s="1"/>
  <c r="Q1016" i="1" s="1"/>
  <c r="R1017" i="1"/>
  <c r="R1018" i="1"/>
  <c r="P1018" i="1" s="1"/>
  <c r="Q1018" i="1" s="1"/>
  <c r="R1019" i="1"/>
  <c r="P1019" i="1" s="1"/>
  <c r="Q1019" i="1" s="1"/>
  <c r="R1020" i="1"/>
  <c r="P1020" i="1" s="1"/>
  <c r="Q1020" i="1" s="1"/>
  <c r="R1021" i="1"/>
  <c r="P1021" i="1" s="1"/>
  <c r="Q1021" i="1" s="1"/>
  <c r="R2" i="1"/>
  <c r="P2" i="1" s="1"/>
  <c r="Q2" i="1" s="1"/>
  <c r="P901" i="1" l="1"/>
  <c r="Q901" i="1" s="1"/>
  <c r="P950" i="1"/>
  <c r="Q950" i="1" s="1"/>
  <c r="P938" i="1"/>
  <c r="Q938" i="1" s="1"/>
  <c r="P878" i="1"/>
  <c r="Q878" i="1" s="1"/>
  <c r="P638" i="1"/>
  <c r="Q638" i="1" s="1"/>
  <c r="P839" i="1"/>
  <c r="Q839" i="1" s="1"/>
  <c r="P958" i="1"/>
  <c r="Q958" i="1" s="1"/>
  <c r="P346" i="1"/>
  <c r="P1017" i="1"/>
  <c r="Q1017" i="1" s="1"/>
  <c r="P621" i="1"/>
  <c r="Q621" i="1" s="1"/>
  <c r="P584" i="1"/>
  <c r="Q584" i="1" s="1"/>
  <c r="P955" i="1"/>
  <c r="P823" i="1"/>
  <c r="Q823" i="1" s="1"/>
  <c r="P679" i="1"/>
  <c r="Q679" i="1" s="1"/>
  <c r="P331" i="1"/>
  <c r="Q331" i="1" s="1"/>
  <c r="P1014" i="1"/>
  <c r="Q1014" i="1" s="1"/>
  <c r="P942" i="1"/>
  <c r="Q942" i="1" s="1"/>
  <c r="P702" i="1"/>
  <c r="Q702" i="1" s="1"/>
  <c r="P965" i="1"/>
  <c r="Q965" i="1" s="1"/>
  <c r="P772" i="1"/>
  <c r="Q772" i="1" s="1"/>
  <c r="P400" i="1"/>
  <c r="Q400" i="1" s="1"/>
  <c r="P579" i="1"/>
  <c r="Q579" i="1" s="1"/>
  <c r="P291" i="1"/>
  <c r="P101" i="1"/>
  <c r="Q1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F87F3-62FF-4EAE-9281-5BFFEC1C16E1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  <connection id="2" xr16:uid="{CEC53E32-4B8B-47B5-8456-00398B467719}" keepAlive="1" name="Query - Messy_Employee_dataset (3)" description="Connection to the 'Messy_Employee_dataset (3)' query in the workbook." type="5" refreshedVersion="8" background="1" saveData="1">
    <dbPr connection="Provider=Microsoft.Mashup.OleDb.1;Data Source=$Workbook$;Location=&quot;Messy_Employee_dataset (3)&quot;;Extended Properties=&quot;&quot;" command="SELECT * FROM [Messy_Employee_dataset (3)]"/>
  </connection>
</connections>
</file>

<file path=xl/sharedStrings.xml><?xml version="1.0" encoding="utf-8"?>
<sst xmlns="http://schemas.openxmlformats.org/spreadsheetml/2006/main" count="16356" uniqueCount="2151">
  <si>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</si>
  <si>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</si>
  <si>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</si>
  <si>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</si>
  <si>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</si>
  <si>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</si>
  <si>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</si>
  <si>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</si>
  <si>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</si>
  <si>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</si>
  <si>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</si>
  <si>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</si>
  <si>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</si>
  <si>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</si>
  <si>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</si>
  <si>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</si>
  <si>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</si>
  <si>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59767.65</t>
  </si>
  <si>
    <t>bob.davis@example.com</t>
  </si>
  <si>
    <t>Average</t>
  </si>
  <si>
    <t>EMP1001</t>
  </si>
  <si>
    <t>Brown</t>
  </si>
  <si>
    <t>Finance-Texas</t>
  </si>
  <si>
    <t>65304.66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</si>
  <si>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</si>
  <si>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</si>
  <si>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</si>
  <si>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</si>
  <si>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</si>
  <si>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</si>
  <si>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</si>
  <si>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88145.9</t>
  </si>
  <si>
    <t>alice.jones@example.com</t>
  </si>
  <si>
    <t>Good</t>
  </si>
  <si>
    <t>EMP1003</t>
  </si>
  <si>
    <t>Eva</t>
  </si>
  <si>
    <t>Inactive</t>
  </si>
  <si>
    <t>69450.99</t>
  </si>
  <si>
    <t>eva.davis@example.com</t>
  </si>
  <si>
    <t>EMP1004</t>
  </si>
  <si>
    <t>Frank</t>
  </si>
  <si>
    <t>Williams</t>
  </si>
  <si>
    <t>Cloud Tech-Florida</t>
  </si>
  <si>
    <t>109324.61</t>
  </si>
  <si>
    <t>frank.williams@example.com</t>
  </si>
  <si>
    <t>Poor</t>
  </si>
  <si>
    <t>EMP1005</t>
  </si>
  <si>
    <t>Garcia</t>
  </si>
  <si>
    <t>Sales-Texas</t>
  </si>
  <si>
    <t>88642.84</t>
  </si>
  <si>
    <t>alice.garcia@example.com</t>
  </si>
  <si>
    <t>EMP1006</t>
  </si>
  <si>
    <t>96288.43</t>
  </si>
  <si>
    <t>frank.jones@example.com</t>
  </si>
  <si>
    <t>EMP1007</t>
  </si>
  <si>
    <t>94497.91</t>
  </si>
  <si>
    <t>bob.jones@example.com</t>
  </si>
  <si>
    <t>EMP1008</t>
  </si>
  <si>
    <t>115565.82</t>
  </si>
  <si>
    <t>frank.davis@example.com</t>
  </si>
  <si>
    <t>EMP1009</t>
  </si>
  <si>
    <t>Charlie</t>
  </si>
  <si>
    <t>Johnson</t>
  </si>
  <si>
    <t>DevOps-New York</t>
  </si>
  <si>
    <t>76561.88</t>
  </si>
  <si>
    <t>charlie.johnson@example.com</t>
  </si>
  <si>
    <t>EMP1010</t>
  </si>
  <si>
    <t>David</t>
  </si>
  <si>
    <t>Cloud Tech-New York</t>
  </si>
  <si>
    <t>72081.71</t>
  </si>
  <si>
    <t>david.williams@example.com</t>
  </si>
  <si>
    <t>EMP1011</t>
  </si>
  <si>
    <t>84946.19</t>
  </si>
  <si>
    <t>david.davis@example.com</t>
  </si>
  <si>
    <t>EMP1012</t>
  </si>
  <si>
    <t>Heidi</t>
  </si>
  <si>
    <t>HR-New York</t>
  </si>
  <si>
    <t>89295.77</t>
  </si>
  <si>
    <t>heidi.williams@example.com</t>
  </si>
  <si>
    <t>EMP1013</t>
  </si>
  <si>
    <t>Grace</t>
  </si>
  <si>
    <t>Finance-California</t>
  </si>
  <si>
    <t>85666.84</t>
  </si>
  <si>
    <t>grace.williams@example.com</t>
  </si>
  <si>
    <t>EMP1014</t>
  </si>
  <si>
    <t>97633.68</t>
  </si>
  <si>
    <t>EMP1015</t>
  </si>
  <si>
    <t>Sales-Florida</t>
  </si>
  <si>
    <t>117975.49</t>
  </si>
  <si>
    <t>grace.jones@example.com</t>
  </si>
  <si>
    <t>EMP1016</t>
  </si>
  <si>
    <t>DevOps-Illinois</t>
  </si>
  <si>
    <t>94867.33</t>
  </si>
  <si>
    <t>alice.brown@example.com</t>
  </si>
  <si>
    <t>EMP1017</t>
  </si>
  <si>
    <t>100377.65</t>
  </si>
  <si>
    <t>grace.garcia@example.com</t>
  </si>
  <si>
    <t>EMP1018</t>
  </si>
  <si>
    <t>Cloud Tech-Nevada</t>
  </si>
  <si>
    <t>94726.46</t>
  </si>
  <si>
    <t>charlie.garcia@example.com</t>
  </si>
  <si>
    <t>EMP1019</t>
  </si>
  <si>
    <t>Admin-Illinois</t>
  </si>
  <si>
    <t>91926.12</t>
  </si>
  <si>
    <t>charlie.williams@example.com</t>
  </si>
  <si>
    <t>EMP1020</t>
  </si>
  <si>
    <t>Miller</t>
  </si>
  <si>
    <t>111460.67</t>
  </si>
  <si>
    <t>bob.miller@example.com</t>
  </si>
  <si>
    <t>EMP1021</t>
  </si>
  <si>
    <t>Cloud Tech-Illinois</t>
  </si>
  <si>
    <t>96182.56</t>
  </si>
  <si>
    <t>EMP1022</t>
  </si>
  <si>
    <t>Sales-Illinois</t>
  </si>
  <si>
    <t>115023.94</t>
  </si>
  <si>
    <t>EMP1023</t>
  </si>
  <si>
    <t>Finance-Nevada</t>
  </si>
  <si>
    <t>80667.01</t>
  </si>
  <si>
    <t>david.garcia@example.com</t>
  </si>
  <si>
    <t>EMP1024</t>
  </si>
  <si>
    <t>Admin-Texas</t>
  </si>
  <si>
    <t>91181.61</t>
  </si>
  <si>
    <t>EMP1025</t>
  </si>
  <si>
    <t>66025.92</t>
  </si>
  <si>
    <t>david.miller@example.com</t>
  </si>
  <si>
    <t>EMP1026</t>
  </si>
  <si>
    <t>Sales-New York</t>
  </si>
  <si>
    <t>83979.01</t>
  </si>
  <si>
    <t>frank.miller@example.com</t>
  </si>
  <si>
    <t>EMP1027</t>
  </si>
  <si>
    <t>Finance-Florida</t>
  </si>
  <si>
    <t>56785.16</t>
  </si>
  <si>
    <t>heidi.johnson@example.com</t>
  </si>
  <si>
    <t>EMP1028</t>
  </si>
  <si>
    <t>95741.88</t>
  </si>
  <si>
    <t>EMP1029</t>
  </si>
  <si>
    <t>63411.31</t>
  </si>
  <si>
    <t>EMP1030</t>
  </si>
  <si>
    <t>Admin-California</t>
  </si>
  <si>
    <t>111214.02</t>
  </si>
  <si>
    <t>charlie.jones@example.com</t>
  </si>
  <si>
    <t>EMP1031</t>
  </si>
  <si>
    <t>Smith</t>
  </si>
  <si>
    <t>114845.69</t>
  </si>
  <si>
    <t>bob.smith@example.com</t>
  </si>
  <si>
    <t>EMP1032</t>
  </si>
  <si>
    <t>78072.82</t>
  </si>
  <si>
    <t>charlie.brown@example.com</t>
  </si>
  <si>
    <t>EMP1033</t>
  </si>
  <si>
    <t>79610.52</t>
  </si>
  <si>
    <t>grace.johnson@example.com</t>
  </si>
  <si>
    <t>EMP1034</t>
  </si>
  <si>
    <t>90542.62</t>
  </si>
  <si>
    <t>heidi.miller@example.com</t>
  </si>
  <si>
    <t>EMP1035</t>
  </si>
  <si>
    <t>114357.1</t>
  </si>
  <si>
    <t>EMP1036</t>
  </si>
  <si>
    <t>54757.26</t>
  </si>
  <si>
    <t>EMP1037</t>
  </si>
  <si>
    <t>52781.92</t>
  </si>
  <si>
    <t>grace.smith@example.com</t>
  </si>
  <si>
    <t>EMP1038</t>
  </si>
  <si>
    <t>66708.02</t>
  </si>
  <si>
    <t>frank.smith@example.com</t>
  </si>
  <si>
    <t>EMP1039</t>
  </si>
  <si>
    <t>HR-Texas</t>
  </si>
  <si>
    <t>93481.15</t>
  </si>
  <si>
    <t>eva.williams@example.com</t>
  </si>
  <si>
    <t>EMP1040</t>
  </si>
  <si>
    <t>59271.96</t>
  </si>
  <si>
    <t>bob.williams@example.com</t>
  </si>
  <si>
    <t>EMP1041</t>
  </si>
  <si>
    <t>HR-California</t>
  </si>
  <si>
    <t>108362.15</t>
  </si>
  <si>
    <t>EMP1042</t>
  </si>
  <si>
    <t>HR-Nevada</t>
  </si>
  <si>
    <t>59400.38</t>
  </si>
  <si>
    <t>alice.johnson@example.com</t>
  </si>
  <si>
    <t>EMP1043</t>
  </si>
  <si>
    <t>64744.08</t>
  </si>
  <si>
    <t>bob.garcia@example.com</t>
  </si>
  <si>
    <t>EMP1044</t>
  </si>
  <si>
    <t>94399.91</t>
  </si>
  <si>
    <t>eva.brown@example.com</t>
  </si>
  <si>
    <t>EMP1045</t>
  </si>
  <si>
    <t>61310.74</t>
  </si>
  <si>
    <t>EMP1046</t>
  </si>
  <si>
    <t>Cloud Tech-Texas</t>
  </si>
  <si>
    <t>98371.37</t>
  </si>
  <si>
    <t>EMP1047</t>
  </si>
  <si>
    <t>58921.19</t>
  </si>
  <si>
    <t>alice.davis@example.com</t>
  </si>
  <si>
    <t>EMP1048</t>
  </si>
  <si>
    <t>57195.55</t>
  </si>
  <si>
    <t>alice.miller@example.com</t>
  </si>
  <si>
    <t>EMP1049</t>
  </si>
  <si>
    <t>61375.12</t>
  </si>
  <si>
    <t>grace.miller@example.com</t>
  </si>
  <si>
    <t>EMP1050</t>
  </si>
  <si>
    <t>104767.05</t>
  </si>
  <si>
    <t>charlie.davis@example.com</t>
  </si>
  <si>
    <t>EMP1051</t>
  </si>
  <si>
    <t>111051.67</t>
  </si>
  <si>
    <t>EMP1052</t>
  </si>
  <si>
    <t>105674.18</t>
  </si>
  <si>
    <t>EMP1053</t>
  </si>
  <si>
    <t>54859.45</t>
  </si>
  <si>
    <t>EMP1054</t>
  </si>
  <si>
    <t>115746.6</t>
  </si>
  <si>
    <t>EMP1055</t>
  </si>
  <si>
    <t>Sales-California</t>
  </si>
  <si>
    <t>91759.99</t>
  </si>
  <si>
    <t>EMP1056</t>
  </si>
  <si>
    <t>112965.33</t>
  </si>
  <si>
    <t>frank.garcia@example.com</t>
  </si>
  <si>
    <t>EMP1057</t>
  </si>
  <si>
    <t>100360.1</t>
  </si>
  <si>
    <t>alice.smith@example.com</t>
  </si>
  <si>
    <t>EMP1058</t>
  </si>
  <si>
    <t>93620.88</t>
  </si>
  <si>
    <t>EMP1059</t>
  </si>
  <si>
    <t>72832.8</t>
  </si>
  <si>
    <t>EMP1060</t>
  </si>
  <si>
    <t>102369.42</t>
  </si>
  <si>
    <t>EMP1061</t>
  </si>
  <si>
    <t>64712.79</t>
  </si>
  <si>
    <t>EMP1062</t>
  </si>
  <si>
    <t>85782.18</t>
  </si>
  <si>
    <t>EMP1063</t>
  </si>
  <si>
    <t>HR-Illinois</t>
  </si>
  <si>
    <t>93348.26</t>
  </si>
  <si>
    <t>charlie.smith@example.com</t>
  </si>
  <si>
    <t>EMP1064</t>
  </si>
  <si>
    <t>Admin-New York</t>
  </si>
  <si>
    <t>53234.96</t>
  </si>
  <si>
    <t>EMP1065</t>
  </si>
  <si>
    <t>100284.21</t>
  </si>
  <si>
    <t>bob.johnson@example.com</t>
  </si>
  <si>
    <t>EMP1066</t>
  </si>
  <si>
    <t>112486.19</t>
  </si>
  <si>
    <t>grace.brown@example.com</t>
  </si>
  <si>
    <t>EMP1067</t>
  </si>
  <si>
    <t>82518.49</t>
  </si>
  <si>
    <t>EMP1068</t>
  </si>
  <si>
    <t>Admin-Florida</t>
  </si>
  <si>
    <t>119152.47</t>
  </si>
  <si>
    <t>EMP1069</t>
  </si>
  <si>
    <t>113479.83</t>
  </si>
  <si>
    <t>EMP1070</t>
  </si>
  <si>
    <t>94636.3</t>
  </si>
  <si>
    <t>EMP1071</t>
  </si>
  <si>
    <t>HR-Florida</t>
  </si>
  <si>
    <t>70000.97</t>
  </si>
  <si>
    <t>EMP1072</t>
  </si>
  <si>
    <t>76812.47</t>
  </si>
  <si>
    <t>EMP1073</t>
  </si>
  <si>
    <t>82614.7</t>
  </si>
  <si>
    <t>david.johnson@example.com</t>
  </si>
  <si>
    <t>EMP1074</t>
  </si>
  <si>
    <t>Sales-Nevada</t>
  </si>
  <si>
    <t>111645.97</t>
  </si>
  <si>
    <t>EMP1075</t>
  </si>
  <si>
    <t>112414.91</t>
  </si>
  <si>
    <t>EMP1076</t>
  </si>
  <si>
    <t>52031.74</t>
  </si>
  <si>
    <t>david.brown@example.com</t>
  </si>
  <si>
    <t>EMP1077</t>
  </si>
  <si>
    <t>Finance-New York</t>
  </si>
  <si>
    <t>51887.65</t>
  </si>
  <si>
    <t>EMP1078</t>
  </si>
  <si>
    <t>DevOps-Florida</t>
  </si>
  <si>
    <t>82318.89</t>
  </si>
  <si>
    <t>EMP1079</t>
  </si>
  <si>
    <t>103286.08</t>
  </si>
  <si>
    <t>EMP1080</t>
  </si>
  <si>
    <t>87759.33</t>
  </si>
  <si>
    <t>grace.davis@example.com</t>
  </si>
  <si>
    <t>EMP1081</t>
  </si>
  <si>
    <t>DevOps-Texas</t>
  </si>
  <si>
    <t>102796.32</t>
  </si>
  <si>
    <t>frank.brown@example.com</t>
  </si>
  <si>
    <t>EMP1082</t>
  </si>
  <si>
    <t>83149.27</t>
  </si>
  <si>
    <t>david.jones@example.com</t>
  </si>
  <si>
    <t>EMP1083</t>
  </si>
  <si>
    <t>92412.49</t>
  </si>
  <si>
    <t>EMP1084</t>
  </si>
  <si>
    <t>115022.1</t>
  </si>
  <si>
    <t>EMP1085</t>
  </si>
  <si>
    <t>98343.01</t>
  </si>
  <si>
    <t>EMP1086</t>
  </si>
  <si>
    <t>118869.1</t>
  </si>
  <si>
    <t>EMP1087</t>
  </si>
  <si>
    <t>85417.26</t>
  </si>
  <si>
    <t>EMP1088</t>
  </si>
  <si>
    <t>112410.25</t>
  </si>
  <si>
    <t>EMP1089</t>
  </si>
  <si>
    <t>68905.77</t>
  </si>
  <si>
    <t>EMP1090</t>
  </si>
  <si>
    <t>72561.32</t>
  </si>
  <si>
    <t>heidi.garcia@example.com</t>
  </si>
  <si>
    <t>EMP1091</t>
  </si>
  <si>
    <t>92723.22</t>
  </si>
  <si>
    <t>EMP1092</t>
  </si>
  <si>
    <t>74837.75</t>
  </si>
  <si>
    <t>EMP1093</t>
  </si>
  <si>
    <t>86163.91</t>
  </si>
  <si>
    <t>eva.miller@example.com</t>
  </si>
  <si>
    <t>EMP1094</t>
  </si>
  <si>
    <t>Finance-Illinois</t>
  </si>
  <si>
    <t>83326.52</t>
  </si>
  <si>
    <t>EMP1095</t>
  </si>
  <si>
    <t>Cloud Tech-California</t>
  </si>
  <si>
    <t>98425.1</t>
  </si>
  <si>
    <t>EMP1096</t>
  </si>
  <si>
    <t>119764.2</t>
  </si>
  <si>
    <t>frank.johnson@example.com</t>
  </si>
  <si>
    <t>EMP1097</t>
  </si>
  <si>
    <t>58445.91</t>
  </si>
  <si>
    <t>EMP1098</t>
  </si>
  <si>
    <t>101702.33</t>
  </si>
  <si>
    <t>EMP1099</t>
  </si>
  <si>
    <t>N/A</t>
  </si>
  <si>
    <t>eva.jones@example.com</t>
  </si>
  <si>
    <t>EMP1100</t>
  </si>
  <si>
    <t>98819.22</t>
  </si>
  <si>
    <t>EMP1101</t>
  </si>
  <si>
    <t>83509.99</t>
  </si>
  <si>
    <t>EMP1102</t>
  </si>
  <si>
    <t>84422.26</t>
  </si>
  <si>
    <t>EMP1103</t>
  </si>
  <si>
    <t>119574.27</t>
  </si>
  <si>
    <t>EMP1104</t>
  </si>
  <si>
    <t>86580.08</t>
  </si>
  <si>
    <t>EMP1105</t>
  </si>
  <si>
    <t>93471.91</t>
  </si>
  <si>
    <t>EMP1106</t>
  </si>
  <si>
    <t>55683.12</t>
  </si>
  <si>
    <t>EMP1107</t>
  </si>
  <si>
    <t>91566.78</t>
  </si>
  <si>
    <t>EMP1108</t>
  </si>
  <si>
    <t>81782.19</t>
  </si>
  <si>
    <t>EMP1109</t>
  </si>
  <si>
    <t>88119.37</t>
  </si>
  <si>
    <t>EMP1110</t>
  </si>
  <si>
    <t>71532.83</t>
  </si>
  <si>
    <t>eva.garcia@example.com</t>
  </si>
  <si>
    <t>EMP1111</t>
  </si>
  <si>
    <t>98981.36</t>
  </si>
  <si>
    <t>EMP1112</t>
  </si>
  <si>
    <t>80242.01</t>
  </si>
  <si>
    <t>EMP1113</t>
  </si>
  <si>
    <t>110236.18</t>
  </si>
  <si>
    <t>EMP1114</t>
  </si>
  <si>
    <t>86327.47</t>
  </si>
  <si>
    <t>EMP1115</t>
  </si>
  <si>
    <t>84420.81</t>
  </si>
  <si>
    <t>EMP1116</t>
  </si>
  <si>
    <t>110041.32</t>
  </si>
  <si>
    <t>EMP1117</t>
  </si>
  <si>
    <t>81837.81</t>
  </si>
  <si>
    <t>EMP1118</t>
  </si>
  <si>
    <t>110855.72</t>
  </si>
  <si>
    <t>EMP1119</t>
  </si>
  <si>
    <t>84894.52</t>
  </si>
  <si>
    <t>EMP1120</t>
  </si>
  <si>
    <t>80668.13</t>
  </si>
  <si>
    <t>EMP1121</t>
  </si>
  <si>
    <t>61086.47</t>
  </si>
  <si>
    <t>EMP1122</t>
  </si>
  <si>
    <t>95339.68</t>
  </si>
  <si>
    <t>EMP1123</t>
  </si>
  <si>
    <t>83774.97</t>
  </si>
  <si>
    <t>EMP1124</t>
  </si>
  <si>
    <t>85576.86</t>
  </si>
  <si>
    <t>heidi.jones@example.com</t>
  </si>
  <si>
    <t>EMP1125</t>
  </si>
  <si>
    <t>107438.46</t>
  </si>
  <si>
    <t>EMP1126</t>
  </si>
  <si>
    <t>60401.68</t>
  </si>
  <si>
    <t>eva.johnson@example.com</t>
  </si>
  <si>
    <t>EMP1127</t>
  </si>
  <si>
    <t>115299.66</t>
  </si>
  <si>
    <t>EMP1128</t>
  </si>
  <si>
    <t>72272.34</t>
  </si>
  <si>
    <t>EMP1129</t>
  </si>
  <si>
    <t>DevOps-Nevada</t>
  </si>
  <si>
    <t>117537.71</t>
  </si>
  <si>
    <t>EMP1130</t>
  </si>
  <si>
    <t>51074.33</t>
  </si>
  <si>
    <t>EMP1131</t>
  </si>
  <si>
    <t>98489.32</t>
  </si>
  <si>
    <t>EMP1132</t>
  </si>
  <si>
    <t>112120.71</t>
  </si>
  <si>
    <t>EMP1133</t>
  </si>
  <si>
    <t>114465.04</t>
  </si>
  <si>
    <t>EMP1134</t>
  </si>
  <si>
    <t>57035.51</t>
  </si>
  <si>
    <t>EMP1135</t>
  </si>
  <si>
    <t>75092.43</t>
  </si>
  <si>
    <t>EMP1136</t>
  </si>
  <si>
    <t>62603.98</t>
  </si>
  <si>
    <t>david.smith@example.com</t>
  </si>
  <si>
    <t>EMP1137</t>
  </si>
  <si>
    <t>60018.24</t>
  </si>
  <si>
    <t>EMP1138</t>
  </si>
  <si>
    <t>82567.73</t>
  </si>
  <si>
    <t>EMP1139</t>
  </si>
  <si>
    <t>94725.71</t>
  </si>
  <si>
    <t>EMP1140</t>
  </si>
  <si>
    <t>83824.56</t>
  </si>
  <si>
    <t>EMP1141</t>
  </si>
  <si>
    <t>118456.11</t>
  </si>
  <si>
    <t>EMP1142</t>
  </si>
  <si>
    <t>113743.19</t>
  </si>
  <si>
    <t>EMP1143</t>
  </si>
  <si>
    <t>63309.24</t>
  </si>
  <si>
    <t>EMP1144</t>
  </si>
  <si>
    <t>105202.73</t>
  </si>
  <si>
    <t>EMP1145</t>
  </si>
  <si>
    <t>79085.22</t>
  </si>
  <si>
    <t>EMP1146</t>
  </si>
  <si>
    <t>113983.43</t>
  </si>
  <si>
    <t>EMP1147</t>
  </si>
  <si>
    <t>102790.6</t>
  </si>
  <si>
    <t>EMP1148</t>
  </si>
  <si>
    <t>68512.1</t>
  </si>
  <si>
    <t>EMP1149</t>
  </si>
  <si>
    <t>57584.23</t>
  </si>
  <si>
    <t>EMP1150</t>
  </si>
  <si>
    <t>95335.67</t>
  </si>
  <si>
    <t>alice.williams@example.com</t>
  </si>
  <si>
    <t>EMP1151</t>
  </si>
  <si>
    <t>53174.28</t>
  </si>
  <si>
    <t>EMP1152</t>
  </si>
  <si>
    <t>77205.21</t>
  </si>
  <si>
    <t>heidi.smith@example.com</t>
  </si>
  <si>
    <t>EMP1153</t>
  </si>
  <si>
    <t>79041.92</t>
  </si>
  <si>
    <t>EMP1154</t>
  </si>
  <si>
    <t>75937.1</t>
  </si>
  <si>
    <t>EMP1155</t>
  </si>
  <si>
    <t>113118.73</t>
  </si>
  <si>
    <t>EMP1156</t>
  </si>
  <si>
    <t>107693.38</t>
  </si>
  <si>
    <t>EMP1157</t>
  </si>
  <si>
    <t>119217.46</t>
  </si>
  <si>
    <t>EMP1158</t>
  </si>
  <si>
    <t>106913.71</t>
  </si>
  <si>
    <t>EMP1159</t>
  </si>
  <si>
    <t>87815.08</t>
  </si>
  <si>
    <t>EMP1160</t>
  </si>
  <si>
    <t>105190.21</t>
  </si>
  <si>
    <t>EMP1161</t>
  </si>
  <si>
    <t>79467.24</t>
  </si>
  <si>
    <t>EMP1162</t>
  </si>
  <si>
    <t>57633.78</t>
  </si>
  <si>
    <t>EMP1163</t>
  </si>
  <si>
    <t>54257.78</t>
  </si>
  <si>
    <t>EMP1164</t>
  </si>
  <si>
    <t>113679.06</t>
  </si>
  <si>
    <t>EMP1165</t>
  </si>
  <si>
    <t>69251.12</t>
  </si>
  <si>
    <t>EMP1166</t>
  </si>
  <si>
    <t>85388.58</t>
  </si>
  <si>
    <t>EMP1167</t>
  </si>
  <si>
    <t>112166.37</t>
  </si>
  <si>
    <t>EMP1168</t>
  </si>
  <si>
    <t>79873.48</t>
  </si>
  <si>
    <t>heidi.davis@example.com</t>
  </si>
  <si>
    <t>EMP1169</t>
  </si>
  <si>
    <t>108224.03</t>
  </si>
  <si>
    <t>EMP1170</t>
  </si>
  <si>
    <t>116963.72</t>
  </si>
  <si>
    <t>EMP1171</t>
  </si>
  <si>
    <t>114109.06</t>
  </si>
  <si>
    <t>EMP1172</t>
  </si>
  <si>
    <t>85518.88</t>
  </si>
  <si>
    <t>EMP1173</t>
  </si>
  <si>
    <t>58041.97</t>
  </si>
  <si>
    <t>heidi.brown@example.com</t>
  </si>
  <si>
    <t>EMP1174</t>
  </si>
  <si>
    <t>94988.94</t>
  </si>
  <si>
    <t>EMP1175</t>
  </si>
  <si>
    <t>71628.93</t>
  </si>
  <si>
    <t>EMP1176</t>
  </si>
  <si>
    <t>54870.98</t>
  </si>
  <si>
    <t>EMP1177</t>
  </si>
  <si>
    <t>79388.27</t>
  </si>
  <si>
    <t>EMP1178</t>
  </si>
  <si>
    <t>55946.99</t>
  </si>
  <si>
    <t>EMP1179</t>
  </si>
  <si>
    <t>81017.91</t>
  </si>
  <si>
    <t>EMP1180</t>
  </si>
  <si>
    <t>74162.1</t>
  </si>
  <si>
    <t>EMP1181</t>
  </si>
  <si>
    <t>77668.44</t>
  </si>
  <si>
    <t>EMP1182</t>
  </si>
  <si>
    <t>67886.37</t>
  </si>
  <si>
    <t>EMP1183</t>
  </si>
  <si>
    <t>76614.52</t>
  </si>
  <si>
    <t>EMP1184</t>
  </si>
  <si>
    <t>51311.91</t>
  </si>
  <si>
    <t>EMP1185</t>
  </si>
  <si>
    <t>94809.92</t>
  </si>
  <si>
    <t>EMP1186</t>
  </si>
  <si>
    <t>108241.81</t>
  </si>
  <si>
    <t>EMP1187</t>
  </si>
  <si>
    <t>78031.49</t>
  </si>
  <si>
    <t>EMP1188</t>
  </si>
  <si>
    <t>85733.83</t>
  </si>
  <si>
    <t>EMP1189</t>
  </si>
  <si>
    <t>60338.29</t>
  </si>
  <si>
    <t>EMP1190</t>
  </si>
  <si>
    <t>103140.67</t>
  </si>
  <si>
    <t>EMP1191</t>
  </si>
  <si>
    <t>114690.8</t>
  </si>
  <si>
    <t>EMP1192</t>
  </si>
  <si>
    <t>80954.56</t>
  </si>
  <si>
    <t>EMP1193</t>
  </si>
  <si>
    <t>71728.55</t>
  </si>
  <si>
    <t>EMP1194</t>
  </si>
  <si>
    <t>118415.8</t>
  </si>
  <si>
    <t>EMP1195</t>
  </si>
  <si>
    <t>81481.36</t>
  </si>
  <si>
    <t>EMP1196</t>
  </si>
  <si>
    <t>117040.57</t>
  </si>
  <si>
    <t>EMP1197</t>
  </si>
  <si>
    <t>67342.06</t>
  </si>
  <si>
    <t>EMP1198</t>
  </si>
  <si>
    <t>76099.64</t>
  </si>
  <si>
    <t>EMP1199</t>
  </si>
  <si>
    <t>94162.06</t>
  </si>
  <si>
    <t>EMP1200</t>
  </si>
  <si>
    <t>67639.7</t>
  </si>
  <si>
    <t>EMP1201</t>
  </si>
  <si>
    <t>114172.25</t>
  </si>
  <si>
    <t>EMP1202</t>
  </si>
  <si>
    <t>89124.54</t>
  </si>
  <si>
    <t>EMP1203</t>
  </si>
  <si>
    <t>113871.36</t>
  </si>
  <si>
    <t>EMP1204</t>
  </si>
  <si>
    <t>62618.4</t>
  </si>
  <si>
    <t>EMP1205</t>
  </si>
  <si>
    <t>70705.45</t>
  </si>
  <si>
    <t>EMP1206</t>
  </si>
  <si>
    <t>60797.69</t>
  </si>
  <si>
    <t>EMP1207</t>
  </si>
  <si>
    <t>100371</t>
  </si>
  <si>
    <t>EMP1208</t>
  </si>
  <si>
    <t>117591.76</t>
  </si>
  <si>
    <t>EMP1209</t>
  </si>
  <si>
    <t>103860.7</t>
  </si>
  <si>
    <t>EMP1210</t>
  </si>
  <si>
    <t>67500.22</t>
  </si>
  <si>
    <t>EMP1211</t>
  </si>
  <si>
    <t>58727.44</t>
  </si>
  <si>
    <t>EMP1212</t>
  </si>
  <si>
    <t>80623.08</t>
  </si>
  <si>
    <t>EMP1213</t>
  </si>
  <si>
    <t>77751.78</t>
  </si>
  <si>
    <t>EMP1214</t>
  </si>
  <si>
    <t>115157.81</t>
  </si>
  <si>
    <t>EMP1215</t>
  </si>
  <si>
    <t>83071.85</t>
  </si>
  <si>
    <t>EMP1216</t>
  </si>
  <si>
    <t>67914.67</t>
  </si>
  <si>
    <t>EMP1217</t>
  </si>
  <si>
    <t>53342.46</t>
  </si>
  <si>
    <t>EMP1218</t>
  </si>
  <si>
    <t>51150.47</t>
  </si>
  <si>
    <t>EMP1219</t>
  </si>
  <si>
    <t>74697.12</t>
  </si>
  <si>
    <t>EMP1220</t>
  </si>
  <si>
    <t>88085.74</t>
  </si>
  <si>
    <t>EMP1221</t>
  </si>
  <si>
    <t>118672.76</t>
  </si>
  <si>
    <t>EMP1222</t>
  </si>
  <si>
    <t>95997.31</t>
  </si>
  <si>
    <t>EMP1223</t>
  </si>
  <si>
    <t>106945.62</t>
  </si>
  <si>
    <t>EMP1224</t>
  </si>
  <si>
    <t>100123.15</t>
  </si>
  <si>
    <t>EMP1225</t>
  </si>
  <si>
    <t>52933.42</t>
  </si>
  <si>
    <t>EMP1226</t>
  </si>
  <si>
    <t>95283.03</t>
  </si>
  <si>
    <t>EMP1227</t>
  </si>
  <si>
    <t>112264.06</t>
  </si>
  <si>
    <t>EMP1228</t>
  </si>
  <si>
    <t>75714.28</t>
  </si>
  <si>
    <t>EMP1229</t>
  </si>
  <si>
    <t>92171.73</t>
  </si>
  <si>
    <t>EMP1230</t>
  </si>
  <si>
    <t>70694.8</t>
  </si>
  <si>
    <t>EMP1231</t>
  </si>
  <si>
    <t>52964.86</t>
  </si>
  <si>
    <t>EMP1232</t>
  </si>
  <si>
    <t>116353.31</t>
  </si>
  <si>
    <t>EMP1233</t>
  </si>
  <si>
    <t>116695.26</t>
  </si>
  <si>
    <t>EMP1234</t>
  </si>
  <si>
    <t>95161.4</t>
  </si>
  <si>
    <t>EMP1235</t>
  </si>
  <si>
    <t>76040.94</t>
  </si>
  <si>
    <t>EMP1236</t>
  </si>
  <si>
    <t>69508.28</t>
  </si>
  <si>
    <t>charlie.miller@example.com</t>
  </si>
  <si>
    <t>EMP1237</t>
  </si>
  <si>
    <t>58243.27</t>
  </si>
  <si>
    <t>EMP1238</t>
  </si>
  <si>
    <t>64012.48</t>
  </si>
  <si>
    <t>EMP1239</t>
  </si>
  <si>
    <t>106735.93</t>
  </si>
  <si>
    <t>EMP1240</t>
  </si>
  <si>
    <t>70325.36</t>
  </si>
  <si>
    <t>EMP1241</t>
  </si>
  <si>
    <t>118959.28</t>
  </si>
  <si>
    <t>EMP1242</t>
  </si>
  <si>
    <t>75823.78</t>
  </si>
  <si>
    <t>EMP1243</t>
  </si>
  <si>
    <t>119971.65</t>
  </si>
  <si>
    <t>EMP1244</t>
  </si>
  <si>
    <t>94963.7</t>
  </si>
  <si>
    <t>EMP1245</t>
  </si>
  <si>
    <t>103744.71</t>
  </si>
  <si>
    <t>EMP1246</t>
  </si>
  <si>
    <t>61337.69</t>
  </si>
  <si>
    <t>EMP1247</t>
  </si>
  <si>
    <t>63741.13</t>
  </si>
  <si>
    <t>EMP1248</t>
  </si>
  <si>
    <t>56539.99</t>
  </si>
  <si>
    <t>eva.smith@example.com</t>
  </si>
  <si>
    <t>EMP1249</t>
  </si>
  <si>
    <t>73633.37</t>
  </si>
  <si>
    <t>EMP1250</t>
  </si>
  <si>
    <t>90373.99</t>
  </si>
  <si>
    <t>EMP1251</t>
  </si>
  <si>
    <t>93901.48</t>
  </si>
  <si>
    <t>EMP1252</t>
  </si>
  <si>
    <t>81748.09</t>
  </si>
  <si>
    <t>EMP1253</t>
  </si>
  <si>
    <t>73813.48</t>
  </si>
  <si>
    <t>EMP1254</t>
  </si>
  <si>
    <t>89315.59</t>
  </si>
  <si>
    <t>EMP1255</t>
  </si>
  <si>
    <t>56776.82</t>
  </si>
  <si>
    <t>EMP1256</t>
  </si>
  <si>
    <t>72920.51</t>
  </si>
  <si>
    <t>EMP1257</t>
  </si>
  <si>
    <t>84913.18</t>
  </si>
  <si>
    <t>EMP1258</t>
  </si>
  <si>
    <t>65060.11</t>
  </si>
  <si>
    <t>EMP1259</t>
  </si>
  <si>
    <t>82941.08</t>
  </si>
  <si>
    <t>EMP1260</t>
  </si>
  <si>
    <t>103469.97</t>
  </si>
  <si>
    <t>EMP1261</t>
  </si>
  <si>
    <t>88725.6</t>
  </si>
  <si>
    <t>EMP1262</t>
  </si>
  <si>
    <t>58316.77</t>
  </si>
  <si>
    <t>EMP1263</t>
  </si>
  <si>
    <t>60098.72</t>
  </si>
  <si>
    <t>EMP1264</t>
  </si>
  <si>
    <t>99951.43</t>
  </si>
  <si>
    <t>EMP1265</t>
  </si>
  <si>
    <t>115195.81</t>
  </si>
  <si>
    <t>EMP1266</t>
  </si>
  <si>
    <t>85512.05</t>
  </si>
  <si>
    <t>EMP1267</t>
  </si>
  <si>
    <t>73186.77</t>
  </si>
  <si>
    <t>EMP1268</t>
  </si>
  <si>
    <t>51865.3</t>
  </si>
  <si>
    <t>EMP1269</t>
  </si>
  <si>
    <t>94031.77</t>
  </si>
  <si>
    <t>EMP1270</t>
  </si>
  <si>
    <t>116374.36</t>
  </si>
  <si>
    <t>EMP1271</t>
  </si>
  <si>
    <t>98335.02</t>
  </si>
  <si>
    <t>EMP1272</t>
  </si>
  <si>
    <t>89262.07</t>
  </si>
  <si>
    <t>EMP1273</t>
  </si>
  <si>
    <t>113848.69</t>
  </si>
  <si>
    <t>EMP1274</t>
  </si>
  <si>
    <t>69530.45</t>
  </si>
  <si>
    <t>EMP1275</t>
  </si>
  <si>
    <t>84230.22</t>
  </si>
  <si>
    <t>EMP1276</t>
  </si>
  <si>
    <t>76578.59</t>
  </si>
  <si>
    <t>EMP1277</t>
  </si>
  <si>
    <t>55532.06</t>
  </si>
  <si>
    <t>EMP1278</t>
  </si>
  <si>
    <t>115311.68</t>
  </si>
  <si>
    <t>EMP1279</t>
  </si>
  <si>
    <t>66972.06</t>
  </si>
  <si>
    <t>EMP1280</t>
  </si>
  <si>
    <t>100215.06</t>
  </si>
  <si>
    <t>EMP1281</t>
  </si>
  <si>
    <t>115452.25</t>
  </si>
  <si>
    <t>EMP1282</t>
  </si>
  <si>
    <t>54141.38</t>
  </si>
  <si>
    <t>EMP1283</t>
  </si>
  <si>
    <t>79251.95</t>
  </si>
  <si>
    <t>EMP1284</t>
  </si>
  <si>
    <t>114822.78</t>
  </si>
  <si>
    <t>EMP1285</t>
  </si>
  <si>
    <t>69919.32</t>
  </si>
  <si>
    <t>EMP1286</t>
  </si>
  <si>
    <t>106616.97</t>
  </si>
  <si>
    <t>EMP1287</t>
  </si>
  <si>
    <t>73597.85</t>
  </si>
  <si>
    <t>EMP1288</t>
  </si>
  <si>
    <t>79939.23</t>
  </si>
  <si>
    <t>EMP1289</t>
  </si>
  <si>
    <t>EMP1290</t>
  </si>
  <si>
    <t>90772.25</t>
  </si>
  <si>
    <t>EMP1291</t>
  </si>
  <si>
    <t>58275.74</t>
  </si>
  <si>
    <t>EMP1292</t>
  </si>
  <si>
    <t>94709.79</t>
  </si>
  <si>
    <t>EMP1293</t>
  </si>
  <si>
    <t>60722.99</t>
  </si>
  <si>
    <t>EMP1294</t>
  </si>
  <si>
    <t>87626.24</t>
  </si>
  <si>
    <t>EMP1295</t>
  </si>
  <si>
    <t>81272.36</t>
  </si>
  <si>
    <t>EMP1296</t>
  </si>
  <si>
    <t>64150.97</t>
  </si>
  <si>
    <t>EMP1297</t>
  </si>
  <si>
    <t>64378.1</t>
  </si>
  <si>
    <t>EMP1298</t>
  </si>
  <si>
    <t>85927.35</t>
  </si>
  <si>
    <t>EMP1299</t>
  </si>
  <si>
    <t>51523.93</t>
  </si>
  <si>
    <t>EMP1300</t>
  </si>
  <si>
    <t>74117.02</t>
  </si>
  <si>
    <t>EMP1301</t>
  </si>
  <si>
    <t>62598.69</t>
  </si>
  <si>
    <t>EMP1302</t>
  </si>
  <si>
    <t>55617.5</t>
  </si>
  <si>
    <t>EMP1303</t>
  </si>
  <si>
    <t>87018.98</t>
  </si>
  <si>
    <t>EMP1304</t>
  </si>
  <si>
    <t>100336.58</t>
  </si>
  <si>
    <t>EMP1305</t>
  </si>
  <si>
    <t>69295.48</t>
  </si>
  <si>
    <t>EMP1306</t>
  </si>
  <si>
    <t>115536.66</t>
  </si>
  <si>
    <t>EMP1307</t>
  </si>
  <si>
    <t>81250.87</t>
  </si>
  <si>
    <t>EMP1308</t>
  </si>
  <si>
    <t>66403.75</t>
  </si>
  <si>
    <t>EMP1309</t>
  </si>
  <si>
    <t>114147.79</t>
  </si>
  <si>
    <t>EMP1310</t>
  </si>
  <si>
    <t>65472.99</t>
  </si>
  <si>
    <t>EMP1311</t>
  </si>
  <si>
    <t>97512.51</t>
  </si>
  <si>
    <t>EMP1312</t>
  </si>
  <si>
    <t>86712.41</t>
  </si>
  <si>
    <t>EMP1313</t>
  </si>
  <si>
    <t>87654.98</t>
  </si>
  <si>
    <t>EMP1314</t>
  </si>
  <si>
    <t>89367.02</t>
  </si>
  <si>
    <t>EMP1315</t>
  </si>
  <si>
    <t>95269.41</t>
  </si>
  <si>
    <t>EMP1316</t>
  </si>
  <si>
    <t>68792.31</t>
  </si>
  <si>
    <t>EMP1317</t>
  </si>
  <si>
    <t>89119.53</t>
  </si>
  <si>
    <t>EMP1318</t>
  </si>
  <si>
    <t>58212.13</t>
  </si>
  <si>
    <t>EMP1319</t>
  </si>
  <si>
    <t>77764.24</t>
  </si>
  <si>
    <t>EMP1320</t>
  </si>
  <si>
    <t>75148.17</t>
  </si>
  <si>
    <t>EMP1321</t>
  </si>
  <si>
    <t>108781.18</t>
  </si>
  <si>
    <t>EMP1322</t>
  </si>
  <si>
    <t>65489.19</t>
  </si>
  <si>
    <t>EMP1323</t>
  </si>
  <si>
    <t>70663.46</t>
  </si>
  <si>
    <t>EMP1324</t>
  </si>
  <si>
    <t>95822.56</t>
  </si>
  <si>
    <t>EMP1325</t>
  </si>
  <si>
    <t>82258.03</t>
  </si>
  <si>
    <t>EMP1326</t>
  </si>
  <si>
    <t>62883.34</t>
  </si>
  <si>
    <t>EMP1327</t>
  </si>
  <si>
    <t>103503.72</t>
  </si>
  <si>
    <t>EMP1328</t>
  </si>
  <si>
    <t>85401.3</t>
  </si>
  <si>
    <t>EMP1329</t>
  </si>
  <si>
    <t>EMP1330</t>
  </si>
  <si>
    <t>98850.14</t>
  </si>
  <si>
    <t>EMP1331</t>
  </si>
  <si>
    <t>63435.24</t>
  </si>
  <si>
    <t>EMP1332</t>
  </si>
  <si>
    <t>82129.84</t>
  </si>
  <si>
    <t>EMP1333</t>
  </si>
  <si>
    <t>95492.61</t>
  </si>
  <si>
    <t>EMP1334</t>
  </si>
  <si>
    <t>94572.37</t>
  </si>
  <si>
    <t>EMP1335</t>
  </si>
  <si>
    <t>118413.05</t>
  </si>
  <si>
    <t>EMP1336</t>
  </si>
  <si>
    <t>68976.65</t>
  </si>
  <si>
    <t>EMP1337</t>
  </si>
  <si>
    <t>115013.65</t>
  </si>
  <si>
    <t>EMP1338</t>
  </si>
  <si>
    <t>70949.38</t>
  </si>
  <si>
    <t>EMP1339</t>
  </si>
  <si>
    <t>105334.87</t>
  </si>
  <si>
    <t>EMP1340</t>
  </si>
  <si>
    <t>80596.18</t>
  </si>
  <si>
    <t>EMP1341</t>
  </si>
  <si>
    <t>72846.37</t>
  </si>
  <si>
    <t>EMP1342</t>
  </si>
  <si>
    <t>80229.36</t>
  </si>
  <si>
    <t>EMP1343</t>
  </si>
  <si>
    <t>55145.47</t>
  </si>
  <si>
    <t>EMP1344</t>
  </si>
  <si>
    <t>EMP1345</t>
  </si>
  <si>
    <t>56110.81</t>
  </si>
  <si>
    <t>EMP1346</t>
  </si>
  <si>
    <t>56514.5</t>
  </si>
  <si>
    <t>EMP1347</t>
  </si>
  <si>
    <t>104541.84</t>
  </si>
  <si>
    <t>EMP1348</t>
  </si>
  <si>
    <t>61865.12</t>
  </si>
  <si>
    <t>EMP1349</t>
  </si>
  <si>
    <t>69317.33</t>
  </si>
  <si>
    <t>EMP1350</t>
  </si>
  <si>
    <t>84706.17</t>
  </si>
  <si>
    <t>EMP1351</t>
  </si>
  <si>
    <t>73255.21</t>
  </si>
  <si>
    <t>EMP1352</t>
  </si>
  <si>
    <t>59528.71</t>
  </si>
  <si>
    <t>EMP1353</t>
  </si>
  <si>
    <t>70401.37</t>
  </si>
  <si>
    <t>EMP1354</t>
  </si>
  <si>
    <t>107154.62</t>
  </si>
  <si>
    <t>EMP1355</t>
  </si>
  <si>
    <t>97719.88</t>
  </si>
  <si>
    <t>EMP1356</t>
  </si>
  <si>
    <t>107327.59</t>
  </si>
  <si>
    <t>EMP1357</t>
  </si>
  <si>
    <t>67687.72</t>
  </si>
  <si>
    <t>EMP1358</t>
  </si>
  <si>
    <t>90757.08</t>
  </si>
  <si>
    <t>EMP1359</t>
  </si>
  <si>
    <t>87583.42</t>
  </si>
  <si>
    <t>EMP1360</t>
  </si>
  <si>
    <t>61643.69</t>
  </si>
  <si>
    <t>EMP1361</t>
  </si>
  <si>
    <t>68111.69</t>
  </si>
  <si>
    <t>EMP1362</t>
  </si>
  <si>
    <t>97568.88</t>
  </si>
  <si>
    <t>EMP1363</t>
  </si>
  <si>
    <t>79118.28</t>
  </si>
  <si>
    <t>EMP1364</t>
  </si>
  <si>
    <t>104898.9</t>
  </si>
  <si>
    <t>EMP1365</t>
  </si>
  <si>
    <t>81671.3</t>
  </si>
  <si>
    <t>EMP1366</t>
  </si>
  <si>
    <t>97399.75</t>
  </si>
  <si>
    <t>EMP1367</t>
  </si>
  <si>
    <t>89189.43</t>
  </si>
  <si>
    <t>EMP1368</t>
  </si>
  <si>
    <t>96011.55</t>
  </si>
  <si>
    <t>EMP1369</t>
  </si>
  <si>
    <t>99331.49</t>
  </si>
  <si>
    <t>EMP1370</t>
  </si>
  <si>
    <t>72818.94</t>
  </si>
  <si>
    <t>EMP1371</t>
  </si>
  <si>
    <t>77204.75</t>
  </si>
  <si>
    <t>EMP1372</t>
  </si>
  <si>
    <t>106961.68</t>
  </si>
  <si>
    <t>EMP1373</t>
  </si>
  <si>
    <t>71923</t>
  </si>
  <si>
    <t>EMP1374</t>
  </si>
  <si>
    <t>77192.43</t>
  </si>
  <si>
    <t>EMP1375</t>
  </si>
  <si>
    <t>98540.3</t>
  </si>
  <si>
    <t>EMP1376</t>
  </si>
  <si>
    <t>63096.9</t>
  </si>
  <si>
    <t>EMP1377</t>
  </si>
  <si>
    <t>107065.12</t>
  </si>
  <si>
    <t>EMP1378</t>
  </si>
  <si>
    <t>108792.43</t>
  </si>
  <si>
    <t>EMP1379</t>
  </si>
  <si>
    <t>69239.7</t>
  </si>
  <si>
    <t>EMP1380</t>
  </si>
  <si>
    <t>85756.42</t>
  </si>
  <si>
    <t>EMP1381</t>
  </si>
  <si>
    <t>100328.62</t>
  </si>
  <si>
    <t>EMP1382</t>
  </si>
  <si>
    <t>111236.69</t>
  </si>
  <si>
    <t>EMP1383</t>
  </si>
  <si>
    <t>106832.22</t>
  </si>
  <si>
    <t>EMP1384</t>
  </si>
  <si>
    <t>59746.45</t>
  </si>
  <si>
    <t>EMP1385</t>
  </si>
  <si>
    <t>91780.04</t>
  </si>
  <si>
    <t>EMP1386</t>
  </si>
  <si>
    <t>107062.66</t>
  </si>
  <si>
    <t>EMP1387</t>
  </si>
  <si>
    <t>110625.52</t>
  </si>
  <si>
    <t>EMP1388</t>
  </si>
  <si>
    <t>90419.79</t>
  </si>
  <si>
    <t>EMP1389</t>
  </si>
  <si>
    <t>111608.76</t>
  </si>
  <si>
    <t>EMP1390</t>
  </si>
  <si>
    <t>50173.12</t>
  </si>
  <si>
    <t>EMP1391</t>
  </si>
  <si>
    <t>109507.44</t>
  </si>
  <si>
    <t>EMP1392</t>
  </si>
  <si>
    <t>72600.56</t>
  </si>
  <si>
    <t>EMP1393</t>
  </si>
  <si>
    <t>53388.65</t>
  </si>
  <si>
    <t>EMP1394</t>
  </si>
  <si>
    <t>50047.32</t>
  </si>
  <si>
    <t>EMP1395</t>
  </si>
  <si>
    <t>115290.79</t>
  </si>
  <si>
    <t>EMP1396</t>
  </si>
  <si>
    <t>61586.76</t>
  </si>
  <si>
    <t>EMP1397</t>
  </si>
  <si>
    <t>56662.86</t>
  </si>
  <si>
    <t>EMP1398</t>
  </si>
  <si>
    <t>EMP1399</t>
  </si>
  <si>
    <t>54957.98</t>
  </si>
  <si>
    <t>EMP1400</t>
  </si>
  <si>
    <t>76790.47</t>
  </si>
  <si>
    <t>EMP1401</t>
  </si>
  <si>
    <t>92722.35</t>
  </si>
  <si>
    <t>EMP1402</t>
  </si>
  <si>
    <t>93125.32</t>
  </si>
  <si>
    <t>EMP1403</t>
  </si>
  <si>
    <t>101100.64</t>
  </si>
  <si>
    <t>EMP1404</t>
  </si>
  <si>
    <t>55897.41</t>
  </si>
  <si>
    <t>EMP1405</t>
  </si>
  <si>
    <t>92484.88</t>
  </si>
  <si>
    <t>EMP1406</t>
  </si>
  <si>
    <t>77011.99</t>
  </si>
  <si>
    <t>EMP1407</t>
  </si>
  <si>
    <t>77078.68</t>
  </si>
  <si>
    <t>EMP1408</t>
  </si>
  <si>
    <t>82971.02</t>
  </si>
  <si>
    <t>EMP1409</t>
  </si>
  <si>
    <t>65102.01</t>
  </si>
  <si>
    <t>EMP1410</t>
  </si>
  <si>
    <t>103697.7</t>
  </si>
  <si>
    <t>EMP1411</t>
  </si>
  <si>
    <t>60687.63</t>
  </si>
  <si>
    <t>EMP1412</t>
  </si>
  <si>
    <t>77351.21</t>
  </si>
  <si>
    <t>EMP1413</t>
  </si>
  <si>
    <t>66704.62</t>
  </si>
  <si>
    <t>EMP1414</t>
  </si>
  <si>
    <t>71650.3</t>
  </si>
  <si>
    <t>EMP1415</t>
  </si>
  <si>
    <t>50794.54</t>
  </si>
  <si>
    <t>EMP1416</t>
  </si>
  <si>
    <t>76030.86</t>
  </si>
  <si>
    <t>EMP1417</t>
  </si>
  <si>
    <t>86669.79</t>
  </si>
  <si>
    <t>EMP1418</t>
  </si>
  <si>
    <t>84972.7</t>
  </si>
  <si>
    <t>EMP1419</t>
  </si>
  <si>
    <t>100594.49</t>
  </si>
  <si>
    <t>EMP1420</t>
  </si>
  <si>
    <t>75478.35</t>
  </si>
  <si>
    <t>EMP1421</t>
  </si>
  <si>
    <t>79355.85</t>
  </si>
  <si>
    <t>EMP1422</t>
  </si>
  <si>
    <t>58358.07</t>
  </si>
  <si>
    <t>EMP1423</t>
  </si>
  <si>
    <t>54824.85</t>
  </si>
  <si>
    <t>EMP1424</t>
  </si>
  <si>
    <t>50557.84</t>
  </si>
  <si>
    <t>EMP1425</t>
  </si>
  <si>
    <t>118030.04</t>
  </si>
  <si>
    <t>EMP1426</t>
  </si>
  <si>
    <t>51673.72</t>
  </si>
  <si>
    <t>EMP1427</t>
  </si>
  <si>
    <t>101665.79</t>
  </si>
  <si>
    <t>EMP1428</t>
  </si>
  <si>
    <t>118079.15</t>
  </si>
  <si>
    <t>EMP1429</t>
  </si>
  <si>
    <t>99059.28</t>
  </si>
  <si>
    <t>EMP1430</t>
  </si>
  <si>
    <t>107397.4</t>
  </si>
  <si>
    <t>EMP1431</t>
  </si>
  <si>
    <t>68269.37</t>
  </si>
  <si>
    <t>EMP1432</t>
  </si>
  <si>
    <t>55228.12</t>
  </si>
  <si>
    <t>EMP1433</t>
  </si>
  <si>
    <t>71982.33</t>
  </si>
  <si>
    <t>EMP1434</t>
  </si>
  <si>
    <t>109673.75</t>
  </si>
  <si>
    <t>EMP1435</t>
  </si>
  <si>
    <t>56384.9</t>
  </si>
  <si>
    <t>EMP1436</t>
  </si>
  <si>
    <t>68211.68</t>
  </si>
  <si>
    <t>EMP1437</t>
  </si>
  <si>
    <t>67489.68</t>
  </si>
  <si>
    <t>EMP1438</t>
  </si>
  <si>
    <t>63869.31</t>
  </si>
  <si>
    <t>EMP1439</t>
  </si>
  <si>
    <t>119801.3</t>
  </si>
  <si>
    <t>EMP1440</t>
  </si>
  <si>
    <t>115959.65</t>
  </si>
  <si>
    <t>EMP1441</t>
  </si>
  <si>
    <t>79866.48</t>
  </si>
  <si>
    <t>EMP1442</t>
  </si>
  <si>
    <t>92987.46</t>
  </si>
  <si>
    <t>EMP1443</t>
  </si>
  <si>
    <t>56140.51</t>
  </si>
  <si>
    <t>EMP1444</t>
  </si>
  <si>
    <t>119586.11</t>
  </si>
  <si>
    <t>EMP1445</t>
  </si>
  <si>
    <t>104700.46</t>
  </si>
  <si>
    <t>EMP1446</t>
  </si>
  <si>
    <t>91798.14</t>
  </si>
  <si>
    <t>EMP1447</t>
  </si>
  <si>
    <t>90879.22</t>
  </si>
  <si>
    <t>EMP1448</t>
  </si>
  <si>
    <t>87358.27</t>
  </si>
  <si>
    <t>EMP1449</t>
  </si>
  <si>
    <t>119407.93</t>
  </si>
  <si>
    <t>EMP1450</t>
  </si>
  <si>
    <t>113978.6</t>
  </si>
  <si>
    <t>EMP1451</t>
  </si>
  <si>
    <t>108568.78</t>
  </si>
  <si>
    <t>EMP1452</t>
  </si>
  <si>
    <t>56318.02</t>
  </si>
  <si>
    <t>EMP1453</t>
  </si>
  <si>
    <t>114252.73</t>
  </si>
  <si>
    <t>EMP1454</t>
  </si>
  <si>
    <t>51533.9</t>
  </si>
  <si>
    <t>EMP1455</t>
  </si>
  <si>
    <t>99317.66</t>
  </si>
  <si>
    <t>EMP1456</t>
  </si>
  <si>
    <t>101264.64</t>
  </si>
  <si>
    <t>EMP1457</t>
  </si>
  <si>
    <t>112272.02</t>
  </si>
  <si>
    <t>EMP1458</t>
  </si>
  <si>
    <t>71477.63</t>
  </si>
  <si>
    <t>EMP1459</t>
  </si>
  <si>
    <t>77412.1</t>
  </si>
  <si>
    <t>EMP1460</t>
  </si>
  <si>
    <t>94775.27</t>
  </si>
  <si>
    <t>EMP1461</t>
  </si>
  <si>
    <t>74276.71</t>
  </si>
  <si>
    <t>EMP1462</t>
  </si>
  <si>
    <t>67467.86</t>
  </si>
  <si>
    <t>EMP1463</t>
  </si>
  <si>
    <t>80675.41</t>
  </si>
  <si>
    <t>EMP1464</t>
  </si>
  <si>
    <t>76274.33</t>
  </si>
  <si>
    <t>EMP1465</t>
  </si>
  <si>
    <t>51405.46</t>
  </si>
  <si>
    <t>EMP1466</t>
  </si>
  <si>
    <t>101238.96</t>
  </si>
  <si>
    <t>EMP1467</t>
  </si>
  <si>
    <t>52169.52</t>
  </si>
  <si>
    <t>EMP1468</t>
  </si>
  <si>
    <t>73176.62</t>
  </si>
  <si>
    <t>EMP1469</t>
  </si>
  <si>
    <t>96241.85</t>
  </si>
  <si>
    <t>EMP1470</t>
  </si>
  <si>
    <t>84366.38</t>
  </si>
  <si>
    <t>EMP1471</t>
  </si>
  <si>
    <t>92015.09</t>
  </si>
  <si>
    <t>EMP1472</t>
  </si>
  <si>
    <t>83149.95</t>
  </si>
  <si>
    <t>EMP1473</t>
  </si>
  <si>
    <t>94930.65</t>
  </si>
  <si>
    <t>EMP1474</t>
  </si>
  <si>
    <t>68430.72</t>
  </si>
  <si>
    <t>EMP1475</t>
  </si>
  <si>
    <t>98752.97</t>
  </si>
  <si>
    <t>EMP1476</t>
  </si>
  <si>
    <t>54268.86</t>
  </si>
  <si>
    <t>EMP1477</t>
  </si>
  <si>
    <t>66494.94</t>
  </si>
  <si>
    <t>EMP1478</t>
  </si>
  <si>
    <t>90003.98</t>
  </si>
  <si>
    <t>EMP1479</t>
  </si>
  <si>
    <t>106592.25</t>
  </si>
  <si>
    <t>EMP1480</t>
  </si>
  <si>
    <t>93905.83</t>
  </si>
  <si>
    <t>EMP1481</t>
  </si>
  <si>
    <t>88945.49</t>
  </si>
  <si>
    <t>EMP1482</t>
  </si>
  <si>
    <t>91130.33</t>
  </si>
  <si>
    <t>EMP1483</t>
  </si>
  <si>
    <t>90787.4</t>
  </si>
  <si>
    <t>EMP1484</t>
  </si>
  <si>
    <t>87494.34</t>
  </si>
  <si>
    <t>EMP1485</t>
  </si>
  <si>
    <t>92627.35</t>
  </si>
  <si>
    <t>EMP1486</t>
  </si>
  <si>
    <t>98556.29</t>
  </si>
  <si>
    <t>EMP1487</t>
  </si>
  <si>
    <t>112792.2</t>
  </si>
  <si>
    <t>EMP1488</t>
  </si>
  <si>
    <t>56875.22</t>
  </si>
  <si>
    <t>EMP1489</t>
  </si>
  <si>
    <t>101015.96</t>
  </si>
  <si>
    <t>EMP1490</t>
  </si>
  <si>
    <t>83912.22</t>
  </si>
  <si>
    <t>EMP1491</t>
  </si>
  <si>
    <t>99669.86</t>
  </si>
  <si>
    <t>EMP1492</t>
  </si>
  <si>
    <t>52314.97</t>
  </si>
  <si>
    <t>EMP1493</t>
  </si>
  <si>
    <t>77785.96</t>
  </si>
  <si>
    <t>EMP1494</t>
  </si>
  <si>
    <t>62430.86</t>
  </si>
  <si>
    <t>EMP1495</t>
  </si>
  <si>
    <t>98219.54</t>
  </si>
  <si>
    <t>EMP1496</t>
  </si>
  <si>
    <t>65494.58</t>
  </si>
  <si>
    <t>EMP1497</t>
  </si>
  <si>
    <t>110524.1</t>
  </si>
  <si>
    <t>EMP1498</t>
  </si>
  <si>
    <t>106060.54</t>
  </si>
  <si>
    <t>EMP1499</t>
  </si>
  <si>
    <t>67639.91</t>
  </si>
  <si>
    <t>EMP1500</t>
  </si>
  <si>
    <t>117653.98</t>
  </si>
  <si>
    <t>EMP1501</t>
  </si>
  <si>
    <t>73539.86</t>
  </si>
  <si>
    <t>EMP1502</t>
  </si>
  <si>
    <t>70915.38</t>
  </si>
  <si>
    <t>EMP1503</t>
  </si>
  <si>
    <t>97652.9</t>
  </si>
  <si>
    <t>EMP1504</t>
  </si>
  <si>
    <t>101571.25</t>
  </si>
  <si>
    <t>EMP1505</t>
  </si>
  <si>
    <t>87424.46</t>
  </si>
  <si>
    <t>EMP1506</t>
  </si>
  <si>
    <t>89077.36</t>
  </si>
  <si>
    <t>EMP1507</t>
  </si>
  <si>
    <t>89132.22</t>
  </si>
  <si>
    <t>EMP1508</t>
  </si>
  <si>
    <t>111000.26</t>
  </si>
  <si>
    <t>EMP1509</t>
  </si>
  <si>
    <t>109584.97</t>
  </si>
  <si>
    <t>EMP1510</t>
  </si>
  <si>
    <t>97648.84</t>
  </si>
  <si>
    <t>EMP1511</t>
  </si>
  <si>
    <t>78643.43</t>
  </si>
  <si>
    <t>EMP1512</t>
  </si>
  <si>
    <t>55656.8</t>
  </si>
  <si>
    <t>EMP1513</t>
  </si>
  <si>
    <t>69146.95</t>
  </si>
  <si>
    <t>EMP1514</t>
  </si>
  <si>
    <t>93013.58</t>
  </si>
  <si>
    <t>EMP1515</t>
  </si>
  <si>
    <t>87364.78</t>
  </si>
  <si>
    <t>EMP1516</t>
  </si>
  <si>
    <t>50288.67</t>
  </si>
  <si>
    <t>EMP1517</t>
  </si>
  <si>
    <t>85233.55</t>
  </si>
  <si>
    <t>EMP1518</t>
  </si>
  <si>
    <t>86420.19</t>
  </si>
  <si>
    <t>EMP1519</t>
  </si>
  <si>
    <t>63189.82</t>
  </si>
  <si>
    <t>EMP1520</t>
  </si>
  <si>
    <t>64783.32</t>
  </si>
  <si>
    <t>EMP1521</t>
  </si>
  <si>
    <t>52615.44</t>
  </si>
  <si>
    <t>EMP1522</t>
  </si>
  <si>
    <t>96337.89</t>
  </si>
  <si>
    <t>EMP1523</t>
  </si>
  <si>
    <t>76617.76</t>
  </si>
  <si>
    <t>EMP1524</t>
  </si>
  <si>
    <t>50651.32</t>
  </si>
  <si>
    <t>EMP1525</t>
  </si>
  <si>
    <t>59601.45</t>
  </si>
  <si>
    <t>EMP1526</t>
  </si>
  <si>
    <t>57980.88</t>
  </si>
  <si>
    <t>EMP1527</t>
  </si>
  <si>
    <t>75054.53</t>
  </si>
  <si>
    <t>EMP1528</t>
  </si>
  <si>
    <t>115318.7</t>
  </si>
  <si>
    <t>EMP1529</t>
  </si>
  <si>
    <t>90190.69</t>
  </si>
  <si>
    <t>EMP1530</t>
  </si>
  <si>
    <t>113334.56</t>
  </si>
  <si>
    <t>EMP1531</t>
  </si>
  <si>
    <t>106922.49</t>
  </si>
  <si>
    <t>EMP1532</t>
  </si>
  <si>
    <t>58113.07</t>
  </si>
  <si>
    <t>EMP1533</t>
  </si>
  <si>
    <t>73006.26</t>
  </si>
  <si>
    <t>EMP1534</t>
  </si>
  <si>
    <t>78054.43</t>
  </si>
  <si>
    <t>EMP1535</t>
  </si>
  <si>
    <t>112028.67</t>
  </si>
  <si>
    <t>EMP1536</t>
  </si>
  <si>
    <t>83787.24</t>
  </si>
  <si>
    <t>EMP1537</t>
  </si>
  <si>
    <t>52017.14</t>
  </si>
  <si>
    <t>EMP1538</t>
  </si>
  <si>
    <t>53218.06</t>
  </si>
  <si>
    <t>EMP1539</t>
  </si>
  <si>
    <t>102053.67</t>
  </si>
  <si>
    <t>EMP1540</t>
  </si>
  <si>
    <t>93276.73</t>
  </si>
  <si>
    <t>EMP1541</t>
  </si>
  <si>
    <t>76941.36</t>
  </si>
  <si>
    <t>EMP1542</t>
  </si>
  <si>
    <t>82850.23</t>
  </si>
  <si>
    <t>EMP1543</t>
  </si>
  <si>
    <t>117910.15</t>
  </si>
  <si>
    <t>EMP1544</t>
  </si>
  <si>
    <t>66450</t>
  </si>
  <si>
    <t>EMP1545</t>
  </si>
  <si>
    <t>118646.95</t>
  </si>
  <si>
    <t>EMP1546</t>
  </si>
  <si>
    <t>88436.92</t>
  </si>
  <si>
    <t>EMP1547</t>
  </si>
  <si>
    <t>81934.55</t>
  </si>
  <si>
    <t>EMP1548</t>
  </si>
  <si>
    <t>93383.06</t>
  </si>
  <si>
    <t>EMP1549</t>
  </si>
  <si>
    <t>50153.79</t>
  </si>
  <si>
    <t>EMP1550</t>
  </si>
  <si>
    <t>53204.47</t>
  </si>
  <si>
    <t>EMP1551</t>
  </si>
  <si>
    <t>63128.04</t>
  </si>
  <si>
    <t>EMP1552</t>
  </si>
  <si>
    <t>57543.6</t>
  </si>
  <si>
    <t>EMP1553</t>
  </si>
  <si>
    <t>59424.52</t>
  </si>
  <si>
    <t>EMP1554</t>
  </si>
  <si>
    <t>104675.7</t>
  </si>
  <si>
    <t>EMP1555</t>
  </si>
  <si>
    <t>92431.25</t>
  </si>
  <si>
    <t>EMP1556</t>
  </si>
  <si>
    <t>77850.9</t>
  </si>
  <si>
    <t>EMP1557</t>
  </si>
  <si>
    <t>99001</t>
  </si>
  <si>
    <t>EMP1558</t>
  </si>
  <si>
    <t>94280.83</t>
  </si>
  <si>
    <t>EMP1559</t>
  </si>
  <si>
    <t>118262.56</t>
  </si>
  <si>
    <t>EMP1560</t>
  </si>
  <si>
    <t>89944.67</t>
  </si>
  <si>
    <t>EMP1561</t>
  </si>
  <si>
    <t>57452.93</t>
  </si>
  <si>
    <t>EMP1562</t>
  </si>
  <si>
    <t>97837.32</t>
  </si>
  <si>
    <t>EMP1563</t>
  </si>
  <si>
    <t>106981.84</t>
  </si>
  <si>
    <t>EMP1564</t>
  </si>
  <si>
    <t>105778.36</t>
  </si>
  <si>
    <t>EMP1565</t>
  </si>
  <si>
    <t>117608.32</t>
  </si>
  <si>
    <t>EMP1566</t>
  </si>
  <si>
    <t>99324.03</t>
  </si>
  <si>
    <t>EMP1567</t>
  </si>
  <si>
    <t>55212.83</t>
  </si>
  <si>
    <t>EMP1568</t>
  </si>
  <si>
    <t>68496.77</t>
  </si>
  <si>
    <t>EMP1569</t>
  </si>
  <si>
    <t>52795.84</t>
  </si>
  <si>
    <t>EMP1570</t>
  </si>
  <si>
    <t>90087.39</t>
  </si>
  <si>
    <t>EMP1571</t>
  </si>
  <si>
    <t>105038.08</t>
  </si>
  <si>
    <t>EMP1572</t>
  </si>
  <si>
    <t>73231.85</t>
  </si>
  <si>
    <t>EMP1573</t>
  </si>
  <si>
    <t>102649.36</t>
  </si>
  <si>
    <t>EMP1574</t>
  </si>
  <si>
    <t>114302.51</t>
  </si>
  <si>
    <t>EMP1575</t>
  </si>
  <si>
    <t>87816.61</t>
  </si>
  <si>
    <t>EMP1576</t>
  </si>
  <si>
    <t>70750.38</t>
  </si>
  <si>
    <t>EMP1577</t>
  </si>
  <si>
    <t>EMP1578</t>
  </si>
  <si>
    <t>97978.36</t>
  </si>
  <si>
    <t>EMP1579</t>
  </si>
  <si>
    <t>107172.8</t>
  </si>
  <si>
    <t>EMP1580</t>
  </si>
  <si>
    <t>56126.46</t>
  </si>
  <si>
    <t>EMP1581</t>
  </si>
  <si>
    <t>78534.29</t>
  </si>
  <si>
    <t>EMP1582</t>
  </si>
  <si>
    <t>EMP1583</t>
  </si>
  <si>
    <t>114963.34</t>
  </si>
  <si>
    <t>EMP1584</t>
  </si>
  <si>
    <t>77657.93</t>
  </si>
  <si>
    <t>EMP1585</t>
  </si>
  <si>
    <t>77369.48</t>
  </si>
  <si>
    <t>EMP1586</t>
  </si>
  <si>
    <t>76119.14</t>
  </si>
  <si>
    <t>EMP1587</t>
  </si>
  <si>
    <t>77585.72</t>
  </si>
  <si>
    <t>EMP1588</t>
  </si>
  <si>
    <t>74069.62</t>
  </si>
  <si>
    <t>EMP1589</t>
  </si>
  <si>
    <t>67691.92</t>
  </si>
  <si>
    <t>EMP1590</t>
  </si>
  <si>
    <t>70345.69</t>
  </si>
  <si>
    <t>EMP1591</t>
  </si>
  <si>
    <t>74999.69</t>
  </si>
  <si>
    <t>EMP1592</t>
  </si>
  <si>
    <t>72245.02</t>
  </si>
  <si>
    <t>EMP1593</t>
  </si>
  <si>
    <t>106538.98</t>
  </si>
  <si>
    <t>EMP1594</t>
  </si>
  <si>
    <t>101787.14</t>
  </si>
  <si>
    <t>EMP1595</t>
  </si>
  <si>
    <t>83596.78</t>
  </si>
  <si>
    <t>EMP1596</t>
  </si>
  <si>
    <t>92463.94</t>
  </si>
  <si>
    <t>EMP1597</t>
  </si>
  <si>
    <t>93863.32</t>
  </si>
  <si>
    <t>EMP1598</t>
  </si>
  <si>
    <t>78359.41</t>
  </si>
  <si>
    <t>EMP1599</t>
  </si>
  <si>
    <t>95773.57</t>
  </si>
  <si>
    <t>EMP1600</t>
  </si>
  <si>
    <t>82529.08</t>
  </si>
  <si>
    <t>EMP1601</t>
  </si>
  <si>
    <t>109358.73</t>
  </si>
  <si>
    <t>EMP1602</t>
  </si>
  <si>
    <t>89645.01</t>
  </si>
  <si>
    <t>EMP1603</t>
  </si>
  <si>
    <t>84134.95</t>
  </si>
  <si>
    <t>EMP1604</t>
  </si>
  <si>
    <t>113540.83</t>
  </si>
  <si>
    <t>EMP1605</t>
  </si>
  <si>
    <t>57225.75</t>
  </si>
  <si>
    <t>EMP1606</t>
  </si>
  <si>
    <t>76366.17</t>
  </si>
  <si>
    <t>EMP1607</t>
  </si>
  <si>
    <t>78408.95</t>
  </si>
  <si>
    <t>EMP1608</t>
  </si>
  <si>
    <t>111742.4</t>
  </si>
  <si>
    <t>EMP1609</t>
  </si>
  <si>
    <t>60516.83</t>
  </si>
  <si>
    <t>EMP1610</t>
  </si>
  <si>
    <t>83706.17</t>
  </si>
  <si>
    <t>EMP1611</t>
  </si>
  <si>
    <t>67056.92</t>
  </si>
  <si>
    <t>EMP1612</t>
  </si>
  <si>
    <t>90058.85</t>
  </si>
  <si>
    <t>EMP1613</t>
  </si>
  <si>
    <t>94633.59</t>
  </si>
  <si>
    <t>EMP1614</t>
  </si>
  <si>
    <t>110711.17</t>
  </si>
  <si>
    <t>EMP1615</t>
  </si>
  <si>
    <t>96175.41</t>
  </si>
  <si>
    <t>EMP1616</t>
  </si>
  <si>
    <t>76474.79</t>
  </si>
  <si>
    <t>EMP1617</t>
  </si>
  <si>
    <t>107855.99</t>
  </si>
  <si>
    <t>EMP1618</t>
  </si>
  <si>
    <t>104870.78</t>
  </si>
  <si>
    <t>EMP1619</t>
  </si>
  <si>
    <t>EMP1620</t>
  </si>
  <si>
    <t>87087.16</t>
  </si>
  <si>
    <t>EMP1621</t>
  </si>
  <si>
    <t>108603.34</t>
  </si>
  <si>
    <t>EMP1622</t>
  </si>
  <si>
    <t>55867.23</t>
  </si>
  <si>
    <t>EMP1623</t>
  </si>
  <si>
    <t>105259.57</t>
  </si>
  <si>
    <t>EMP1624</t>
  </si>
  <si>
    <t>98143.67</t>
  </si>
  <si>
    <t>EMP1625</t>
  </si>
  <si>
    <t>67754.29</t>
  </si>
  <si>
    <t>EMP1626</t>
  </si>
  <si>
    <t>77821.79</t>
  </si>
  <si>
    <t>EMP1627</t>
  </si>
  <si>
    <t>67764.44</t>
  </si>
  <si>
    <t>EMP1628</t>
  </si>
  <si>
    <t>102346.99</t>
  </si>
  <si>
    <t>EMP1629</t>
  </si>
  <si>
    <t>73690.65</t>
  </si>
  <si>
    <t>EMP1630</t>
  </si>
  <si>
    <t>56376.2</t>
  </si>
  <si>
    <t>EMP1631</t>
  </si>
  <si>
    <t>55602.78</t>
  </si>
  <si>
    <t>EMP1632</t>
  </si>
  <si>
    <t>99812.41</t>
  </si>
  <si>
    <t>EMP1633</t>
  </si>
  <si>
    <t>95981.9</t>
  </si>
  <si>
    <t>EMP1634</t>
  </si>
  <si>
    <t>98891.48</t>
  </si>
  <si>
    <t>EMP1635</t>
  </si>
  <si>
    <t>56079</t>
  </si>
  <si>
    <t>EMP1636</t>
  </si>
  <si>
    <t>EMP1637</t>
  </si>
  <si>
    <t>89137.97</t>
  </si>
  <si>
    <t>EMP1638</t>
  </si>
  <si>
    <t>115079.97</t>
  </si>
  <si>
    <t>EMP1639</t>
  </si>
  <si>
    <t>55067.02</t>
  </si>
  <si>
    <t>EMP1640</t>
  </si>
  <si>
    <t>98593.43</t>
  </si>
  <si>
    <t>EMP1641</t>
  </si>
  <si>
    <t>112756.67</t>
  </si>
  <si>
    <t>EMP1642</t>
  </si>
  <si>
    <t>105205.92</t>
  </si>
  <si>
    <t>EMP1643</t>
  </si>
  <si>
    <t>50680.62</t>
  </si>
  <si>
    <t>EMP1644</t>
  </si>
  <si>
    <t>107475.23</t>
  </si>
  <si>
    <t>EMP1645</t>
  </si>
  <si>
    <t>68835.3</t>
  </si>
  <si>
    <t>EMP1646</t>
  </si>
  <si>
    <t>66943.96</t>
  </si>
  <si>
    <t>EMP1647</t>
  </si>
  <si>
    <t>104525.69</t>
  </si>
  <si>
    <t>EMP1648</t>
  </si>
  <si>
    <t>109360.74</t>
  </si>
  <si>
    <t>EMP1649</t>
  </si>
  <si>
    <t>118907.63</t>
  </si>
  <si>
    <t>EMP1650</t>
  </si>
  <si>
    <t>86801.48</t>
  </si>
  <si>
    <t>EMP1651</t>
  </si>
  <si>
    <t>62236.03</t>
  </si>
  <si>
    <t>EMP1652</t>
  </si>
  <si>
    <t>64752.67</t>
  </si>
  <si>
    <t>EMP1653</t>
  </si>
  <si>
    <t>68399.43</t>
  </si>
  <si>
    <t>EMP1654</t>
  </si>
  <si>
    <t>79336.51</t>
  </si>
  <si>
    <t>EMP1655</t>
  </si>
  <si>
    <t>59179.74</t>
  </si>
  <si>
    <t>EMP1656</t>
  </si>
  <si>
    <t>80255.31</t>
  </si>
  <si>
    <t>EMP1657</t>
  </si>
  <si>
    <t>84971.85</t>
  </si>
  <si>
    <t>EMP1658</t>
  </si>
  <si>
    <t>89748.42</t>
  </si>
  <si>
    <t>EMP1659</t>
  </si>
  <si>
    <t>94090.35</t>
  </si>
  <si>
    <t>EMP1660</t>
  </si>
  <si>
    <t>115229.12</t>
  </si>
  <si>
    <t>EMP1661</t>
  </si>
  <si>
    <t>63927.07</t>
  </si>
  <si>
    <t>EMP1662</t>
  </si>
  <si>
    <t>84124.56</t>
  </si>
  <si>
    <t>EMP1663</t>
  </si>
  <si>
    <t>116961.61</t>
  </si>
  <si>
    <t>EMP1664</t>
  </si>
  <si>
    <t>109423.05</t>
  </si>
  <si>
    <t>EMP1665</t>
  </si>
  <si>
    <t>70394.94</t>
  </si>
  <si>
    <t>EMP1666</t>
  </si>
  <si>
    <t>86465.5</t>
  </si>
  <si>
    <t>EMP1667</t>
  </si>
  <si>
    <t>96341.58</t>
  </si>
  <si>
    <t>EMP1668</t>
  </si>
  <si>
    <t>54465.47</t>
  </si>
  <si>
    <t>EMP1669</t>
  </si>
  <si>
    <t>68371.66</t>
  </si>
  <si>
    <t>EMP1670</t>
  </si>
  <si>
    <t>81021.23</t>
  </si>
  <si>
    <t>EMP1671</t>
  </si>
  <si>
    <t>114069.07</t>
  </si>
  <si>
    <t>EMP1672</t>
  </si>
  <si>
    <t>117867.96</t>
  </si>
  <si>
    <t>EMP1673</t>
  </si>
  <si>
    <t>94509.58</t>
  </si>
  <si>
    <t>EMP1674</t>
  </si>
  <si>
    <t>56268.78</t>
  </si>
  <si>
    <t>EMP1675</t>
  </si>
  <si>
    <t>86632.14</t>
  </si>
  <si>
    <t>EMP1676</t>
  </si>
  <si>
    <t>98143.9</t>
  </si>
  <si>
    <t>EMP1677</t>
  </si>
  <si>
    <t>EMP1678</t>
  </si>
  <si>
    <t>67492.73</t>
  </si>
  <si>
    <t>EMP1679</t>
  </si>
  <si>
    <t>93772.61</t>
  </si>
  <si>
    <t>EMP1680</t>
  </si>
  <si>
    <t>68817.54</t>
  </si>
  <si>
    <t>EMP1681</t>
  </si>
  <si>
    <t>81874.01</t>
  </si>
  <si>
    <t>EMP1682</t>
  </si>
  <si>
    <t>117880.14</t>
  </si>
  <si>
    <t>EMP1683</t>
  </si>
  <si>
    <t>100897.49</t>
  </si>
  <si>
    <t>EMP1684</t>
  </si>
  <si>
    <t>71810.37</t>
  </si>
  <si>
    <t>EMP1685</t>
  </si>
  <si>
    <t>109048.24</t>
  </si>
  <si>
    <t>EMP1686</t>
  </si>
  <si>
    <t>62712.26</t>
  </si>
  <si>
    <t>EMP1687</t>
  </si>
  <si>
    <t>76935.85</t>
  </si>
  <si>
    <t>EMP1688</t>
  </si>
  <si>
    <t>56577.22</t>
  </si>
  <si>
    <t>EMP1689</t>
  </si>
  <si>
    <t>61102.8</t>
  </si>
  <si>
    <t>EMP1690</t>
  </si>
  <si>
    <t>75229.87</t>
  </si>
  <si>
    <t>EMP1691</t>
  </si>
  <si>
    <t>51054.74</t>
  </si>
  <si>
    <t>EMP1692</t>
  </si>
  <si>
    <t>104843.27</t>
  </si>
  <si>
    <t>EMP1693</t>
  </si>
  <si>
    <t>56398.11</t>
  </si>
  <si>
    <t>EMP1694</t>
  </si>
  <si>
    <t>87544.73</t>
  </si>
  <si>
    <t>EMP1695</t>
  </si>
  <si>
    <t>74312.24</t>
  </si>
  <si>
    <t>EMP1696</t>
  </si>
  <si>
    <t>59431.25</t>
  </si>
  <si>
    <t>EMP1697</t>
  </si>
  <si>
    <t>84306.44</t>
  </si>
  <si>
    <t>EMP1698</t>
  </si>
  <si>
    <t>108194.47</t>
  </si>
  <si>
    <t>EMP1699</t>
  </si>
  <si>
    <t>107359.3</t>
  </si>
  <si>
    <t>EMP1700</t>
  </si>
  <si>
    <t>EMP1701</t>
  </si>
  <si>
    <t>96080.26</t>
  </si>
  <si>
    <t>EMP1702</t>
  </si>
  <si>
    <t>88602.75</t>
  </si>
  <si>
    <t>EMP1703</t>
  </si>
  <si>
    <t>86624.04</t>
  </si>
  <si>
    <t>EMP1704</t>
  </si>
  <si>
    <t>63413.16</t>
  </si>
  <si>
    <t>EMP1705</t>
  </si>
  <si>
    <t>67915.7</t>
  </si>
  <si>
    <t>EMP1706</t>
  </si>
  <si>
    <t>108245.44</t>
  </si>
  <si>
    <t>EMP1707</t>
  </si>
  <si>
    <t>75834.81</t>
  </si>
  <si>
    <t>EMP1708</t>
  </si>
  <si>
    <t>71273.32</t>
  </si>
  <si>
    <t>EMP1709</t>
  </si>
  <si>
    <t>63262.23</t>
  </si>
  <si>
    <t>EMP1710</t>
  </si>
  <si>
    <t>89069.91</t>
  </si>
  <si>
    <t>EMP1711</t>
  </si>
  <si>
    <t>57287.17</t>
  </si>
  <si>
    <t>EMP1712</t>
  </si>
  <si>
    <t>119890.35</t>
  </si>
  <si>
    <t>EMP1713</t>
  </si>
  <si>
    <t>103492.91</t>
  </si>
  <si>
    <t>EMP1714</t>
  </si>
  <si>
    <t>76254.42</t>
  </si>
  <si>
    <t>EMP1715</t>
  </si>
  <si>
    <t>100841.93</t>
  </si>
  <si>
    <t>EMP1716</t>
  </si>
  <si>
    <t>118907.61</t>
  </si>
  <si>
    <t>EMP1717</t>
  </si>
  <si>
    <t>88942.62</t>
  </si>
  <si>
    <t>EMP1718</t>
  </si>
  <si>
    <t>59688.57</t>
  </si>
  <si>
    <t>EMP1719</t>
  </si>
  <si>
    <t>77985.88</t>
  </si>
  <si>
    <t>EMP1720</t>
  </si>
  <si>
    <t>112931.69</t>
  </si>
  <si>
    <t>EMP1721</t>
  </si>
  <si>
    <t>106583.88</t>
  </si>
  <si>
    <t>EMP1722</t>
  </si>
  <si>
    <t>58437.84</t>
  </si>
  <si>
    <t>EMP1723</t>
  </si>
  <si>
    <t>72352.16</t>
  </si>
  <si>
    <t>EMP1724</t>
  </si>
  <si>
    <t>97154.47</t>
  </si>
  <si>
    <t>EMP1725</t>
  </si>
  <si>
    <t>80235.5</t>
  </si>
  <si>
    <t>EMP1726</t>
  </si>
  <si>
    <t>102172.05</t>
  </si>
  <si>
    <t>EMP1727</t>
  </si>
  <si>
    <t>98850.94</t>
  </si>
  <si>
    <t>EMP1728</t>
  </si>
  <si>
    <t>89993.15</t>
  </si>
  <si>
    <t>EMP1729</t>
  </si>
  <si>
    <t>97931.66</t>
  </si>
  <si>
    <t>EMP1730</t>
  </si>
  <si>
    <t>72451.69</t>
  </si>
  <si>
    <t>EMP1731</t>
  </si>
  <si>
    <t>119311.14</t>
  </si>
  <si>
    <t>EMP1732</t>
  </si>
  <si>
    <t>76167.46</t>
  </si>
  <si>
    <t>EMP1733</t>
  </si>
  <si>
    <t>114871.08</t>
  </si>
  <si>
    <t>EMP1734</t>
  </si>
  <si>
    <t>81504.31</t>
  </si>
  <si>
    <t>EMP1735</t>
  </si>
  <si>
    <t>102524.86</t>
  </si>
  <si>
    <t>EMP1736</t>
  </si>
  <si>
    <t>53043.74</t>
  </si>
  <si>
    <t>EMP1737</t>
  </si>
  <si>
    <t>82547.26</t>
  </si>
  <si>
    <t>EMP1738</t>
  </si>
  <si>
    <t>113900.81</t>
  </si>
  <si>
    <t>EMP1739</t>
  </si>
  <si>
    <t>118585.5</t>
  </si>
  <si>
    <t>EMP1740</t>
  </si>
  <si>
    <t>63049.22</t>
  </si>
  <si>
    <t>EMP1741</t>
  </si>
  <si>
    <t>114558.91</t>
  </si>
  <si>
    <t>EMP1742</t>
  </si>
  <si>
    <t>97901.79</t>
  </si>
  <si>
    <t>EMP1743</t>
  </si>
  <si>
    <t>68037.56</t>
  </si>
  <si>
    <t>EMP1744</t>
  </si>
  <si>
    <t>112802.27</t>
  </si>
  <si>
    <t>EMP1745</t>
  </si>
  <si>
    <t>93786.72</t>
  </si>
  <si>
    <t>EMP1746</t>
  </si>
  <si>
    <t>73049.93</t>
  </si>
  <si>
    <t>EMP1747</t>
  </si>
  <si>
    <t>64161.72</t>
  </si>
  <si>
    <t>EMP1748</t>
  </si>
  <si>
    <t>72224.73</t>
  </si>
  <si>
    <t>EMP1749</t>
  </si>
  <si>
    <t>103580.45</t>
  </si>
  <si>
    <t>EMP1750</t>
  </si>
  <si>
    <t>112589.11</t>
  </si>
  <si>
    <t>EMP1751</t>
  </si>
  <si>
    <t>51833.88</t>
  </si>
  <si>
    <t>EMP1752</t>
  </si>
  <si>
    <t>66252.78</t>
  </si>
  <si>
    <t>EMP1753</t>
  </si>
  <si>
    <t>109229.68</t>
  </si>
  <si>
    <t>EMP1754</t>
  </si>
  <si>
    <t>61465.05</t>
  </si>
  <si>
    <t>EMP1755</t>
  </si>
  <si>
    <t>96993.74</t>
  </si>
  <si>
    <t>EMP1756</t>
  </si>
  <si>
    <t>98150.39</t>
  </si>
  <si>
    <t>EMP1757</t>
  </si>
  <si>
    <t>107703</t>
  </si>
  <si>
    <t>EMP1758</t>
  </si>
  <si>
    <t>86766.14</t>
  </si>
  <si>
    <t>EMP1759</t>
  </si>
  <si>
    <t>111443.69</t>
  </si>
  <si>
    <t>EMP1760</t>
  </si>
  <si>
    <t>89039.07</t>
  </si>
  <si>
    <t>EMP1761</t>
  </si>
  <si>
    <t>71318.79</t>
  </si>
  <si>
    <t>EMP1762</t>
  </si>
  <si>
    <t>98296.71</t>
  </si>
  <si>
    <t>EMP1763</t>
  </si>
  <si>
    <t>62584</t>
  </si>
  <si>
    <t>EMP1764</t>
  </si>
  <si>
    <t>62521.5</t>
  </si>
  <si>
    <t>EMP1765</t>
  </si>
  <si>
    <t>95400.35</t>
  </si>
  <si>
    <t>EMP1766</t>
  </si>
  <si>
    <t>94385.07</t>
  </si>
  <si>
    <t>EMP1767</t>
  </si>
  <si>
    <t>76642.49</t>
  </si>
  <si>
    <t>EMP1768</t>
  </si>
  <si>
    <t>60122.52</t>
  </si>
  <si>
    <t>EMP1769</t>
  </si>
  <si>
    <t>117267.63</t>
  </si>
  <si>
    <t>EMP1770</t>
  </si>
  <si>
    <t>EMP1771</t>
  </si>
  <si>
    <t>84542.68</t>
  </si>
  <si>
    <t>EMP1772</t>
  </si>
  <si>
    <t>92007.15</t>
  </si>
  <si>
    <t>EMP1773</t>
  </si>
  <si>
    <t>62938.8</t>
  </si>
  <si>
    <t>EMP1774</t>
  </si>
  <si>
    <t>108661.01</t>
  </si>
  <si>
    <t>EMP1775</t>
  </si>
  <si>
    <t>97046.33</t>
  </si>
  <si>
    <t>EMP1776</t>
  </si>
  <si>
    <t>56518.84</t>
  </si>
  <si>
    <t>EMP1777</t>
  </si>
  <si>
    <t>70498.29</t>
  </si>
  <si>
    <t>EMP1778</t>
  </si>
  <si>
    <t>98708.06</t>
  </si>
  <si>
    <t>EMP1779</t>
  </si>
  <si>
    <t>83856.41</t>
  </si>
  <si>
    <t>EMP1780</t>
  </si>
  <si>
    <t>90259.99</t>
  </si>
  <si>
    <t>EMP1781</t>
  </si>
  <si>
    <t>94230.03</t>
  </si>
  <si>
    <t>EMP1782</t>
  </si>
  <si>
    <t>50110.66</t>
  </si>
  <si>
    <t>EMP1783</t>
  </si>
  <si>
    <t>73365.46</t>
  </si>
  <si>
    <t>EMP1784</t>
  </si>
  <si>
    <t>67809.23</t>
  </si>
  <si>
    <t>EMP1785</t>
  </si>
  <si>
    <t>98008.51</t>
  </si>
  <si>
    <t>EMP1786</t>
  </si>
  <si>
    <t>83537.58</t>
  </si>
  <si>
    <t>EMP1787</t>
  </si>
  <si>
    <t>112444.08</t>
  </si>
  <si>
    <t>EMP1788</t>
  </si>
  <si>
    <t>86475.13</t>
  </si>
  <si>
    <t>EMP1789</t>
  </si>
  <si>
    <t>97984.53</t>
  </si>
  <si>
    <t>EMP1790</t>
  </si>
  <si>
    <t>118853.31</t>
  </si>
  <si>
    <t>EMP1791</t>
  </si>
  <si>
    <t>58179.12</t>
  </si>
  <si>
    <t>EMP1792</t>
  </si>
  <si>
    <t>56075.84</t>
  </si>
  <si>
    <t>EMP1793</t>
  </si>
  <si>
    <t>62250.89</t>
  </si>
  <si>
    <t>EMP1794</t>
  </si>
  <si>
    <t>105931.77</t>
  </si>
  <si>
    <t>EMP1795</t>
  </si>
  <si>
    <t>86653.96</t>
  </si>
  <si>
    <t>EMP1796</t>
  </si>
  <si>
    <t>100719.94</t>
  </si>
  <si>
    <t>EMP1797</t>
  </si>
  <si>
    <t>91600.13</t>
  </si>
  <si>
    <t>EMP1798</t>
  </si>
  <si>
    <t>71873.66</t>
  </si>
  <si>
    <t>EMP1799</t>
  </si>
  <si>
    <t>69365.47</t>
  </si>
  <si>
    <t>EMP1800</t>
  </si>
  <si>
    <t>58012.23</t>
  </si>
  <si>
    <t>EMP1801</t>
  </si>
  <si>
    <t>68973.65</t>
  </si>
  <si>
    <t>EMP1802</t>
  </si>
  <si>
    <t>92928.4</t>
  </si>
  <si>
    <t>EMP1803</t>
  </si>
  <si>
    <t>53531.92</t>
  </si>
  <si>
    <t>EMP1804</t>
  </si>
  <si>
    <t>112389.31</t>
  </si>
  <si>
    <t>EMP1805</t>
  </si>
  <si>
    <t>63870.3</t>
  </si>
  <si>
    <t>EMP1806</t>
  </si>
  <si>
    <t>106164.53</t>
  </si>
  <si>
    <t>EMP1807</t>
  </si>
  <si>
    <t>103654.54</t>
  </si>
  <si>
    <t>EMP1808</t>
  </si>
  <si>
    <t>62834.72</t>
  </si>
  <si>
    <t>EMP1809</t>
  </si>
  <si>
    <t>83273.41</t>
  </si>
  <si>
    <t>EMP1810</t>
  </si>
  <si>
    <t>58917.58</t>
  </si>
  <si>
    <t>EMP1811</t>
  </si>
  <si>
    <t>71148.27</t>
  </si>
  <si>
    <t>EMP1812</t>
  </si>
  <si>
    <t>118172.42</t>
  </si>
  <si>
    <t>EMP1813</t>
  </si>
  <si>
    <t>118614.37</t>
  </si>
  <si>
    <t>EMP1814</t>
  </si>
  <si>
    <t>96872.36</t>
  </si>
  <si>
    <t>EMP1815</t>
  </si>
  <si>
    <t>88856.14</t>
  </si>
  <si>
    <t>EMP1816</t>
  </si>
  <si>
    <t>97985.61</t>
  </si>
  <si>
    <t>EMP1817</t>
  </si>
  <si>
    <t>56337.31</t>
  </si>
  <si>
    <t>EMP1818</t>
  </si>
  <si>
    <t>70405.23</t>
  </si>
  <si>
    <t>EMP1819</t>
  </si>
  <si>
    <t>89919.35</t>
  </si>
  <si>
    <t>EMP1820</t>
  </si>
  <si>
    <t>50568.35</t>
  </si>
  <si>
    <t>EMP1821</t>
  </si>
  <si>
    <t>EMP1822</t>
  </si>
  <si>
    <t>99155.53</t>
  </si>
  <si>
    <t>EMP1823</t>
  </si>
  <si>
    <t>64785.13</t>
  </si>
  <si>
    <t>EMP1824</t>
  </si>
  <si>
    <t>79206.48</t>
  </si>
  <si>
    <t>EMP1825</t>
  </si>
  <si>
    <t>60079.71</t>
  </si>
  <si>
    <t>EMP1826</t>
  </si>
  <si>
    <t>79109.88</t>
  </si>
  <si>
    <t>EMP1827</t>
  </si>
  <si>
    <t>88643.5</t>
  </si>
  <si>
    <t>EMP1828</t>
  </si>
  <si>
    <t>90455.7</t>
  </si>
  <si>
    <t>EMP1829</t>
  </si>
  <si>
    <t>75687.9</t>
  </si>
  <si>
    <t>EMP1830</t>
  </si>
  <si>
    <t>55604.42</t>
  </si>
  <si>
    <t>EMP1831</t>
  </si>
  <si>
    <t>92704.94</t>
  </si>
  <si>
    <t>EMP1832</t>
  </si>
  <si>
    <t>113250.97</t>
  </si>
  <si>
    <t>EMP1833</t>
  </si>
  <si>
    <t>101367.02</t>
  </si>
  <si>
    <t>EMP1834</t>
  </si>
  <si>
    <t>102459.77</t>
  </si>
  <si>
    <t>EMP1835</t>
  </si>
  <si>
    <t>90100.2</t>
  </si>
  <si>
    <t>EMP1836</t>
  </si>
  <si>
    <t>58877.49</t>
  </si>
  <si>
    <t>EMP1837</t>
  </si>
  <si>
    <t>EMP1838</t>
  </si>
  <si>
    <t>96140.89</t>
  </si>
  <si>
    <t>EMP1839</t>
  </si>
  <si>
    <t>105956.04</t>
  </si>
  <si>
    <t>EMP1840</t>
  </si>
  <si>
    <t>84716.38</t>
  </si>
  <si>
    <t>EMP1841</t>
  </si>
  <si>
    <t>61709.83</t>
  </si>
  <si>
    <t>EMP1842</t>
  </si>
  <si>
    <t>61732.03</t>
  </si>
  <si>
    <t>EMP1843</t>
  </si>
  <si>
    <t>97845.7</t>
  </si>
  <si>
    <t>EMP1844</t>
  </si>
  <si>
    <t>114905.58</t>
  </si>
  <si>
    <t>EMP1845</t>
  </si>
  <si>
    <t>94619.69</t>
  </si>
  <si>
    <t>EMP1846</t>
  </si>
  <si>
    <t>68696.15</t>
  </si>
  <si>
    <t>EMP1847</t>
  </si>
  <si>
    <t>97032.29</t>
  </si>
  <si>
    <t>EMP1848</t>
  </si>
  <si>
    <t>50593.33</t>
  </si>
  <si>
    <t>EMP1849</t>
  </si>
  <si>
    <t>74606.15</t>
  </si>
  <si>
    <t>EMP1850</t>
  </si>
  <si>
    <t>53981.73</t>
  </si>
  <si>
    <t>EMP1851</t>
  </si>
  <si>
    <t>56047.05</t>
  </si>
  <si>
    <t>EMP1852</t>
  </si>
  <si>
    <t>67733.5</t>
  </si>
  <si>
    <t>EMP1853</t>
  </si>
  <si>
    <t>103891.64</t>
  </si>
  <si>
    <t>EMP1854</t>
  </si>
  <si>
    <t>73285.83</t>
  </si>
  <si>
    <t>EMP1855</t>
  </si>
  <si>
    <t>92721.13</t>
  </si>
  <si>
    <t>EMP1856</t>
  </si>
  <si>
    <t>92977.64</t>
  </si>
  <si>
    <t>EMP1857</t>
  </si>
  <si>
    <t>89994.12</t>
  </si>
  <si>
    <t>EMP1858</t>
  </si>
  <si>
    <t>50060.73</t>
  </si>
  <si>
    <t>EMP1859</t>
  </si>
  <si>
    <t>90224.82</t>
  </si>
  <si>
    <t>EMP1860</t>
  </si>
  <si>
    <t>106859.3</t>
  </si>
  <si>
    <t>EMP1861</t>
  </si>
  <si>
    <t>89707.07</t>
  </si>
  <si>
    <t>EMP1862</t>
  </si>
  <si>
    <t>94259.08</t>
  </si>
  <si>
    <t>EMP1863</t>
  </si>
  <si>
    <t>82174.75</t>
  </si>
  <si>
    <t>EMP1864</t>
  </si>
  <si>
    <t>63370.22</t>
  </si>
  <si>
    <t>EMP1865</t>
  </si>
  <si>
    <t>101472.69</t>
  </si>
  <si>
    <t>EMP1866</t>
  </si>
  <si>
    <t>77213.73</t>
  </si>
  <si>
    <t>EMP1867</t>
  </si>
  <si>
    <t>73749.96</t>
  </si>
  <si>
    <t>EMP1868</t>
  </si>
  <si>
    <t>86618.37</t>
  </si>
  <si>
    <t>EMP1869</t>
  </si>
  <si>
    <t>59911.33</t>
  </si>
  <si>
    <t>EMP1870</t>
  </si>
  <si>
    <t>59137.64</t>
  </si>
  <si>
    <t>EMP1871</t>
  </si>
  <si>
    <t>108474.65</t>
  </si>
  <si>
    <t>EMP1872</t>
  </si>
  <si>
    <t>54417.71</t>
  </si>
  <si>
    <t>EMP1873</t>
  </si>
  <si>
    <t>88211.94</t>
  </si>
  <si>
    <t>EMP1874</t>
  </si>
  <si>
    <t>58452.18</t>
  </si>
  <si>
    <t>EMP1875</t>
  </si>
  <si>
    <t>80706.28</t>
  </si>
  <si>
    <t>EMP1876</t>
  </si>
  <si>
    <t>EMP1877</t>
  </si>
  <si>
    <t>99471.89</t>
  </si>
  <si>
    <t>EMP1878</t>
  </si>
  <si>
    <t>64431.22</t>
  </si>
  <si>
    <t>EMP1879</t>
  </si>
  <si>
    <t>52633.48</t>
  </si>
  <si>
    <t>EMP1880</t>
  </si>
  <si>
    <t>79315.01</t>
  </si>
  <si>
    <t>EMP1881</t>
  </si>
  <si>
    <t>110391.17</t>
  </si>
  <si>
    <t>EMP1882</t>
  </si>
  <si>
    <t>53714.83</t>
  </si>
  <si>
    <t>EMP1883</t>
  </si>
  <si>
    <t>114587.11</t>
  </si>
  <si>
    <t>EMP1884</t>
  </si>
  <si>
    <t>93177.35</t>
  </si>
  <si>
    <t>EMP1885</t>
  </si>
  <si>
    <t>62312.13</t>
  </si>
  <si>
    <t>EMP1886</t>
  </si>
  <si>
    <t>81137.46</t>
  </si>
  <si>
    <t>EMP1887</t>
  </si>
  <si>
    <t>104528.27</t>
  </si>
  <si>
    <t>EMP1888</t>
  </si>
  <si>
    <t>112395.56</t>
  </si>
  <si>
    <t>EMP1889</t>
  </si>
  <si>
    <t>81849.36</t>
  </si>
  <si>
    <t>EMP1890</t>
  </si>
  <si>
    <t>118288.91</t>
  </si>
  <si>
    <t>EMP1891</t>
  </si>
  <si>
    <t>59555.1</t>
  </si>
  <si>
    <t>EMP1892</t>
  </si>
  <si>
    <t>70661.31</t>
  </si>
  <si>
    <t>EMP1893</t>
  </si>
  <si>
    <t>109988.16</t>
  </si>
  <si>
    <t>EMP1894</t>
  </si>
  <si>
    <t>101101.24</t>
  </si>
  <si>
    <t>EMP1895</t>
  </si>
  <si>
    <t>112427.58</t>
  </si>
  <si>
    <t>EMP1896</t>
  </si>
  <si>
    <t>119389.15</t>
  </si>
  <si>
    <t>EMP1897</t>
  </si>
  <si>
    <t>105861.23</t>
  </si>
  <si>
    <t>EMP1898</t>
  </si>
  <si>
    <t>50869.61</t>
  </si>
  <si>
    <t>EMP1899</t>
  </si>
  <si>
    <t>EMP1900</t>
  </si>
  <si>
    <t>90856.21</t>
  </si>
  <si>
    <t>EMP1901</t>
  </si>
  <si>
    <t>111008.63</t>
  </si>
  <si>
    <t>EMP1902</t>
  </si>
  <si>
    <t>52289.99</t>
  </si>
  <si>
    <t>EMP1903</t>
  </si>
  <si>
    <t>97926.56</t>
  </si>
  <si>
    <t>EMP1904</t>
  </si>
  <si>
    <t>53609.38</t>
  </si>
  <si>
    <t>EMP1905</t>
  </si>
  <si>
    <t>95372.09</t>
  </si>
  <si>
    <t>EMP1906</t>
  </si>
  <si>
    <t>95432.69</t>
  </si>
  <si>
    <t>EMP1907</t>
  </si>
  <si>
    <t>97615.87</t>
  </si>
  <si>
    <t>EMP1908</t>
  </si>
  <si>
    <t>86867.78</t>
  </si>
  <si>
    <t>EMP1909</t>
  </si>
  <si>
    <t>106615.71</t>
  </si>
  <si>
    <t>EMP1910</t>
  </si>
  <si>
    <t>112856.21</t>
  </si>
  <si>
    <t>EMP1911</t>
  </si>
  <si>
    <t>60356.78</t>
  </si>
  <si>
    <t>EMP1912</t>
  </si>
  <si>
    <t>117870.22</t>
  </si>
  <si>
    <t>EMP1913</t>
  </si>
  <si>
    <t>95127.91</t>
  </si>
  <si>
    <t>EMP1914</t>
  </si>
  <si>
    <t>78818.42</t>
  </si>
  <si>
    <t>EMP1915</t>
  </si>
  <si>
    <t>108933.55</t>
  </si>
  <si>
    <t>EMP1916</t>
  </si>
  <si>
    <t>68200.52</t>
  </si>
  <si>
    <t>EMP1917</t>
  </si>
  <si>
    <t>116934.97</t>
  </si>
  <si>
    <t>EMP1918</t>
  </si>
  <si>
    <t>99567.78</t>
  </si>
  <si>
    <t>EMP1919</t>
  </si>
  <si>
    <t>90216.76</t>
  </si>
  <si>
    <t>EMP1920</t>
  </si>
  <si>
    <t>96588.73</t>
  </si>
  <si>
    <t>EMP1921</t>
  </si>
  <si>
    <t>71109.18</t>
  </si>
  <si>
    <t>EMP1922</t>
  </si>
  <si>
    <t>50300.6</t>
  </si>
  <si>
    <t>EMP1923</t>
  </si>
  <si>
    <t>60295.84</t>
  </si>
  <si>
    <t>EMP1924</t>
  </si>
  <si>
    <t>113012.21</t>
  </si>
  <si>
    <t>EMP1925</t>
  </si>
  <si>
    <t>65425.54</t>
  </si>
  <si>
    <t>EMP1926</t>
  </si>
  <si>
    <t>86850.37</t>
  </si>
  <si>
    <t>EMP1927</t>
  </si>
  <si>
    <t>81182.07</t>
  </si>
  <si>
    <t>EMP1928</t>
  </si>
  <si>
    <t>92222.03</t>
  </si>
  <si>
    <t>EMP1929</t>
  </si>
  <si>
    <t>79934.83</t>
  </si>
  <si>
    <t>EMP1930</t>
  </si>
  <si>
    <t>111201.12</t>
  </si>
  <si>
    <t>EMP1931</t>
  </si>
  <si>
    <t>100960.05</t>
  </si>
  <si>
    <t>EMP1932</t>
  </si>
  <si>
    <t>64544.87</t>
  </si>
  <si>
    <t>EMP1933</t>
  </si>
  <si>
    <t>78662.24</t>
  </si>
  <si>
    <t>EMP1934</t>
  </si>
  <si>
    <t>102867.06</t>
  </si>
  <si>
    <t>EMP1935</t>
  </si>
  <si>
    <t>107595.95</t>
  </si>
  <si>
    <t>EMP1936</t>
  </si>
  <si>
    <t>EMP1937</t>
  </si>
  <si>
    <t>95766.91</t>
  </si>
  <si>
    <t>EMP1938</t>
  </si>
  <si>
    <t>51990.98</t>
  </si>
  <si>
    <t>EMP1939</t>
  </si>
  <si>
    <t>83634.01</t>
  </si>
  <si>
    <t>EMP1940</t>
  </si>
  <si>
    <t>EMP1941</t>
  </si>
  <si>
    <t>82273.08</t>
  </si>
  <si>
    <t>EMP1942</t>
  </si>
  <si>
    <t>94537.3</t>
  </si>
  <si>
    <t>EMP1943</t>
  </si>
  <si>
    <t>85970.65</t>
  </si>
  <si>
    <t>EMP1944</t>
  </si>
  <si>
    <t>111071.02</t>
  </si>
  <si>
    <t>EMP1945</t>
  </si>
  <si>
    <t>56708.34</t>
  </si>
  <si>
    <t>EMP1946</t>
  </si>
  <si>
    <t>104516.55</t>
  </si>
  <si>
    <t>EMP1947</t>
  </si>
  <si>
    <t>108210.15</t>
  </si>
  <si>
    <t>EMP1948</t>
  </si>
  <si>
    <t>EMP1949</t>
  </si>
  <si>
    <t>80935.65</t>
  </si>
  <si>
    <t>EMP1950</t>
  </si>
  <si>
    <t>107020.19</t>
  </si>
  <si>
    <t>EMP1951</t>
  </si>
  <si>
    <t>118677.67</t>
  </si>
  <si>
    <t>EMP1952</t>
  </si>
  <si>
    <t>63744.57</t>
  </si>
  <si>
    <t>EMP1953</t>
  </si>
  <si>
    <t>EMP1954</t>
  </si>
  <si>
    <t>62934.73</t>
  </si>
  <si>
    <t>EMP1955</t>
  </si>
  <si>
    <t>74654.23</t>
  </si>
  <si>
    <t>EMP1956</t>
  </si>
  <si>
    <t>EMP1957</t>
  </si>
  <si>
    <t>118150.59</t>
  </si>
  <si>
    <t>EMP1958</t>
  </si>
  <si>
    <t>91256.64</t>
  </si>
  <si>
    <t>EMP1959</t>
  </si>
  <si>
    <t>85997.57</t>
  </si>
  <si>
    <t>EMP1960</t>
  </si>
  <si>
    <t>84707.12</t>
  </si>
  <si>
    <t>EMP1961</t>
  </si>
  <si>
    <t>84559.9</t>
  </si>
  <si>
    <t>EMP1962</t>
  </si>
  <si>
    <t>81076.91</t>
  </si>
  <si>
    <t>EMP1963</t>
  </si>
  <si>
    <t>EMP1964</t>
  </si>
  <si>
    <t>97356.31</t>
  </si>
  <si>
    <t>EMP1965</t>
  </si>
  <si>
    <t>114770.32</t>
  </si>
  <si>
    <t>EMP1966</t>
  </si>
  <si>
    <t>109082.07</t>
  </si>
  <si>
    <t>EMP1967</t>
  </si>
  <si>
    <t>99944.57</t>
  </si>
  <si>
    <t>EMP1968</t>
  </si>
  <si>
    <t>116509.72</t>
  </si>
  <si>
    <t>EMP1969</t>
  </si>
  <si>
    <t>84253.9</t>
  </si>
  <si>
    <t>EMP1970</t>
  </si>
  <si>
    <t>54776.01</t>
  </si>
  <si>
    <t>EMP1971</t>
  </si>
  <si>
    <t>71192.68</t>
  </si>
  <si>
    <t>EMP1972</t>
  </si>
  <si>
    <t>96346.53</t>
  </si>
  <si>
    <t>EMP1973</t>
  </si>
  <si>
    <t>116680.63</t>
  </si>
  <si>
    <t>EMP1974</t>
  </si>
  <si>
    <t>76343.56</t>
  </si>
  <si>
    <t>EMP1975</t>
  </si>
  <si>
    <t>99424.14</t>
  </si>
  <si>
    <t>EMP1976</t>
  </si>
  <si>
    <t>57656.74</t>
  </si>
  <si>
    <t>EMP1977</t>
  </si>
  <si>
    <t>77396.94</t>
  </si>
  <si>
    <t>EMP1978</t>
  </si>
  <si>
    <t>54299.68</t>
  </si>
  <si>
    <t>EMP1979</t>
  </si>
  <si>
    <t>103563.58</t>
  </si>
  <si>
    <t>EMP1980</t>
  </si>
  <si>
    <t>74588.85</t>
  </si>
  <si>
    <t>EMP1981</t>
  </si>
  <si>
    <t>113727.23</t>
  </si>
  <si>
    <t>EMP1982</t>
  </si>
  <si>
    <t>72828.18</t>
  </si>
  <si>
    <t>EMP1983</t>
  </si>
  <si>
    <t>98717.09</t>
  </si>
  <si>
    <t>EMP1984</t>
  </si>
  <si>
    <t>56840.8</t>
  </si>
  <si>
    <t>EMP1985</t>
  </si>
  <si>
    <t>61663.91</t>
  </si>
  <si>
    <t>EMP1986</t>
  </si>
  <si>
    <t>109523.4</t>
  </si>
  <si>
    <t>EMP1987</t>
  </si>
  <si>
    <t>65812.02</t>
  </si>
  <si>
    <t>EMP1988</t>
  </si>
  <si>
    <t>54708.88</t>
  </si>
  <si>
    <t>EMP1989</t>
  </si>
  <si>
    <t>107661.73</t>
  </si>
  <si>
    <t>EMP1990</t>
  </si>
  <si>
    <t>79002</t>
  </si>
  <si>
    <t>EMP1991</t>
  </si>
  <si>
    <t>86135.69</t>
  </si>
  <si>
    <t>EMP1992</t>
  </si>
  <si>
    <t>115601.4</t>
  </si>
  <si>
    <t>EMP1993</t>
  </si>
  <si>
    <t>64045.36</t>
  </si>
  <si>
    <t>EMP1994</t>
  </si>
  <si>
    <t>80477.21</t>
  </si>
  <si>
    <t>EMP1995</t>
  </si>
  <si>
    <t>61240.9</t>
  </si>
  <si>
    <t>EMP1996</t>
  </si>
  <si>
    <t>51939.29</t>
  </si>
  <si>
    <t>EMP1997</t>
  </si>
  <si>
    <t>95284.54</t>
  </si>
  <si>
    <t>EMP1998</t>
  </si>
  <si>
    <t>106247.67</t>
  </si>
  <si>
    <t>EMP1999</t>
  </si>
  <si>
    <t>110170.88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</si>
  <si>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</si>
  <si>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</si>
  <si>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</si>
  <si>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</si>
  <si>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</si>
  <si>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</si>
  <si>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</si>
  <si>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</si>
  <si>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</si>
  <si>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</si>
  <si>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</si>
  <si>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</si>
  <si>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</si>
  <si>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</si>
  <si>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</si>
  <si>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</si>
  <si>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</si>
  <si>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</si>
  <si>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</si>
  <si>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</si>
  <si>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Department_Region.1</t>
  </si>
  <si>
    <t>Department_Region.2</t>
  </si>
  <si>
    <t>Performance_Bouns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</si>
  <si>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</si>
  <si>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</si>
  <si>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</si>
  <si>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</si>
  <si>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</si>
  <si>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</si>
  <si>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</si>
  <si>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</si>
  <si>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</si>
  <si>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</si>
  <si>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</si>
  <si>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</si>
  <si>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Department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</si>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</sst>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2" xfId="0" applyFont="1" applyFill="1" applyBorder="1"/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12FABD-A591-4F45-939E-63BA83A11441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36F6EB-E440-4D49-90F6-5D5C139843B1}" autoFormatId="16" applyNumberFormats="0" applyBorderFormats="0" applyFontFormats="0" applyPatternFormats="0" applyAlignmentFormats="0" applyWidthHeightFormats="0">
  <queryTableRefresh nextId="18">
    <queryTableFields count="14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13" name="Department_Region.1" tableColumnId="5"/>
      <queryTableField id="14" name="Department_Region.2" tableColumnId="13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  <queryTableField id="15" name="Performance_Boun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361921-F536-40B7-AD57-C7AB505E1785}" name="Messy_Employee_dataset__3" displayName="Messy_Employee_dataset__3" ref="A1:L1021" tableType="queryTable" totalsRowShown="0">
  <autoFilter ref="A1:L1021" xr:uid="{04361921-F536-40B7-AD57-C7AB505E1785}"/>
  <tableColumns count="12">
    <tableColumn id="1" xr3:uid="{571AFBD0-6B48-42A9-99C4-E3B5C61A47F5}" uniqueName="1" name="Employee_ID" queryTableFieldId="1" dataDxfId="12"/>
    <tableColumn id="2" xr3:uid="{098288E5-A4CF-4EC9-A8F0-542E5AE34D89}" uniqueName="2" name="First_Name" queryTableFieldId="2" dataDxfId="11"/>
    <tableColumn id="3" xr3:uid="{680A9A03-A204-4053-BD8E-ACCA79223294}" uniqueName="3" name="Last_Name" queryTableFieldId="3" dataDxfId="10"/>
    <tableColumn id="4" xr3:uid="{BE2DBAA7-31C7-48CD-A16D-8D2176E6DDB3}" uniqueName="4" name="Age" queryTableFieldId="4"/>
    <tableColumn id="5" xr3:uid="{4D73188D-5012-49A4-9CF8-BFB13D97CC20}" uniqueName="5" name="Department_Region" queryTableFieldId="5" dataDxfId="9"/>
    <tableColumn id="6" xr3:uid="{3E258423-5574-46A8-A3A7-D23BC450A298}" uniqueName="6" name="Status" queryTableFieldId="6" dataDxfId="8"/>
    <tableColumn id="7" xr3:uid="{03F1F9ED-66AA-412C-B265-0267F5BA93DB}" uniqueName="7" name="Join_Date" queryTableFieldId="7" dataDxfId="7"/>
    <tableColumn id="8" xr3:uid="{0C2C62A2-7BFB-45EF-B415-D3DC60E50CC7}" uniqueName="8" name="Salary" queryTableFieldId="8" dataDxfId="6"/>
    <tableColumn id="9" xr3:uid="{752EF75E-0CBB-4185-8FD6-DAFD5B34665C}" uniqueName="9" name="Email" queryTableFieldId="9" dataDxfId="5"/>
    <tableColumn id="10" xr3:uid="{ED2A59B4-86EC-4141-B101-0C247B5447AF}" uniqueName="10" name="Phone" queryTableFieldId="10"/>
    <tableColumn id="11" xr3:uid="{DE783AFF-075C-4DF1-BA3E-24B8F35B0BF1}" uniqueName="11" name="Performance_Score" queryTableFieldId="11" dataDxfId="4"/>
    <tableColumn id="12" xr3:uid="{28F26480-225D-4867-B190-89E457BF8D1D}" uniqueName="12" name="Remote_Work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2DF9F-CB87-48DD-870E-10D5512FD18F}" name="Messy_Employee_dataset" displayName="Messy_Employee_dataset" ref="A1:N1021" tableType="queryTable" totalsRowShown="0">
  <autoFilter ref="A1:N1021" xr:uid="{C982DF9F-CB87-48DD-870E-10D5512FD18F}"/>
  <tableColumns count="14">
    <tableColumn id="1" xr3:uid="{9E8F2F18-DD6C-4E3D-BA73-9D48027A0209}" uniqueName="1" name="Employee_ID" queryTableFieldId="1" dataDxfId="18"/>
    <tableColumn id="2" xr3:uid="{F98FFE9C-DC1B-4B44-8A7F-FF40EA138F14}" uniqueName="2" name="First_Name" queryTableFieldId="2" dataDxfId="17"/>
    <tableColumn id="3" xr3:uid="{733F8066-1308-429D-848D-B7ADBF51E92A}" uniqueName="3" name="Last_Name" queryTableFieldId="3" dataDxfId="16"/>
    <tableColumn id="4" xr3:uid="{1BB7B9DA-E980-40E2-BDF3-E65AE9CE810B}" uniqueName="4" name="Age" queryTableFieldId="4"/>
    <tableColumn id="5" xr3:uid="{FAAC2E84-E988-469D-8D77-5DC099349E12}" uniqueName="5" name="Department_Region.1" queryTableFieldId="13" dataDxfId="3"/>
    <tableColumn id="13" xr3:uid="{F7E50526-F891-485F-9038-B8596CAF7D69}" uniqueName="13" name="Department_Region.2" queryTableFieldId="14" dataDxfId="2"/>
    <tableColumn id="6" xr3:uid="{31A32B81-EE36-474E-975E-0282CDD8E62F}" uniqueName="6" name="Status" queryTableFieldId="6" dataDxfId="15"/>
    <tableColumn id="7" xr3:uid="{92055AC5-9AED-44EB-93E6-7440EC6F76A2}" uniqueName="7" name="Join_Date" queryTableFieldId="7" dataDxfId="1"/>
    <tableColumn id="8" xr3:uid="{3C2B26E3-255D-46BE-B3C5-F6C44794C85F}" uniqueName="8" name="Salary" queryTableFieldId="8" dataDxfId="0"/>
    <tableColumn id="9" xr3:uid="{1C3CEC53-4A7B-4928-90AE-D93945724EC1}" uniqueName="9" name="Email" queryTableFieldId="9" dataDxfId="14"/>
    <tableColumn id="10" xr3:uid="{0E50DE61-AF96-43D0-B78B-E2A93EA50F45}" uniqueName="10" name="Phone" queryTableFieldId="10"/>
    <tableColumn id="11" xr3:uid="{E1409A16-27AA-42FB-B08F-E5B8D0290ED5}" uniqueName="11" name="Performance_Score" queryTableFieldId="11" dataDxfId="13"/>
    <tableColumn id="12" xr3:uid="{7B15FFA5-4683-4338-9686-ED1FBBC40216}" uniqueName="12" name="Remote_Work" queryTableFieldId="12"/>
    <tableColumn id="14" xr3:uid="{0DCEF983-B755-4A3C-B7F6-31EDB3BE9284}" uniqueName="14" name="Performance_Boun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D02C-B516-43E7-B5DE-74C5E6823B4C}">
  <dimension ref="A1:L1021"/>
  <sheetViews>
    <sheetView zoomScale="70" zoomScaleNormal="70" workbookViewId="0">
      <selection activeCell="L1" sqref="L1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13" bestFit="1" customWidth="1"/>
    <col min="4" max="4" width="6.7109375" bestFit="1" customWidth="1"/>
    <col min="5" max="5" width="21.42578125" bestFit="1" customWidth="1"/>
    <col min="6" max="6" width="8.7109375" bestFit="1" customWidth="1"/>
    <col min="7" max="7" width="12" bestFit="1" customWidth="1"/>
    <col min="8" max="8" width="9.5703125" bestFit="1" customWidth="1"/>
    <col min="9" max="9" width="29.42578125" bestFit="1" customWidth="1"/>
    <col min="10" max="10" width="11.7109375" bestFit="1" customWidth="1"/>
    <col min="11" max="11" width="20.85546875" bestFit="1" customWidth="1"/>
    <col min="12" max="12" width="16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4" t="s">
        <v>12</v>
      </c>
      <c r="B2" s="4" t="s">
        <v>13</v>
      </c>
      <c r="C2" s="4" t="s">
        <v>14</v>
      </c>
      <c r="D2">
        <v>25</v>
      </c>
      <c r="E2" s="4" t="s">
        <v>15</v>
      </c>
      <c r="F2" s="4" t="s">
        <v>16</v>
      </c>
      <c r="G2" s="1">
        <v>44288</v>
      </c>
      <c r="H2" s="4" t="s">
        <v>17</v>
      </c>
      <c r="I2" s="4" t="s">
        <v>18</v>
      </c>
      <c r="J2">
        <v>-1651623197</v>
      </c>
      <c r="K2" s="4" t="s">
        <v>19</v>
      </c>
      <c r="L2" t="b">
        <v>1</v>
      </c>
    </row>
    <row r="3" spans="1:12" x14ac:dyDescent="0.25">
      <c r="A3" s="4" t="s">
        <v>20</v>
      </c>
      <c r="B3" s="4" t="s">
        <v>13</v>
      </c>
      <c r="C3" s="4" t="s">
        <v>21</v>
      </c>
      <c r="E3" s="4" t="s">
        <v>22</v>
      </c>
      <c r="F3" s="4" t="s">
        <v>16</v>
      </c>
      <c r="G3" s="1">
        <v>44022</v>
      </c>
      <c r="H3" s="4" t="s">
        <v>23</v>
      </c>
      <c r="I3" s="4" t="s">
        <v>24</v>
      </c>
      <c r="J3">
        <v>-1898471390</v>
      </c>
      <c r="K3" s="4" t="s">
        <v>25</v>
      </c>
      <c r="L3" t="b">
        <v>1</v>
      </c>
    </row>
    <row r="4" spans="1:12" x14ac:dyDescent="0.25">
      <c r="A4" s="4" t="s">
        <v>26</v>
      </c>
      <c r="B4" s="4" t="s">
        <v>27</v>
      </c>
      <c r="C4" s="4" t="s">
        <v>28</v>
      </c>
      <c r="E4" s="4" t="s">
        <v>29</v>
      </c>
      <c r="F4" s="4" t="s">
        <v>30</v>
      </c>
      <c r="G4" s="1">
        <v>45267</v>
      </c>
      <c r="H4" s="4" t="s">
        <v>31</v>
      </c>
      <c r="I4" s="4" t="s">
        <v>32</v>
      </c>
      <c r="J4">
        <v>-5596363211</v>
      </c>
      <c r="K4" s="4" t="s">
        <v>33</v>
      </c>
      <c r="L4" t="b">
        <v>1</v>
      </c>
    </row>
    <row r="5" spans="1:12" x14ac:dyDescent="0.25">
      <c r="A5" s="4" t="s">
        <v>34</v>
      </c>
      <c r="B5" s="4" t="s">
        <v>35</v>
      </c>
      <c r="C5" s="4" t="s">
        <v>14</v>
      </c>
      <c r="D5">
        <v>25</v>
      </c>
      <c r="E5" s="4" t="s">
        <v>29</v>
      </c>
      <c r="F5" s="4" t="s">
        <v>36</v>
      </c>
      <c r="G5" s="1">
        <v>44527</v>
      </c>
      <c r="H5" s="4" t="s">
        <v>37</v>
      </c>
      <c r="I5" s="4" t="s">
        <v>38</v>
      </c>
      <c r="J5">
        <v>-3476490784</v>
      </c>
      <c r="K5" s="4" t="s">
        <v>33</v>
      </c>
      <c r="L5" t="b">
        <v>1</v>
      </c>
    </row>
    <row r="6" spans="1:12" x14ac:dyDescent="0.25">
      <c r="A6" s="4" t="s">
        <v>39</v>
      </c>
      <c r="B6" s="4" t="s">
        <v>40</v>
      </c>
      <c r="C6" s="4" t="s">
        <v>41</v>
      </c>
      <c r="D6">
        <v>25</v>
      </c>
      <c r="E6" s="4" t="s">
        <v>42</v>
      </c>
      <c r="F6" s="4" t="s">
        <v>16</v>
      </c>
      <c r="G6" s="1">
        <v>44566</v>
      </c>
      <c r="H6" s="4" t="s">
        <v>43</v>
      </c>
      <c r="I6" s="4" t="s">
        <v>44</v>
      </c>
      <c r="J6">
        <v>-1586734256</v>
      </c>
      <c r="K6" s="4" t="s">
        <v>45</v>
      </c>
      <c r="L6" t="b">
        <v>0</v>
      </c>
    </row>
    <row r="7" spans="1:12" x14ac:dyDescent="0.25">
      <c r="A7" s="4" t="s">
        <v>46</v>
      </c>
      <c r="B7" s="4" t="s">
        <v>27</v>
      </c>
      <c r="C7" s="4" t="s">
        <v>47</v>
      </c>
      <c r="D7">
        <v>40</v>
      </c>
      <c r="E7" s="4" t="s">
        <v>48</v>
      </c>
      <c r="F7" s="4" t="s">
        <v>36</v>
      </c>
      <c r="G7" s="1">
        <v>43992</v>
      </c>
      <c r="H7" s="4" t="s">
        <v>49</v>
      </c>
      <c r="I7" s="4" t="s">
        <v>50</v>
      </c>
      <c r="J7">
        <v>-5409003485</v>
      </c>
      <c r="K7" s="4" t="s">
        <v>33</v>
      </c>
      <c r="L7" t="b">
        <v>0</v>
      </c>
    </row>
    <row r="8" spans="1:12" x14ac:dyDescent="0.25">
      <c r="A8" s="4" t="s">
        <v>51</v>
      </c>
      <c r="B8" s="4" t="s">
        <v>40</v>
      </c>
      <c r="C8" s="4" t="s">
        <v>28</v>
      </c>
      <c r="E8" s="4" t="s">
        <v>29</v>
      </c>
      <c r="F8" s="4" t="s">
        <v>16</v>
      </c>
      <c r="G8" s="1">
        <v>43924</v>
      </c>
      <c r="H8" s="4" t="s">
        <v>52</v>
      </c>
      <c r="I8" s="4" t="s">
        <v>53</v>
      </c>
      <c r="J8">
        <v>-4518376063</v>
      </c>
      <c r="K8" s="4" t="s">
        <v>33</v>
      </c>
      <c r="L8" t="b">
        <v>0</v>
      </c>
    </row>
    <row r="9" spans="1:12" x14ac:dyDescent="0.25">
      <c r="A9" s="4" t="s">
        <v>54</v>
      </c>
      <c r="B9" s="4" t="s">
        <v>13</v>
      </c>
      <c r="C9" s="4" t="s">
        <v>28</v>
      </c>
      <c r="D9">
        <v>30</v>
      </c>
      <c r="E9" s="4" t="s">
        <v>42</v>
      </c>
      <c r="F9" s="4" t="s">
        <v>36</v>
      </c>
      <c r="G9" s="1">
        <v>44759</v>
      </c>
      <c r="H9" s="4" t="s">
        <v>55</v>
      </c>
      <c r="I9" s="4" t="s">
        <v>56</v>
      </c>
      <c r="J9">
        <v>-4134327559</v>
      </c>
      <c r="K9" s="4" t="s">
        <v>19</v>
      </c>
      <c r="L9" t="b">
        <v>1</v>
      </c>
    </row>
    <row r="10" spans="1:12" x14ac:dyDescent="0.25">
      <c r="A10" s="4" t="s">
        <v>57</v>
      </c>
      <c r="B10" s="4" t="s">
        <v>40</v>
      </c>
      <c r="C10" s="4" t="s">
        <v>14</v>
      </c>
      <c r="D10">
        <v>35</v>
      </c>
      <c r="E10" s="4" t="s">
        <v>29</v>
      </c>
      <c r="F10" s="4" t="s">
        <v>36</v>
      </c>
      <c r="G10" s="1">
        <v>45268</v>
      </c>
      <c r="H10" s="4" t="s">
        <v>58</v>
      </c>
      <c r="I10" s="4" t="s">
        <v>59</v>
      </c>
      <c r="J10">
        <v>-4177656123</v>
      </c>
      <c r="K10" s="4" t="s">
        <v>25</v>
      </c>
      <c r="L10" t="b">
        <v>1</v>
      </c>
    </row>
    <row r="11" spans="1:12" x14ac:dyDescent="0.25">
      <c r="A11" s="4" t="s">
        <v>60</v>
      </c>
      <c r="B11" s="4" t="s">
        <v>61</v>
      </c>
      <c r="C11" s="4" t="s">
        <v>62</v>
      </c>
      <c r="E11" s="4" t="s">
        <v>63</v>
      </c>
      <c r="F11" s="4" t="s">
        <v>16</v>
      </c>
      <c r="G11" s="1">
        <v>44777</v>
      </c>
      <c r="H11" s="4" t="s">
        <v>64</v>
      </c>
      <c r="I11" s="4" t="s">
        <v>65</v>
      </c>
      <c r="J11">
        <v>-8156985699</v>
      </c>
      <c r="K11" s="4" t="s">
        <v>25</v>
      </c>
      <c r="L11" t="b">
        <v>1</v>
      </c>
    </row>
    <row r="12" spans="1:12" x14ac:dyDescent="0.25">
      <c r="A12" s="4" t="s">
        <v>66</v>
      </c>
      <c r="B12" s="4" t="s">
        <v>67</v>
      </c>
      <c r="C12" s="4" t="s">
        <v>41</v>
      </c>
      <c r="D12">
        <v>35</v>
      </c>
      <c r="E12" s="4" t="s">
        <v>68</v>
      </c>
      <c r="F12" s="4" t="s">
        <v>16</v>
      </c>
      <c r="G12" s="1">
        <v>45479</v>
      </c>
      <c r="H12" s="4" t="s">
        <v>69</v>
      </c>
      <c r="I12" s="4" t="s">
        <v>70</v>
      </c>
      <c r="J12">
        <v>-2720634590</v>
      </c>
      <c r="K12" s="4" t="s">
        <v>19</v>
      </c>
      <c r="L12" t="b">
        <v>0</v>
      </c>
    </row>
    <row r="13" spans="1:12" x14ac:dyDescent="0.25">
      <c r="A13" s="4" t="s">
        <v>71</v>
      </c>
      <c r="B13" s="4" t="s">
        <v>67</v>
      </c>
      <c r="C13" s="4" t="s">
        <v>14</v>
      </c>
      <c r="E13" s="4" t="s">
        <v>15</v>
      </c>
      <c r="F13" s="4" t="s">
        <v>16</v>
      </c>
      <c r="G13" s="1">
        <v>45173</v>
      </c>
      <c r="H13" s="4" t="s">
        <v>72</v>
      </c>
      <c r="I13" s="4" t="s">
        <v>73</v>
      </c>
      <c r="J13">
        <v>-1238296576</v>
      </c>
      <c r="K13" s="4" t="s">
        <v>45</v>
      </c>
      <c r="L13" t="b">
        <v>1</v>
      </c>
    </row>
    <row r="14" spans="1:12" x14ac:dyDescent="0.25">
      <c r="A14" s="4" t="s">
        <v>74</v>
      </c>
      <c r="B14" s="4" t="s">
        <v>75</v>
      </c>
      <c r="C14" s="4" t="s">
        <v>41</v>
      </c>
      <c r="D14">
        <v>30</v>
      </c>
      <c r="E14" s="4" t="s">
        <v>76</v>
      </c>
      <c r="F14" s="4" t="s">
        <v>16</v>
      </c>
      <c r="G14" s="1">
        <v>45356</v>
      </c>
      <c r="H14" s="4" t="s">
        <v>77</v>
      </c>
      <c r="I14" s="4" t="s">
        <v>78</v>
      </c>
      <c r="J14">
        <v>-2429543164</v>
      </c>
      <c r="K14" s="4" t="s">
        <v>25</v>
      </c>
      <c r="L14" t="b">
        <v>0</v>
      </c>
    </row>
    <row r="15" spans="1:12" x14ac:dyDescent="0.25">
      <c r="A15" s="4" t="s">
        <v>79</v>
      </c>
      <c r="B15" s="4" t="s">
        <v>80</v>
      </c>
      <c r="C15" s="4" t="s">
        <v>41</v>
      </c>
      <c r="E15" s="4" t="s">
        <v>81</v>
      </c>
      <c r="F15" s="4" t="s">
        <v>16</v>
      </c>
      <c r="G15" s="1">
        <v>44114</v>
      </c>
      <c r="H15" s="4" t="s">
        <v>82</v>
      </c>
      <c r="I15" s="4" t="s">
        <v>83</v>
      </c>
      <c r="J15">
        <v>-2669300892</v>
      </c>
      <c r="K15" s="4" t="s">
        <v>33</v>
      </c>
      <c r="L15" t="b">
        <v>0</v>
      </c>
    </row>
    <row r="16" spans="1:12" x14ac:dyDescent="0.25">
      <c r="A16" s="4" t="s">
        <v>84</v>
      </c>
      <c r="B16" s="4" t="s">
        <v>27</v>
      </c>
      <c r="C16" s="4" t="s">
        <v>47</v>
      </c>
      <c r="D16">
        <v>25</v>
      </c>
      <c r="E16" s="4" t="s">
        <v>29</v>
      </c>
      <c r="F16" s="4" t="s">
        <v>16</v>
      </c>
      <c r="G16" s="1">
        <v>45453</v>
      </c>
      <c r="H16" s="4" t="s">
        <v>85</v>
      </c>
      <c r="I16" s="4" t="s">
        <v>50</v>
      </c>
      <c r="J16">
        <v>-1734206968</v>
      </c>
      <c r="K16" s="4" t="s">
        <v>25</v>
      </c>
      <c r="L16" t="b">
        <v>1</v>
      </c>
    </row>
    <row r="17" spans="1:12" x14ac:dyDescent="0.25">
      <c r="A17" s="4" t="s">
        <v>86</v>
      </c>
      <c r="B17" s="4" t="s">
        <v>80</v>
      </c>
      <c r="C17" s="4" t="s">
        <v>28</v>
      </c>
      <c r="D17">
        <v>40</v>
      </c>
      <c r="E17" s="4" t="s">
        <v>87</v>
      </c>
      <c r="F17" s="4" t="s">
        <v>30</v>
      </c>
      <c r="G17" s="1">
        <v>44345</v>
      </c>
      <c r="H17" s="4" t="s">
        <v>88</v>
      </c>
      <c r="I17" s="4" t="s">
        <v>89</v>
      </c>
      <c r="J17">
        <v>-4215291085</v>
      </c>
      <c r="K17" s="4" t="s">
        <v>33</v>
      </c>
      <c r="L17" t="b">
        <v>1</v>
      </c>
    </row>
    <row r="18" spans="1:12" x14ac:dyDescent="0.25">
      <c r="A18" s="4" t="s">
        <v>90</v>
      </c>
      <c r="B18" s="4" t="s">
        <v>27</v>
      </c>
      <c r="C18" s="4" t="s">
        <v>21</v>
      </c>
      <c r="D18">
        <v>25</v>
      </c>
      <c r="E18" s="4" t="s">
        <v>91</v>
      </c>
      <c r="F18" s="4" t="s">
        <v>36</v>
      </c>
      <c r="G18" s="1">
        <v>45405</v>
      </c>
      <c r="H18" s="4" t="s">
        <v>92</v>
      </c>
      <c r="I18" s="4" t="s">
        <v>93</v>
      </c>
      <c r="J18">
        <v>-7713334475</v>
      </c>
      <c r="K18" s="4" t="s">
        <v>45</v>
      </c>
      <c r="L18" t="b">
        <v>0</v>
      </c>
    </row>
    <row r="19" spans="1:12" x14ac:dyDescent="0.25">
      <c r="A19" s="4" t="s">
        <v>94</v>
      </c>
      <c r="B19" s="4" t="s">
        <v>80</v>
      </c>
      <c r="C19" s="4" t="s">
        <v>47</v>
      </c>
      <c r="D19">
        <v>30</v>
      </c>
      <c r="E19" s="4" t="s">
        <v>22</v>
      </c>
      <c r="F19" s="4" t="s">
        <v>30</v>
      </c>
      <c r="G19" s="1">
        <v>45624</v>
      </c>
      <c r="H19" s="4" t="s">
        <v>95</v>
      </c>
      <c r="I19" s="4" t="s">
        <v>96</v>
      </c>
      <c r="J19">
        <v>-2639343625</v>
      </c>
      <c r="K19" s="4" t="s">
        <v>19</v>
      </c>
      <c r="L19" t="b">
        <v>1</v>
      </c>
    </row>
    <row r="20" spans="1:12" x14ac:dyDescent="0.25">
      <c r="A20" s="4" t="s">
        <v>97</v>
      </c>
      <c r="B20" s="4" t="s">
        <v>61</v>
      </c>
      <c r="C20" s="4" t="s">
        <v>47</v>
      </c>
      <c r="E20" s="4" t="s">
        <v>98</v>
      </c>
      <c r="F20" s="4" t="s">
        <v>36</v>
      </c>
      <c r="G20" s="1">
        <v>45554</v>
      </c>
      <c r="H20" s="4" t="s">
        <v>99</v>
      </c>
      <c r="I20" s="4" t="s">
        <v>100</v>
      </c>
      <c r="J20">
        <v>-2044397358</v>
      </c>
      <c r="K20" s="4" t="s">
        <v>25</v>
      </c>
      <c r="L20" t="b">
        <v>0</v>
      </c>
    </row>
    <row r="21" spans="1:12" x14ac:dyDescent="0.25">
      <c r="A21" s="4" t="s">
        <v>101</v>
      </c>
      <c r="B21" s="4" t="s">
        <v>61</v>
      </c>
      <c r="C21" s="4" t="s">
        <v>41</v>
      </c>
      <c r="D21">
        <v>35</v>
      </c>
      <c r="E21" s="4" t="s">
        <v>102</v>
      </c>
      <c r="F21" s="4" t="s">
        <v>30</v>
      </c>
      <c r="G21" s="1">
        <v>43832</v>
      </c>
      <c r="H21" s="4" t="s">
        <v>103</v>
      </c>
      <c r="I21" s="4" t="s">
        <v>104</v>
      </c>
      <c r="J21">
        <v>-7107256365</v>
      </c>
      <c r="K21" s="4" t="s">
        <v>19</v>
      </c>
      <c r="L21" t="b">
        <v>1</v>
      </c>
    </row>
    <row r="22" spans="1:12" x14ac:dyDescent="0.25">
      <c r="A22" s="4" t="s">
        <v>105</v>
      </c>
      <c r="B22" s="4" t="s">
        <v>13</v>
      </c>
      <c r="C22" s="4" t="s">
        <v>106</v>
      </c>
      <c r="D22">
        <v>35</v>
      </c>
      <c r="E22" s="4" t="s">
        <v>76</v>
      </c>
      <c r="F22" s="4" t="s">
        <v>16</v>
      </c>
      <c r="G22" s="1">
        <v>44324</v>
      </c>
      <c r="H22" s="4" t="s">
        <v>107</v>
      </c>
      <c r="I22" s="4" t="s">
        <v>108</v>
      </c>
      <c r="J22">
        <v>-9411800536</v>
      </c>
      <c r="K22" s="4" t="s">
        <v>25</v>
      </c>
      <c r="L22" t="b">
        <v>1</v>
      </c>
    </row>
    <row r="23" spans="1:12" x14ac:dyDescent="0.25">
      <c r="A23" s="4" t="s">
        <v>109</v>
      </c>
      <c r="B23" s="4" t="s">
        <v>13</v>
      </c>
      <c r="C23" s="4" t="s">
        <v>28</v>
      </c>
      <c r="D23">
        <v>40</v>
      </c>
      <c r="E23" s="4" t="s">
        <v>110</v>
      </c>
      <c r="F23" s="4" t="s">
        <v>16</v>
      </c>
      <c r="G23" s="1">
        <v>44093</v>
      </c>
      <c r="H23" s="4" t="s">
        <v>111</v>
      </c>
      <c r="I23" s="4" t="s">
        <v>56</v>
      </c>
      <c r="J23">
        <v>-5990048963</v>
      </c>
      <c r="K23" s="4" t="s">
        <v>33</v>
      </c>
      <c r="L23" t="b">
        <v>0</v>
      </c>
    </row>
    <row r="24" spans="1:12" x14ac:dyDescent="0.25">
      <c r="A24" s="4" t="s">
        <v>112</v>
      </c>
      <c r="B24" s="4" t="s">
        <v>61</v>
      </c>
      <c r="C24" s="4" t="s">
        <v>62</v>
      </c>
      <c r="D24">
        <v>35</v>
      </c>
      <c r="E24" s="4" t="s">
        <v>113</v>
      </c>
      <c r="F24" s="4" t="s">
        <v>36</v>
      </c>
      <c r="G24" s="1">
        <v>44264</v>
      </c>
      <c r="H24" s="4" t="s">
        <v>114</v>
      </c>
      <c r="I24" s="4" t="s">
        <v>65</v>
      </c>
      <c r="J24">
        <v>-6528092427</v>
      </c>
      <c r="K24" s="4" t="s">
        <v>19</v>
      </c>
      <c r="L24" t="b">
        <v>1</v>
      </c>
    </row>
    <row r="25" spans="1:12" x14ac:dyDescent="0.25">
      <c r="A25" s="4" t="s">
        <v>115</v>
      </c>
      <c r="B25" s="4" t="s">
        <v>67</v>
      </c>
      <c r="C25" s="4" t="s">
        <v>47</v>
      </c>
      <c r="D25">
        <v>35</v>
      </c>
      <c r="E25" s="4" t="s">
        <v>116</v>
      </c>
      <c r="F25" s="4" t="s">
        <v>30</v>
      </c>
      <c r="G25" s="1">
        <v>44595</v>
      </c>
      <c r="H25" s="4" t="s">
        <v>117</v>
      </c>
      <c r="I25" s="4" t="s">
        <v>118</v>
      </c>
      <c r="J25">
        <v>-7572158623</v>
      </c>
      <c r="K25" s="4" t="s">
        <v>25</v>
      </c>
      <c r="L25" t="b">
        <v>0</v>
      </c>
    </row>
    <row r="26" spans="1:12" x14ac:dyDescent="0.25">
      <c r="A26" s="4" t="s">
        <v>119</v>
      </c>
      <c r="B26" s="4" t="s">
        <v>13</v>
      </c>
      <c r="C26" s="4" t="s">
        <v>21</v>
      </c>
      <c r="D26">
        <v>30</v>
      </c>
      <c r="E26" s="4" t="s">
        <v>120</v>
      </c>
      <c r="F26" s="4" t="s">
        <v>36</v>
      </c>
      <c r="G26" s="1">
        <v>43874</v>
      </c>
      <c r="H26" s="4" t="s">
        <v>121</v>
      </c>
      <c r="I26" s="4" t="s">
        <v>24</v>
      </c>
      <c r="J26">
        <v>-1502745643</v>
      </c>
      <c r="K26" s="4" t="s">
        <v>33</v>
      </c>
      <c r="L26" t="b">
        <v>1</v>
      </c>
    </row>
    <row r="27" spans="1:12" x14ac:dyDescent="0.25">
      <c r="A27" s="4" t="s">
        <v>122</v>
      </c>
      <c r="B27" s="4" t="s">
        <v>67</v>
      </c>
      <c r="C27" s="4" t="s">
        <v>106</v>
      </c>
      <c r="D27">
        <v>25</v>
      </c>
      <c r="E27" s="4" t="s">
        <v>98</v>
      </c>
      <c r="F27" s="4" t="s">
        <v>30</v>
      </c>
      <c r="G27" s="1">
        <v>43951</v>
      </c>
      <c r="H27" s="4" t="s">
        <v>123</v>
      </c>
      <c r="I27" s="4" t="s">
        <v>124</v>
      </c>
      <c r="J27">
        <v>-9485625727</v>
      </c>
      <c r="K27" s="4" t="s">
        <v>19</v>
      </c>
      <c r="L27" t="b">
        <v>0</v>
      </c>
    </row>
    <row r="28" spans="1:12" x14ac:dyDescent="0.25">
      <c r="A28" s="4" t="s">
        <v>125</v>
      </c>
      <c r="B28" s="4" t="s">
        <v>40</v>
      </c>
      <c r="C28" s="4" t="s">
        <v>106</v>
      </c>
      <c r="D28">
        <v>25</v>
      </c>
      <c r="E28" s="4" t="s">
        <v>126</v>
      </c>
      <c r="F28" s="4" t="s">
        <v>36</v>
      </c>
      <c r="G28" s="1">
        <v>45201</v>
      </c>
      <c r="H28" s="4" t="s">
        <v>127</v>
      </c>
      <c r="I28" s="4" t="s">
        <v>128</v>
      </c>
      <c r="J28">
        <v>-7032032073</v>
      </c>
      <c r="K28" s="4" t="s">
        <v>19</v>
      </c>
      <c r="L28" t="b">
        <v>0</v>
      </c>
    </row>
    <row r="29" spans="1:12" x14ac:dyDescent="0.25">
      <c r="A29" s="4" t="s">
        <v>129</v>
      </c>
      <c r="B29" s="4" t="s">
        <v>75</v>
      </c>
      <c r="C29" s="4" t="s">
        <v>62</v>
      </c>
      <c r="D29">
        <v>30</v>
      </c>
      <c r="E29" s="4" t="s">
        <v>130</v>
      </c>
      <c r="F29" s="4" t="s">
        <v>16</v>
      </c>
      <c r="G29" s="1">
        <v>44024</v>
      </c>
      <c r="H29" s="4" t="s">
        <v>131</v>
      </c>
      <c r="I29" s="4" t="s">
        <v>132</v>
      </c>
      <c r="J29">
        <v>-2761707586</v>
      </c>
      <c r="K29" s="4" t="s">
        <v>25</v>
      </c>
      <c r="L29" t="b">
        <v>1</v>
      </c>
    </row>
    <row r="30" spans="1:12" x14ac:dyDescent="0.25">
      <c r="A30" s="4" t="s">
        <v>133</v>
      </c>
      <c r="B30" s="4" t="s">
        <v>80</v>
      </c>
      <c r="C30" s="4" t="s">
        <v>47</v>
      </c>
      <c r="D30">
        <v>40</v>
      </c>
      <c r="E30" s="4" t="s">
        <v>116</v>
      </c>
      <c r="F30" s="4" t="s">
        <v>16</v>
      </c>
      <c r="G30" s="1">
        <v>45210</v>
      </c>
      <c r="H30" s="4" t="s">
        <v>134</v>
      </c>
      <c r="I30" s="4" t="s">
        <v>96</v>
      </c>
      <c r="J30">
        <v>-7712151341</v>
      </c>
      <c r="K30" s="4" t="s">
        <v>25</v>
      </c>
      <c r="L30" t="b">
        <v>0</v>
      </c>
    </row>
    <row r="31" spans="1:12" x14ac:dyDescent="0.25">
      <c r="A31" s="4" t="s">
        <v>135</v>
      </c>
      <c r="B31" s="4" t="s">
        <v>27</v>
      </c>
      <c r="C31" s="4" t="s">
        <v>21</v>
      </c>
      <c r="D31">
        <v>40</v>
      </c>
      <c r="E31" s="4" t="s">
        <v>15</v>
      </c>
      <c r="F31" s="4" t="s">
        <v>16</v>
      </c>
      <c r="G31" s="1">
        <v>44340</v>
      </c>
      <c r="H31" s="4" t="s">
        <v>136</v>
      </c>
      <c r="I31" s="4" t="s">
        <v>93</v>
      </c>
      <c r="J31">
        <v>-2849939088</v>
      </c>
      <c r="K31" s="4" t="s">
        <v>25</v>
      </c>
      <c r="L31" t="b">
        <v>1</v>
      </c>
    </row>
    <row r="32" spans="1:12" x14ac:dyDescent="0.25">
      <c r="A32" s="4" t="s">
        <v>137</v>
      </c>
      <c r="B32" s="4" t="s">
        <v>61</v>
      </c>
      <c r="C32" s="4" t="s">
        <v>28</v>
      </c>
      <c r="D32">
        <v>40</v>
      </c>
      <c r="E32" s="4" t="s">
        <v>138</v>
      </c>
      <c r="F32" s="4" t="s">
        <v>36</v>
      </c>
      <c r="G32" s="1">
        <v>44342</v>
      </c>
      <c r="H32" s="4" t="s">
        <v>139</v>
      </c>
      <c r="I32" s="4" t="s">
        <v>140</v>
      </c>
      <c r="J32">
        <v>-2613715040</v>
      </c>
      <c r="K32" s="4" t="s">
        <v>33</v>
      </c>
      <c r="L32" t="b">
        <v>1</v>
      </c>
    </row>
    <row r="33" spans="1:12" x14ac:dyDescent="0.25">
      <c r="A33" s="4" t="s">
        <v>141</v>
      </c>
      <c r="B33" s="4" t="s">
        <v>13</v>
      </c>
      <c r="C33" s="4" t="s">
        <v>142</v>
      </c>
      <c r="D33">
        <v>25</v>
      </c>
      <c r="E33" s="4" t="s">
        <v>91</v>
      </c>
      <c r="F33" s="4" t="s">
        <v>16</v>
      </c>
      <c r="G33" s="1">
        <v>44022</v>
      </c>
      <c r="H33" s="4" t="s">
        <v>143</v>
      </c>
      <c r="I33" s="4" t="s">
        <v>144</v>
      </c>
      <c r="J33">
        <v>-6591520176</v>
      </c>
      <c r="K33" s="4" t="s">
        <v>25</v>
      </c>
      <c r="L33" t="b">
        <v>1</v>
      </c>
    </row>
    <row r="34" spans="1:12" x14ac:dyDescent="0.25">
      <c r="A34" s="4" t="s">
        <v>145</v>
      </c>
      <c r="B34" s="4" t="s">
        <v>61</v>
      </c>
      <c r="C34" s="4" t="s">
        <v>21</v>
      </c>
      <c r="D34">
        <v>40</v>
      </c>
      <c r="E34" s="4" t="s">
        <v>130</v>
      </c>
      <c r="F34" s="4" t="s">
        <v>16</v>
      </c>
      <c r="G34" s="1">
        <v>45601</v>
      </c>
      <c r="H34" s="4" t="s">
        <v>146</v>
      </c>
      <c r="I34" s="4" t="s">
        <v>147</v>
      </c>
      <c r="J34">
        <v>-7490509758</v>
      </c>
      <c r="K34" s="4" t="s">
        <v>19</v>
      </c>
      <c r="L34" t="b">
        <v>0</v>
      </c>
    </row>
    <row r="35" spans="1:12" x14ac:dyDescent="0.25">
      <c r="A35" s="4" t="s">
        <v>148</v>
      </c>
      <c r="B35" s="4" t="s">
        <v>80</v>
      </c>
      <c r="C35" s="4" t="s">
        <v>62</v>
      </c>
      <c r="D35">
        <v>25</v>
      </c>
      <c r="E35" s="4" t="s">
        <v>81</v>
      </c>
      <c r="F35" s="4" t="s">
        <v>36</v>
      </c>
      <c r="G35" s="1">
        <v>44415</v>
      </c>
      <c r="H35" s="4" t="s">
        <v>149</v>
      </c>
      <c r="I35" s="4" t="s">
        <v>150</v>
      </c>
      <c r="J35">
        <v>-2304501895</v>
      </c>
      <c r="K35" s="4" t="s">
        <v>19</v>
      </c>
      <c r="L35" t="b">
        <v>0</v>
      </c>
    </row>
    <row r="36" spans="1:12" x14ac:dyDescent="0.25">
      <c r="A36" s="4" t="s">
        <v>151</v>
      </c>
      <c r="B36" s="4" t="s">
        <v>75</v>
      </c>
      <c r="C36" s="4" t="s">
        <v>106</v>
      </c>
      <c r="D36">
        <v>30</v>
      </c>
      <c r="E36" s="4" t="s">
        <v>138</v>
      </c>
      <c r="F36" s="4" t="s">
        <v>16</v>
      </c>
      <c r="G36" s="1">
        <v>43950</v>
      </c>
      <c r="H36" s="4" t="s">
        <v>152</v>
      </c>
      <c r="I36" s="4" t="s">
        <v>153</v>
      </c>
      <c r="J36">
        <v>-1642361031</v>
      </c>
      <c r="K36" s="4" t="s">
        <v>25</v>
      </c>
      <c r="L36" t="b">
        <v>1</v>
      </c>
    </row>
    <row r="37" spans="1:12" x14ac:dyDescent="0.25">
      <c r="A37" s="4" t="s">
        <v>154</v>
      </c>
      <c r="B37" s="4" t="s">
        <v>40</v>
      </c>
      <c r="C37" s="4" t="s">
        <v>28</v>
      </c>
      <c r="D37">
        <v>25</v>
      </c>
      <c r="E37" s="4" t="s">
        <v>110</v>
      </c>
      <c r="F37" s="4" t="s">
        <v>36</v>
      </c>
      <c r="G37" s="1">
        <v>44860</v>
      </c>
      <c r="H37" s="4" t="s">
        <v>155</v>
      </c>
      <c r="I37" s="4" t="s">
        <v>53</v>
      </c>
      <c r="J37">
        <v>-6642147648</v>
      </c>
      <c r="K37" s="4" t="s">
        <v>25</v>
      </c>
      <c r="L37" t="b">
        <v>1</v>
      </c>
    </row>
    <row r="38" spans="1:12" x14ac:dyDescent="0.25">
      <c r="A38" s="4" t="s">
        <v>156</v>
      </c>
      <c r="B38" s="4" t="s">
        <v>27</v>
      </c>
      <c r="C38" s="4" t="s">
        <v>21</v>
      </c>
      <c r="E38" s="4" t="s">
        <v>68</v>
      </c>
      <c r="F38" s="4" t="s">
        <v>16</v>
      </c>
      <c r="G38" s="1">
        <v>45049</v>
      </c>
      <c r="H38" s="4" t="s">
        <v>157</v>
      </c>
      <c r="I38" s="4" t="s">
        <v>93</v>
      </c>
      <c r="J38">
        <v>-2515837766</v>
      </c>
      <c r="K38" s="4" t="s">
        <v>45</v>
      </c>
      <c r="L38" t="b">
        <v>0</v>
      </c>
    </row>
    <row r="39" spans="1:12" x14ac:dyDescent="0.25">
      <c r="A39" s="4" t="s">
        <v>158</v>
      </c>
      <c r="B39" s="4" t="s">
        <v>80</v>
      </c>
      <c r="C39" s="4" t="s">
        <v>142</v>
      </c>
      <c r="D39">
        <v>25</v>
      </c>
      <c r="E39" s="4" t="s">
        <v>126</v>
      </c>
      <c r="F39" s="4" t="s">
        <v>30</v>
      </c>
      <c r="G39" s="1">
        <v>45048</v>
      </c>
      <c r="H39" s="4" t="s">
        <v>159</v>
      </c>
      <c r="I39" s="4" t="s">
        <v>160</v>
      </c>
      <c r="J39">
        <v>-4996165925</v>
      </c>
      <c r="K39" s="4" t="s">
        <v>19</v>
      </c>
      <c r="L39" t="b">
        <v>1</v>
      </c>
    </row>
    <row r="40" spans="1:12" x14ac:dyDescent="0.25">
      <c r="A40" s="4" t="s">
        <v>161</v>
      </c>
      <c r="B40" s="4" t="s">
        <v>40</v>
      </c>
      <c r="C40" s="4" t="s">
        <v>142</v>
      </c>
      <c r="D40">
        <v>35</v>
      </c>
      <c r="E40" s="4" t="s">
        <v>29</v>
      </c>
      <c r="F40" s="4" t="s">
        <v>30</v>
      </c>
      <c r="G40" s="1">
        <v>44474</v>
      </c>
      <c r="H40" s="4" t="s">
        <v>162</v>
      </c>
      <c r="I40" s="4" t="s">
        <v>163</v>
      </c>
      <c r="J40">
        <v>-6108573277</v>
      </c>
      <c r="K40" s="4" t="s">
        <v>33</v>
      </c>
      <c r="L40" t="b">
        <v>1</v>
      </c>
    </row>
    <row r="41" spans="1:12" x14ac:dyDescent="0.25">
      <c r="A41" s="4" t="s">
        <v>164</v>
      </c>
      <c r="B41" s="4" t="s">
        <v>35</v>
      </c>
      <c r="C41" s="4" t="s">
        <v>41</v>
      </c>
      <c r="D41">
        <v>40</v>
      </c>
      <c r="E41" s="4" t="s">
        <v>165</v>
      </c>
      <c r="F41" s="4" t="s">
        <v>16</v>
      </c>
      <c r="G41" s="1">
        <v>44769</v>
      </c>
      <c r="H41" s="4" t="s">
        <v>166</v>
      </c>
      <c r="I41" s="4" t="s">
        <v>167</v>
      </c>
      <c r="J41">
        <v>-8147617421</v>
      </c>
      <c r="K41" s="4" t="s">
        <v>45</v>
      </c>
      <c r="L41" t="b">
        <v>0</v>
      </c>
    </row>
    <row r="42" spans="1:12" x14ac:dyDescent="0.25">
      <c r="A42" s="4" t="s">
        <v>168</v>
      </c>
      <c r="B42" s="4" t="s">
        <v>13</v>
      </c>
      <c r="C42" s="4" t="s">
        <v>41</v>
      </c>
      <c r="D42">
        <v>25</v>
      </c>
      <c r="E42" s="4" t="s">
        <v>126</v>
      </c>
      <c r="F42" s="4" t="s">
        <v>30</v>
      </c>
      <c r="G42" s="1">
        <v>44374</v>
      </c>
      <c r="H42" s="4" t="s">
        <v>169</v>
      </c>
      <c r="I42" s="4" t="s">
        <v>170</v>
      </c>
      <c r="J42">
        <v>-4386490809</v>
      </c>
      <c r="K42" s="4" t="s">
        <v>25</v>
      </c>
      <c r="L42" t="b">
        <v>1</v>
      </c>
    </row>
    <row r="43" spans="1:12" x14ac:dyDescent="0.25">
      <c r="A43" s="4" t="s">
        <v>171</v>
      </c>
      <c r="B43" s="4" t="s">
        <v>13</v>
      </c>
      <c r="C43" s="4" t="s">
        <v>14</v>
      </c>
      <c r="D43">
        <v>30</v>
      </c>
      <c r="E43" s="4" t="s">
        <v>172</v>
      </c>
      <c r="F43" s="4" t="s">
        <v>16</v>
      </c>
      <c r="G43" s="1">
        <v>44728</v>
      </c>
      <c r="H43" s="4" t="s">
        <v>173</v>
      </c>
      <c r="I43" s="4" t="s">
        <v>18</v>
      </c>
      <c r="J43">
        <v>-8186617944</v>
      </c>
      <c r="K43" s="4" t="s">
        <v>25</v>
      </c>
      <c r="L43" t="b">
        <v>0</v>
      </c>
    </row>
    <row r="44" spans="1:12" x14ac:dyDescent="0.25">
      <c r="A44" s="4" t="s">
        <v>174</v>
      </c>
      <c r="B44" s="4" t="s">
        <v>27</v>
      </c>
      <c r="C44" s="4" t="s">
        <v>62</v>
      </c>
      <c r="E44" s="4" t="s">
        <v>175</v>
      </c>
      <c r="F44" s="4" t="s">
        <v>16</v>
      </c>
      <c r="G44" s="1">
        <v>45629</v>
      </c>
      <c r="H44" s="4" t="s">
        <v>176</v>
      </c>
      <c r="I44" s="4" t="s">
        <v>177</v>
      </c>
      <c r="J44">
        <v>-4918017225</v>
      </c>
      <c r="K44" s="4" t="s">
        <v>19</v>
      </c>
      <c r="L44" t="b">
        <v>1</v>
      </c>
    </row>
    <row r="45" spans="1:12" x14ac:dyDescent="0.25">
      <c r="A45" s="4" t="s">
        <v>178</v>
      </c>
      <c r="B45" s="4" t="s">
        <v>13</v>
      </c>
      <c r="C45" s="4" t="s">
        <v>47</v>
      </c>
      <c r="E45" s="4" t="s">
        <v>138</v>
      </c>
      <c r="F45" s="4" t="s">
        <v>36</v>
      </c>
      <c r="G45" s="1">
        <v>45069</v>
      </c>
      <c r="H45" s="4" t="s">
        <v>179</v>
      </c>
      <c r="I45" s="4" t="s">
        <v>180</v>
      </c>
      <c r="J45">
        <v>-164597793</v>
      </c>
      <c r="K45" s="4" t="s">
        <v>25</v>
      </c>
      <c r="L45" t="b">
        <v>0</v>
      </c>
    </row>
    <row r="46" spans="1:12" x14ac:dyDescent="0.25">
      <c r="A46" s="4" t="s">
        <v>181</v>
      </c>
      <c r="B46" s="4" t="s">
        <v>35</v>
      </c>
      <c r="C46" s="4" t="s">
        <v>21</v>
      </c>
      <c r="E46" s="4" t="s">
        <v>81</v>
      </c>
      <c r="F46" s="4" t="s">
        <v>16</v>
      </c>
      <c r="G46" s="1">
        <v>44020</v>
      </c>
      <c r="H46" s="4" t="s">
        <v>182</v>
      </c>
      <c r="I46" s="4" t="s">
        <v>183</v>
      </c>
      <c r="J46">
        <v>-5232194167</v>
      </c>
      <c r="K46" s="4" t="s">
        <v>33</v>
      </c>
      <c r="L46" t="b">
        <v>1</v>
      </c>
    </row>
    <row r="47" spans="1:12" x14ac:dyDescent="0.25">
      <c r="A47" s="4" t="s">
        <v>184</v>
      </c>
      <c r="B47" s="4" t="s">
        <v>27</v>
      </c>
      <c r="C47" s="4" t="s">
        <v>21</v>
      </c>
      <c r="D47">
        <v>25</v>
      </c>
      <c r="E47" s="4" t="s">
        <v>76</v>
      </c>
      <c r="F47" s="4" t="s">
        <v>30</v>
      </c>
      <c r="G47" s="1">
        <v>44367</v>
      </c>
      <c r="H47" s="4" t="s">
        <v>185</v>
      </c>
      <c r="I47" s="4" t="s">
        <v>93</v>
      </c>
      <c r="J47">
        <v>-61027768</v>
      </c>
      <c r="K47" s="4" t="s">
        <v>19</v>
      </c>
      <c r="L47" t="b">
        <v>1</v>
      </c>
    </row>
    <row r="48" spans="1:12" x14ac:dyDescent="0.25">
      <c r="A48" s="4" t="s">
        <v>186</v>
      </c>
      <c r="B48" s="4" t="s">
        <v>80</v>
      </c>
      <c r="C48" s="4" t="s">
        <v>47</v>
      </c>
      <c r="E48" s="4" t="s">
        <v>187</v>
      </c>
      <c r="F48" s="4" t="s">
        <v>16</v>
      </c>
      <c r="G48" s="1">
        <v>45639</v>
      </c>
      <c r="H48" s="4" t="s">
        <v>188</v>
      </c>
      <c r="I48" s="4" t="s">
        <v>96</v>
      </c>
      <c r="J48">
        <v>-7499564121</v>
      </c>
      <c r="K48" s="4" t="s">
        <v>25</v>
      </c>
      <c r="L48" t="b">
        <v>0</v>
      </c>
    </row>
    <row r="49" spans="1:12" x14ac:dyDescent="0.25">
      <c r="A49" s="4" t="s">
        <v>189</v>
      </c>
      <c r="B49" s="4" t="s">
        <v>27</v>
      </c>
      <c r="C49" s="4" t="s">
        <v>14</v>
      </c>
      <c r="D49">
        <v>35</v>
      </c>
      <c r="E49" s="4" t="s">
        <v>113</v>
      </c>
      <c r="F49" s="4" t="s">
        <v>16</v>
      </c>
      <c r="G49" s="1">
        <v>44711</v>
      </c>
      <c r="H49" s="4" t="s">
        <v>190</v>
      </c>
      <c r="I49" s="4" t="s">
        <v>191</v>
      </c>
      <c r="J49">
        <v>-310303722</v>
      </c>
      <c r="K49" s="4" t="s">
        <v>19</v>
      </c>
      <c r="L49" t="b">
        <v>1</v>
      </c>
    </row>
    <row r="50" spans="1:12" x14ac:dyDescent="0.25">
      <c r="A50" s="4" t="s">
        <v>192</v>
      </c>
      <c r="B50" s="4" t="s">
        <v>27</v>
      </c>
      <c r="C50" s="4" t="s">
        <v>106</v>
      </c>
      <c r="D50">
        <v>35</v>
      </c>
      <c r="E50" s="4" t="s">
        <v>29</v>
      </c>
      <c r="F50" s="4" t="s">
        <v>16</v>
      </c>
      <c r="G50" s="1">
        <v>45196</v>
      </c>
      <c r="H50" s="4" t="s">
        <v>193</v>
      </c>
      <c r="I50" s="4" t="s">
        <v>194</v>
      </c>
      <c r="J50">
        <v>-6831472759</v>
      </c>
      <c r="K50" s="4" t="s">
        <v>25</v>
      </c>
      <c r="L50" t="b">
        <v>0</v>
      </c>
    </row>
    <row r="51" spans="1:12" x14ac:dyDescent="0.25">
      <c r="A51" s="4" t="s">
        <v>195</v>
      </c>
      <c r="B51" s="4" t="s">
        <v>80</v>
      </c>
      <c r="C51" s="4" t="s">
        <v>106</v>
      </c>
      <c r="E51" s="4" t="s">
        <v>63</v>
      </c>
      <c r="F51" s="4" t="s">
        <v>16</v>
      </c>
      <c r="G51" s="1">
        <v>45601</v>
      </c>
      <c r="H51" s="4" t="s">
        <v>196</v>
      </c>
      <c r="I51" s="4" t="s">
        <v>197</v>
      </c>
      <c r="J51">
        <v>-1227770792</v>
      </c>
      <c r="K51" s="4" t="s">
        <v>25</v>
      </c>
      <c r="L51" t="b">
        <v>1</v>
      </c>
    </row>
    <row r="52" spans="1:12" x14ac:dyDescent="0.25">
      <c r="A52" s="4" t="s">
        <v>198</v>
      </c>
      <c r="B52" s="4" t="s">
        <v>61</v>
      </c>
      <c r="C52" s="4" t="s">
        <v>14</v>
      </c>
      <c r="D52">
        <v>40</v>
      </c>
      <c r="E52" s="4" t="s">
        <v>68</v>
      </c>
      <c r="F52" s="4" t="s">
        <v>30</v>
      </c>
      <c r="G52" s="1">
        <v>44511</v>
      </c>
      <c r="H52" s="4" t="s">
        <v>199</v>
      </c>
      <c r="I52" s="4" t="s">
        <v>200</v>
      </c>
      <c r="J52">
        <v>-3496050165</v>
      </c>
      <c r="K52" s="4" t="s">
        <v>25</v>
      </c>
      <c r="L52" t="b">
        <v>0</v>
      </c>
    </row>
    <row r="53" spans="1:12" x14ac:dyDescent="0.25">
      <c r="A53" s="4" t="s">
        <v>201</v>
      </c>
      <c r="B53" s="4" t="s">
        <v>67</v>
      </c>
      <c r="C53" s="4" t="s">
        <v>106</v>
      </c>
      <c r="D53">
        <v>35</v>
      </c>
      <c r="E53" s="4" t="s">
        <v>29</v>
      </c>
      <c r="F53" s="4" t="s">
        <v>16</v>
      </c>
      <c r="G53" s="1">
        <v>44614</v>
      </c>
      <c r="H53" s="4" t="s">
        <v>202</v>
      </c>
      <c r="I53" s="4" t="s">
        <v>124</v>
      </c>
      <c r="J53">
        <v>-7998407677</v>
      </c>
      <c r="K53" s="4" t="s">
        <v>33</v>
      </c>
      <c r="L53" t="b">
        <v>0</v>
      </c>
    </row>
    <row r="54" spans="1:12" x14ac:dyDescent="0.25">
      <c r="A54" s="4" t="s">
        <v>203</v>
      </c>
      <c r="B54" s="4" t="s">
        <v>67</v>
      </c>
      <c r="C54" s="4" t="s">
        <v>41</v>
      </c>
      <c r="D54">
        <v>30</v>
      </c>
      <c r="E54" s="4" t="s">
        <v>81</v>
      </c>
      <c r="F54" s="4" t="s">
        <v>36</v>
      </c>
      <c r="G54" s="1">
        <v>45511</v>
      </c>
      <c r="H54" s="4" t="s">
        <v>204</v>
      </c>
      <c r="I54" s="4" t="s">
        <v>70</v>
      </c>
      <c r="J54">
        <v>-9973080694</v>
      </c>
      <c r="K54" s="4" t="s">
        <v>33</v>
      </c>
      <c r="L54" t="b">
        <v>0</v>
      </c>
    </row>
    <row r="55" spans="1:12" x14ac:dyDescent="0.25">
      <c r="A55" s="4" t="s">
        <v>205</v>
      </c>
      <c r="B55" s="4" t="s">
        <v>27</v>
      </c>
      <c r="C55" s="4" t="s">
        <v>21</v>
      </c>
      <c r="D55">
        <v>30</v>
      </c>
      <c r="E55" s="4" t="s">
        <v>81</v>
      </c>
      <c r="F55" s="4" t="s">
        <v>36</v>
      </c>
      <c r="G55" s="1">
        <v>45601</v>
      </c>
      <c r="H55" s="4" t="s">
        <v>206</v>
      </c>
      <c r="I55" s="4" t="s">
        <v>93</v>
      </c>
      <c r="J55">
        <v>-8146717956</v>
      </c>
      <c r="K55" s="4" t="s">
        <v>19</v>
      </c>
      <c r="L55" t="b">
        <v>0</v>
      </c>
    </row>
    <row r="56" spans="1:12" x14ac:dyDescent="0.25">
      <c r="A56" s="4" t="s">
        <v>207</v>
      </c>
      <c r="B56" s="4" t="s">
        <v>40</v>
      </c>
      <c r="C56" s="4" t="s">
        <v>14</v>
      </c>
      <c r="E56" s="4" t="s">
        <v>116</v>
      </c>
      <c r="F56" s="4" t="s">
        <v>30</v>
      </c>
      <c r="G56" s="1">
        <v>44509</v>
      </c>
      <c r="H56" s="4" t="s">
        <v>208</v>
      </c>
      <c r="I56" s="4" t="s">
        <v>59</v>
      </c>
      <c r="J56">
        <v>-6024375737</v>
      </c>
      <c r="K56" s="4" t="s">
        <v>25</v>
      </c>
      <c r="L56" t="b">
        <v>1</v>
      </c>
    </row>
    <row r="57" spans="1:12" x14ac:dyDescent="0.25">
      <c r="A57" s="4" t="s">
        <v>209</v>
      </c>
      <c r="B57" s="4" t="s">
        <v>35</v>
      </c>
      <c r="C57" s="4" t="s">
        <v>21</v>
      </c>
      <c r="D57">
        <v>30</v>
      </c>
      <c r="E57" s="4" t="s">
        <v>210</v>
      </c>
      <c r="F57" s="4" t="s">
        <v>16</v>
      </c>
      <c r="G57" s="1">
        <v>44053</v>
      </c>
      <c r="H57" s="4" t="s">
        <v>211</v>
      </c>
      <c r="I57" s="4" t="s">
        <v>183</v>
      </c>
      <c r="J57">
        <v>-3959724664</v>
      </c>
      <c r="K57" s="4" t="s">
        <v>25</v>
      </c>
      <c r="L57" t="b">
        <v>1</v>
      </c>
    </row>
    <row r="58" spans="1:12" x14ac:dyDescent="0.25">
      <c r="A58" s="4" t="s">
        <v>212</v>
      </c>
      <c r="B58" s="4" t="s">
        <v>40</v>
      </c>
      <c r="C58" s="4" t="s">
        <v>47</v>
      </c>
      <c r="D58">
        <v>40</v>
      </c>
      <c r="E58" s="4" t="s">
        <v>113</v>
      </c>
      <c r="F58" s="4" t="s">
        <v>16</v>
      </c>
      <c r="G58" s="1">
        <v>44619</v>
      </c>
      <c r="H58" s="4" t="s">
        <v>213</v>
      </c>
      <c r="I58" s="4" t="s">
        <v>214</v>
      </c>
      <c r="J58">
        <v>-7293417222</v>
      </c>
      <c r="K58" s="4" t="s">
        <v>33</v>
      </c>
      <c r="L58" t="b">
        <v>0</v>
      </c>
    </row>
    <row r="59" spans="1:12" x14ac:dyDescent="0.25">
      <c r="A59" s="4" t="s">
        <v>215</v>
      </c>
      <c r="B59" s="4" t="s">
        <v>27</v>
      </c>
      <c r="C59" s="4" t="s">
        <v>142</v>
      </c>
      <c r="D59">
        <v>40</v>
      </c>
      <c r="E59" s="4" t="s">
        <v>110</v>
      </c>
      <c r="F59" s="4" t="s">
        <v>30</v>
      </c>
      <c r="G59" s="1">
        <v>45237</v>
      </c>
      <c r="H59" s="4" t="s">
        <v>216</v>
      </c>
      <c r="I59" s="4" t="s">
        <v>217</v>
      </c>
      <c r="J59">
        <v>-2971674337</v>
      </c>
      <c r="K59" s="4" t="s">
        <v>25</v>
      </c>
      <c r="L59" t="b">
        <v>0</v>
      </c>
    </row>
    <row r="60" spans="1:12" x14ac:dyDescent="0.25">
      <c r="A60" s="4" t="s">
        <v>218</v>
      </c>
      <c r="B60" s="4" t="s">
        <v>67</v>
      </c>
      <c r="C60" s="4" t="s">
        <v>41</v>
      </c>
      <c r="D60">
        <v>35</v>
      </c>
      <c r="E60" s="4" t="s">
        <v>22</v>
      </c>
      <c r="F60" s="4" t="s">
        <v>30</v>
      </c>
      <c r="G60" s="1">
        <v>44507</v>
      </c>
      <c r="H60" s="4" t="s">
        <v>219</v>
      </c>
      <c r="I60" s="4" t="s">
        <v>70</v>
      </c>
      <c r="J60">
        <v>-54522800</v>
      </c>
      <c r="K60" s="4" t="s">
        <v>33</v>
      </c>
      <c r="L60" t="b">
        <v>0</v>
      </c>
    </row>
    <row r="61" spans="1:12" x14ac:dyDescent="0.25">
      <c r="A61" s="4" t="s">
        <v>220</v>
      </c>
      <c r="B61" s="4" t="s">
        <v>13</v>
      </c>
      <c r="C61" s="4" t="s">
        <v>28</v>
      </c>
      <c r="D61">
        <v>35</v>
      </c>
      <c r="E61" s="4" t="s">
        <v>210</v>
      </c>
      <c r="F61" s="4" t="s">
        <v>30</v>
      </c>
      <c r="G61" s="1">
        <v>44667</v>
      </c>
      <c r="H61" s="4" t="s">
        <v>221</v>
      </c>
      <c r="I61" s="4" t="s">
        <v>56</v>
      </c>
      <c r="J61">
        <v>-5619318373</v>
      </c>
      <c r="K61" s="4" t="s">
        <v>25</v>
      </c>
      <c r="L61" t="b">
        <v>1</v>
      </c>
    </row>
    <row r="62" spans="1:12" x14ac:dyDescent="0.25">
      <c r="A62" s="4" t="s">
        <v>222</v>
      </c>
      <c r="B62" s="4" t="s">
        <v>61</v>
      </c>
      <c r="C62" s="4" t="s">
        <v>41</v>
      </c>
      <c r="D62">
        <v>30</v>
      </c>
      <c r="E62" s="4" t="s">
        <v>116</v>
      </c>
      <c r="F62" s="4" t="s">
        <v>36</v>
      </c>
      <c r="G62" s="1">
        <v>45218</v>
      </c>
      <c r="H62" s="4" t="s">
        <v>223</v>
      </c>
      <c r="I62" s="4" t="s">
        <v>104</v>
      </c>
      <c r="J62">
        <v>-5508428909</v>
      </c>
      <c r="K62" s="4" t="s">
        <v>19</v>
      </c>
      <c r="L62" t="b">
        <v>1</v>
      </c>
    </row>
    <row r="63" spans="1:12" x14ac:dyDescent="0.25">
      <c r="A63" s="4" t="s">
        <v>224</v>
      </c>
      <c r="B63" s="4" t="s">
        <v>35</v>
      </c>
      <c r="C63" s="4" t="s">
        <v>14</v>
      </c>
      <c r="D63">
        <v>40</v>
      </c>
      <c r="E63" s="4" t="s">
        <v>48</v>
      </c>
      <c r="F63" s="4" t="s">
        <v>36</v>
      </c>
      <c r="G63" s="1">
        <v>44418</v>
      </c>
      <c r="H63" s="4" t="s">
        <v>225</v>
      </c>
      <c r="I63" s="4" t="s">
        <v>38</v>
      </c>
      <c r="J63">
        <v>-7711991807</v>
      </c>
      <c r="K63" s="4" t="s">
        <v>25</v>
      </c>
      <c r="L63" t="b">
        <v>1</v>
      </c>
    </row>
    <row r="64" spans="1:12" x14ac:dyDescent="0.25">
      <c r="A64" s="4" t="s">
        <v>226</v>
      </c>
      <c r="B64" s="4" t="s">
        <v>40</v>
      </c>
      <c r="C64" s="4" t="s">
        <v>28</v>
      </c>
      <c r="D64">
        <v>40</v>
      </c>
      <c r="E64" s="4" t="s">
        <v>130</v>
      </c>
      <c r="F64" s="4" t="s">
        <v>30</v>
      </c>
      <c r="G64" s="1">
        <v>44268</v>
      </c>
      <c r="H64" s="4" t="s">
        <v>227</v>
      </c>
      <c r="I64" s="4" t="s">
        <v>53</v>
      </c>
      <c r="J64">
        <v>-1213524786</v>
      </c>
      <c r="K64" s="4" t="s">
        <v>25</v>
      </c>
      <c r="L64" t="b">
        <v>1</v>
      </c>
    </row>
    <row r="65" spans="1:12" x14ac:dyDescent="0.25">
      <c r="A65" s="4" t="s">
        <v>228</v>
      </c>
      <c r="B65" s="4" t="s">
        <v>61</v>
      </c>
      <c r="C65" s="4" t="s">
        <v>142</v>
      </c>
      <c r="D65">
        <v>25</v>
      </c>
      <c r="E65" s="4" t="s">
        <v>229</v>
      </c>
      <c r="F65" s="4" t="s">
        <v>30</v>
      </c>
      <c r="G65" s="1">
        <v>45127</v>
      </c>
      <c r="H65" s="4" t="s">
        <v>230</v>
      </c>
      <c r="I65" s="4" t="s">
        <v>231</v>
      </c>
      <c r="J65">
        <v>-1255213759</v>
      </c>
      <c r="K65" s="4" t="s">
        <v>45</v>
      </c>
      <c r="L65" t="b">
        <v>0</v>
      </c>
    </row>
    <row r="66" spans="1:12" x14ac:dyDescent="0.25">
      <c r="A66" s="4" t="s">
        <v>232</v>
      </c>
      <c r="B66" s="4" t="s">
        <v>67</v>
      </c>
      <c r="C66" s="4" t="s">
        <v>14</v>
      </c>
      <c r="D66">
        <v>35</v>
      </c>
      <c r="E66" s="4" t="s">
        <v>233</v>
      </c>
      <c r="F66" s="4" t="s">
        <v>16</v>
      </c>
      <c r="G66" s="1">
        <v>43881</v>
      </c>
      <c r="H66" s="4" t="s">
        <v>234</v>
      </c>
      <c r="I66" s="4" t="s">
        <v>73</v>
      </c>
      <c r="J66">
        <v>-3754821455</v>
      </c>
      <c r="K66" s="4" t="s">
        <v>33</v>
      </c>
      <c r="L66" t="b">
        <v>0</v>
      </c>
    </row>
    <row r="67" spans="1:12" x14ac:dyDescent="0.25">
      <c r="A67" s="4" t="s">
        <v>235</v>
      </c>
      <c r="B67" s="4" t="s">
        <v>13</v>
      </c>
      <c r="C67" s="4" t="s">
        <v>62</v>
      </c>
      <c r="D67">
        <v>40</v>
      </c>
      <c r="E67" s="4" t="s">
        <v>116</v>
      </c>
      <c r="F67" s="4" t="s">
        <v>30</v>
      </c>
      <c r="G67" s="1">
        <v>44229</v>
      </c>
      <c r="H67" s="4" t="s">
        <v>236</v>
      </c>
      <c r="I67" s="4" t="s">
        <v>237</v>
      </c>
      <c r="J67">
        <v>-5328632665</v>
      </c>
      <c r="K67" s="4" t="s">
        <v>25</v>
      </c>
      <c r="L67" t="b">
        <v>0</v>
      </c>
    </row>
    <row r="68" spans="1:12" x14ac:dyDescent="0.25">
      <c r="A68" s="4" t="s">
        <v>238</v>
      </c>
      <c r="B68" s="4" t="s">
        <v>80</v>
      </c>
      <c r="C68" s="4" t="s">
        <v>21</v>
      </c>
      <c r="D68">
        <v>30</v>
      </c>
      <c r="E68" s="4" t="s">
        <v>29</v>
      </c>
      <c r="F68" s="4" t="s">
        <v>30</v>
      </c>
      <c r="G68" s="1">
        <v>43842</v>
      </c>
      <c r="H68" s="4" t="s">
        <v>239</v>
      </c>
      <c r="I68" s="4" t="s">
        <v>240</v>
      </c>
      <c r="J68">
        <v>-7850720810</v>
      </c>
      <c r="K68" s="4" t="s">
        <v>25</v>
      </c>
      <c r="L68" t="b">
        <v>1</v>
      </c>
    </row>
    <row r="69" spans="1:12" x14ac:dyDescent="0.25">
      <c r="A69" s="4" t="s">
        <v>241</v>
      </c>
      <c r="B69" s="4" t="s">
        <v>13</v>
      </c>
      <c r="C69" s="4" t="s">
        <v>142</v>
      </c>
      <c r="D69">
        <v>40</v>
      </c>
      <c r="E69" s="4" t="s">
        <v>233</v>
      </c>
      <c r="F69" s="4" t="s">
        <v>30</v>
      </c>
      <c r="G69" s="1">
        <v>44891</v>
      </c>
      <c r="H69" s="4" t="s">
        <v>242</v>
      </c>
      <c r="I69" s="4" t="s">
        <v>144</v>
      </c>
      <c r="J69">
        <v>-5562606028</v>
      </c>
      <c r="K69" s="4" t="s">
        <v>45</v>
      </c>
      <c r="L69" t="b">
        <v>1</v>
      </c>
    </row>
    <row r="70" spans="1:12" x14ac:dyDescent="0.25">
      <c r="A70" s="4" t="s">
        <v>243</v>
      </c>
      <c r="B70" s="4" t="s">
        <v>13</v>
      </c>
      <c r="C70" s="4" t="s">
        <v>21</v>
      </c>
      <c r="D70">
        <v>40</v>
      </c>
      <c r="E70" s="4" t="s">
        <v>244</v>
      </c>
      <c r="F70" s="4" t="s">
        <v>30</v>
      </c>
      <c r="G70" s="1">
        <v>44918</v>
      </c>
      <c r="H70" s="4" t="s">
        <v>245</v>
      </c>
      <c r="I70" s="4" t="s">
        <v>24</v>
      </c>
      <c r="J70">
        <v>-846684549</v>
      </c>
      <c r="K70" s="4" t="s">
        <v>45</v>
      </c>
      <c r="L70" t="b">
        <v>1</v>
      </c>
    </row>
    <row r="71" spans="1:12" x14ac:dyDescent="0.25">
      <c r="A71" s="4" t="s">
        <v>246</v>
      </c>
      <c r="B71" s="4" t="s">
        <v>75</v>
      </c>
      <c r="C71" s="4" t="s">
        <v>106</v>
      </c>
      <c r="E71" s="4" t="s">
        <v>91</v>
      </c>
      <c r="F71" s="4" t="s">
        <v>36</v>
      </c>
      <c r="G71" s="1">
        <v>45532</v>
      </c>
      <c r="H71" s="4" t="s">
        <v>247</v>
      </c>
      <c r="I71" s="4" t="s">
        <v>153</v>
      </c>
      <c r="J71">
        <v>-4892673898</v>
      </c>
      <c r="K71" s="4" t="s">
        <v>33</v>
      </c>
      <c r="L71" t="b">
        <v>0</v>
      </c>
    </row>
    <row r="72" spans="1:12" x14ac:dyDescent="0.25">
      <c r="A72" s="4" t="s">
        <v>248</v>
      </c>
      <c r="B72" s="4" t="s">
        <v>61</v>
      </c>
      <c r="C72" s="4" t="s">
        <v>62</v>
      </c>
      <c r="D72">
        <v>40</v>
      </c>
      <c r="E72" s="4" t="s">
        <v>81</v>
      </c>
      <c r="F72" s="4" t="s">
        <v>16</v>
      </c>
      <c r="G72" s="1">
        <v>45551</v>
      </c>
      <c r="H72" s="4" t="s">
        <v>249</v>
      </c>
      <c r="I72" s="4" t="s">
        <v>65</v>
      </c>
      <c r="J72">
        <v>-7563410855</v>
      </c>
      <c r="K72" s="4" t="s">
        <v>45</v>
      </c>
      <c r="L72" t="b">
        <v>0</v>
      </c>
    </row>
    <row r="73" spans="1:12" x14ac:dyDescent="0.25">
      <c r="A73" s="4" t="s">
        <v>250</v>
      </c>
      <c r="B73" s="4" t="s">
        <v>75</v>
      </c>
      <c r="C73" s="4" t="s">
        <v>62</v>
      </c>
      <c r="D73">
        <v>30</v>
      </c>
      <c r="E73" s="4" t="s">
        <v>251</v>
      </c>
      <c r="F73" s="4" t="s">
        <v>16</v>
      </c>
      <c r="G73" s="1">
        <v>45292</v>
      </c>
      <c r="H73" s="4" t="s">
        <v>252</v>
      </c>
      <c r="I73" s="4" t="s">
        <v>132</v>
      </c>
      <c r="J73">
        <v>-2884318847</v>
      </c>
      <c r="K73" s="4" t="s">
        <v>19</v>
      </c>
      <c r="L73" t="b">
        <v>1</v>
      </c>
    </row>
    <row r="74" spans="1:12" x14ac:dyDescent="0.25">
      <c r="A74" s="4" t="s">
        <v>253</v>
      </c>
      <c r="B74" s="4" t="s">
        <v>40</v>
      </c>
      <c r="C74" s="4" t="s">
        <v>142</v>
      </c>
      <c r="E74" s="4" t="s">
        <v>68</v>
      </c>
      <c r="F74" s="4" t="s">
        <v>16</v>
      </c>
      <c r="G74" s="1">
        <v>44304</v>
      </c>
      <c r="H74" s="4" t="s">
        <v>254</v>
      </c>
      <c r="I74" s="4" t="s">
        <v>163</v>
      </c>
      <c r="J74">
        <v>-5200894345</v>
      </c>
      <c r="K74" s="4" t="s">
        <v>45</v>
      </c>
      <c r="L74" t="b">
        <v>0</v>
      </c>
    </row>
    <row r="75" spans="1:12" x14ac:dyDescent="0.25">
      <c r="A75" s="4" t="s">
        <v>255</v>
      </c>
      <c r="B75" s="4" t="s">
        <v>67</v>
      </c>
      <c r="C75" s="4" t="s">
        <v>62</v>
      </c>
      <c r="D75">
        <v>25</v>
      </c>
      <c r="E75" s="4" t="s">
        <v>130</v>
      </c>
      <c r="F75" s="4" t="s">
        <v>36</v>
      </c>
      <c r="G75" s="1">
        <v>44942</v>
      </c>
      <c r="H75" s="4" t="s">
        <v>256</v>
      </c>
      <c r="I75" s="4" t="s">
        <v>257</v>
      </c>
      <c r="J75">
        <v>-8105485100</v>
      </c>
      <c r="K75" s="4" t="s">
        <v>19</v>
      </c>
      <c r="L75" t="b">
        <v>1</v>
      </c>
    </row>
    <row r="76" spans="1:12" x14ac:dyDescent="0.25">
      <c r="A76" s="4" t="s">
        <v>258</v>
      </c>
      <c r="B76" s="4" t="s">
        <v>80</v>
      </c>
      <c r="C76" s="4" t="s">
        <v>28</v>
      </c>
      <c r="D76">
        <v>40</v>
      </c>
      <c r="E76" s="4" t="s">
        <v>259</v>
      </c>
      <c r="F76" s="4" t="s">
        <v>16</v>
      </c>
      <c r="G76" s="1">
        <v>45585</v>
      </c>
      <c r="H76" s="4" t="s">
        <v>260</v>
      </c>
      <c r="I76" s="4" t="s">
        <v>89</v>
      </c>
      <c r="J76">
        <v>-7490753997</v>
      </c>
      <c r="K76" s="4" t="s">
        <v>33</v>
      </c>
      <c r="L76" t="b">
        <v>1</v>
      </c>
    </row>
    <row r="77" spans="1:12" x14ac:dyDescent="0.25">
      <c r="A77" s="4" t="s">
        <v>261</v>
      </c>
      <c r="B77" s="4" t="s">
        <v>75</v>
      </c>
      <c r="C77" s="4" t="s">
        <v>62</v>
      </c>
      <c r="D77">
        <v>25</v>
      </c>
      <c r="E77" s="4" t="s">
        <v>172</v>
      </c>
      <c r="F77" s="4" t="s">
        <v>36</v>
      </c>
      <c r="G77" s="1">
        <v>45578</v>
      </c>
      <c r="H77" s="4" t="s">
        <v>262</v>
      </c>
      <c r="I77" s="4" t="s">
        <v>132</v>
      </c>
      <c r="J77">
        <v>-9354492682</v>
      </c>
      <c r="K77" s="4" t="s">
        <v>33</v>
      </c>
      <c r="L77" t="b">
        <v>0</v>
      </c>
    </row>
    <row r="78" spans="1:12" x14ac:dyDescent="0.25">
      <c r="A78" s="4" t="s">
        <v>263</v>
      </c>
      <c r="B78" s="4" t="s">
        <v>67</v>
      </c>
      <c r="C78" s="4" t="s">
        <v>21</v>
      </c>
      <c r="D78">
        <v>40</v>
      </c>
      <c r="E78" s="4" t="s">
        <v>138</v>
      </c>
      <c r="F78" s="4" t="s">
        <v>36</v>
      </c>
      <c r="G78" s="1">
        <v>44825</v>
      </c>
      <c r="H78" s="4" t="s">
        <v>264</v>
      </c>
      <c r="I78" s="4" t="s">
        <v>265</v>
      </c>
      <c r="J78">
        <v>-1589357125</v>
      </c>
      <c r="K78" s="4" t="s">
        <v>33</v>
      </c>
      <c r="L78" t="b">
        <v>1</v>
      </c>
    </row>
    <row r="79" spans="1:12" x14ac:dyDescent="0.25">
      <c r="A79" s="4" t="s">
        <v>266</v>
      </c>
      <c r="B79" s="4" t="s">
        <v>80</v>
      </c>
      <c r="C79" s="4" t="s">
        <v>21</v>
      </c>
      <c r="D79">
        <v>30</v>
      </c>
      <c r="E79" s="4" t="s">
        <v>267</v>
      </c>
      <c r="F79" s="4" t="s">
        <v>30</v>
      </c>
      <c r="G79" s="1">
        <v>44924</v>
      </c>
      <c r="H79" s="4" t="s">
        <v>268</v>
      </c>
      <c r="I79" s="4" t="s">
        <v>240</v>
      </c>
      <c r="J79">
        <v>-6110627370</v>
      </c>
      <c r="K79" s="4" t="s">
        <v>33</v>
      </c>
      <c r="L79" t="b">
        <v>0</v>
      </c>
    </row>
    <row r="80" spans="1:12" x14ac:dyDescent="0.25">
      <c r="A80" s="4" t="s">
        <v>269</v>
      </c>
      <c r="B80" s="4" t="s">
        <v>27</v>
      </c>
      <c r="C80" s="4" t="s">
        <v>14</v>
      </c>
      <c r="D80">
        <v>25</v>
      </c>
      <c r="E80" s="4" t="s">
        <v>270</v>
      </c>
      <c r="F80" s="4" t="s">
        <v>16</v>
      </c>
      <c r="G80" s="1">
        <v>45606</v>
      </c>
      <c r="H80" s="4" t="s">
        <v>271</v>
      </c>
      <c r="I80" s="4" t="s">
        <v>191</v>
      </c>
      <c r="J80">
        <v>-5869886496</v>
      </c>
      <c r="K80" s="4" t="s">
        <v>33</v>
      </c>
      <c r="L80" t="b">
        <v>1</v>
      </c>
    </row>
    <row r="81" spans="1:12" x14ac:dyDescent="0.25">
      <c r="A81" s="4" t="s">
        <v>272</v>
      </c>
      <c r="B81" s="4" t="s">
        <v>80</v>
      </c>
      <c r="C81" s="4" t="s">
        <v>21</v>
      </c>
      <c r="D81">
        <v>35</v>
      </c>
      <c r="E81" s="4" t="s">
        <v>244</v>
      </c>
      <c r="F81" s="4" t="s">
        <v>36</v>
      </c>
      <c r="G81" s="1">
        <v>44522</v>
      </c>
      <c r="H81" s="4" t="s">
        <v>273</v>
      </c>
      <c r="I81" s="4" t="s">
        <v>240</v>
      </c>
      <c r="J81">
        <v>-6776228276</v>
      </c>
      <c r="K81" s="4" t="s">
        <v>19</v>
      </c>
      <c r="L81" t="b">
        <v>0</v>
      </c>
    </row>
    <row r="82" spans="1:12" x14ac:dyDescent="0.25">
      <c r="A82" s="4" t="s">
        <v>274</v>
      </c>
      <c r="B82" s="4" t="s">
        <v>80</v>
      </c>
      <c r="C82" s="4" t="s">
        <v>14</v>
      </c>
      <c r="D82">
        <v>35</v>
      </c>
      <c r="E82" s="4" t="s">
        <v>42</v>
      </c>
      <c r="F82" s="4" t="s">
        <v>16</v>
      </c>
      <c r="G82" s="1">
        <v>45365</v>
      </c>
      <c r="H82" s="4" t="s">
        <v>275</v>
      </c>
      <c r="I82" s="4" t="s">
        <v>276</v>
      </c>
      <c r="J82">
        <v>-2881377027</v>
      </c>
      <c r="K82" s="4" t="s">
        <v>19</v>
      </c>
      <c r="L82" t="b">
        <v>0</v>
      </c>
    </row>
    <row r="83" spans="1:12" x14ac:dyDescent="0.25">
      <c r="A83" s="4" t="s">
        <v>277</v>
      </c>
      <c r="B83" s="4" t="s">
        <v>40</v>
      </c>
      <c r="C83" s="4" t="s">
        <v>21</v>
      </c>
      <c r="D83">
        <v>30</v>
      </c>
      <c r="E83" s="4" t="s">
        <v>278</v>
      </c>
      <c r="F83" s="4" t="s">
        <v>30</v>
      </c>
      <c r="G83" s="1">
        <v>43913</v>
      </c>
      <c r="H83" s="4" t="s">
        <v>279</v>
      </c>
      <c r="I83" s="4" t="s">
        <v>280</v>
      </c>
      <c r="J83">
        <v>-5196115939</v>
      </c>
      <c r="K83" s="4" t="s">
        <v>33</v>
      </c>
      <c r="L83" t="b">
        <v>0</v>
      </c>
    </row>
    <row r="84" spans="1:12" x14ac:dyDescent="0.25">
      <c r="A84" s="4" t="s">
        <v>281</v>
      </c>
      <c r="B84" s="4" t="s">
        <v>67</v>
      </c>
      <c r="C84" s="4" t="s">
        <v>28</v>
      </c>
      <c r="D84">
        <v>25</v>
      </c>
      <c r="E84" s="4" t="s">
        <v>126</v>
      </c>
      <c r="F84" s="4" t="s">
        <v>16</v>
      </c>
      <c r="G84" s="1">
        <v>44089</v>
      </c>
      <c r="H84" s="4" t="s">
        <v>282</v>
      </c>
      <c r="I84" s="4" t="s">
        <v>283</v>
      </c>
      <c r="J84">
        <v>-8215454469</v>
      </c>
      <c r="K84" s="4" t="s">
        <v>45</v>
      </c>
      <c r="L84" t="b">
        <v>1</v>
      </c>
    </row>
    <row r="85" spans="1:12" x14ac:dyDescent="0.25">
      <c r="A85" s="4" t="s">
        <v>284</v>
      </c>
      <c r="B85" s="4" t="s">
        <v>67</v>
      </c>
      <c r="C85" s="4" t="s">
        <v>47</v>
      </c>
      <c r="D85">
        <v>40</v>
      </c>
      <c r="E85" s="4" t="s">
        <v>15</v>
      </c>
      <c r="F85" s="4" t="s">
        <v>36</v>
      </c>
      <c r="G85" s="1">
        <v>44174</v>
      </c>
      <c r="H85" s="4" t="s">
        <v>285</v>
      </c>
      <c r="I85" s="4" t="s">
        <v>118</v>
      </c>
      <c r="J85">
        <v>-2296044326</v>
      </c>
      <c r="K85" s="4" t="s">
        <v>25</v>
      </c>
      <c r="L85" t="b">
        <v>1</v>
      </c>
    </row>
    <row r="86" spans="1:12" x14ac:dyDescent="0.25">
      <c r="A86" s="4" t="s">
        <v>286</v>
      </c>
      <c r="B86" s="4" t="s">
        <v>13</v>
      </c>
      <c r="C86" s="4" t="s">
        <v>14</v>
      </c>
      <c r="D86">
        <v>30</v>
      </c>
      <c r="E86" s="4" t="s">
        <v>165</v>
      </c>
      <c r="F86" s="4" t="s">
        <v>30</v>
      </c>
      <c r="G86" s="1">
        <v>43883</v>
      </c>
      <c r="H86" s="4" t="s">
        <v>287</v>
      </c>
      <c r="I86" s="4" t="s">
        <v>18</v>
      </c>
      <c r="J86">
        <v>-185106793</v>
      </c>
      <c r="K86" s="4" t="s">
        <v>33</v>
      </c>
      <c r="L86" t="b">
        <v>0</v>
      </c>
    </row>
    <row r="87" spans="1:12" x14ac:dyDescent="0.25">
      <c r="A87" s="4" t="s">
        <v>288</v>
      </c>
      <c r="B87" s="4" t="s">
        <v>80</v>
      </c>
      <c r="C87" s="4" t="s">
        <v>41</v>
      </c>
      <c r="D87">
        <v>40</v>
      </c>
      <c r="E87" s="4" t="s">
        <v>63</v>
      </c>
      <c r="F87" s="4" t="s">
        <v>16</v>
      </c>
      <c r="G87" s="1">
        <v>45043</v>
      </c>
      <c r="H87" s="4" t="s">
        <v>289</v>
      </c>
      <c r="I87" s="4" t="s">
        <v>83</v>
      </c>
      <c r="J87">
        <v>-9756792286</v>
      </c>
      <c r="K87" s="4" t="s">
        <v>45</v>
      </c>
      <c r="L87" t="b">
        <v>0</v>
      </c>
    </row>
    <row r="88" spans="1:12" x14ac:dyDescent="0.25">
      <c r="A88" s="4" t="s">
        <v>290</v>
      </c>
      <c r="B88" s="4" t="s">
        <v>13</v>
      </c>
      <c r="C88" s="4" t="s">
        <v>106</v>
      </c>
      <c r="D88">
        <v>35</v>
      </c>
      <c r="E88" s="4" t="s">
        <v>91</v>
      </c>
      <c r="F88" s="4" t="s">
        <v>16</v>
      </c>
      <c r="G88" s="1">
        <v>45461</v>
      </c>
      <c r="H88" s="4" t="s">
        <v>291</v>
      </c>
      <c r="I88" s="4" t="s">
        <v>108</v>
      </c>
      <c r="J88">
        <v>-7725199662</v>
      </c>
      <c r="K88" s="4" t="s">
        <v>25</v>
      </c>
      <c r="L88" t="b">
        <v>1</v>
      </c>
    </row>
    <row r="89" spans="1:12" x14ac:dyDescent="0.25">
      <c r="A89" s="4" t="s">
        <v>292</v>
      </c>
      <c r="B89" s="4" t="s">
        <v>40</v>
      </c>
      <c r="C89" s="4" t="s">
        <v>142</v>
      </c>
      <c r="E89" s="4" t="s">
        <v>116</v>
      </c>
      <c r="F89" s="4" t="s">
        <v>36</v>
      </c>
      <c r="G89" s="1">
        <v>43972</v>
      </c>
      <c r="H89" s="4" t="s">
        <v>293</v>
      </c>
      <c r="I89" s="4" t="s">
        <v>163</v>
      </c>
      <c r="J89">
        <v>-6580741208</v>
      </c>
      <c r="K89" s="4" t="s">
        <v>33</v>
      </c>
      <c r="L89" t="b">
        <v>1</v>
      </c>
    </row>
    <row r="90" spans="1:12" x14ac:dyDescent="0.25">
      <c r="A90" s="4" t="s">
        <v>294</v>
      </c>
      <c r="B90" s="4" t="s">
        <v>80</v>
      </c>
      <c r="C90" s="4" t="s">
        <v>21</v>
      </c>
      <c r="D90">
        <v>40</v>
      </c>
      <c r="E90" s="4" t="s">
        <v>42</v>
      </c>
      <c r="F90" s="4" t="s">
        <v>36</v>
      </c>
      <c r="G90" s="1">
        <v>45132</v>
      </c>
      <c r="H90" s="4" t="s">
        <v>295</v>
      </c>
      <c r="I90" s="4" t="s">
        <v>240</v>
      </c>
      <c r="J90">
        <v>-4818139889</v>
      </c>
      <c r="K90" s="4" t="s">
        <v>33</v>
      </c>
      <c r="L90" t="b">
        <v>1</v>
      </c>
    </row>
    <row r="91" spans="1:12" x14ac:dyDescent="0.25">
      <c r="A91" s="4" t="s">
        <v>296</v>
      </c>
      <c r="B91" s="4" t="s">
        <v>61</v>
      </c>
      <c r="C91" s="4" t="s">
        <v>62</v>
      </c>
      <c r="D91">
        <v>40</v>
      </c>
      <c r="E91" s="4" t="s">
        <v>29</v>
      </c>
      <c r="F91" s="4" t="s">
        <v>30</v>
      </c>
      <c r="G91" s="1">
        <v>45163</v>
      </c>
      <c r="H91" s="4" t="s">
        <v>297</v>
      </c>
      <c r="I91" s="4" t="s">
        <v>65</v>
      </c>
      <c r="J91">
        <v>-9837801819</v>
      </c>
      <c r="K91" s="4" t="s">
        <v>19</v>
      </c>
      <c r="L91" t="b">
        <v>0</v>
      </c>
    </row>
    <row r="92" spans="1:12" x14ac:dyDescent="0.25">
      <c r="A92" s="4" t="s">
        <v>298</v>
      </c>
      <c r="B92" s="4" t="s">
        <v>75</v>
      </c>
      <c r="C92" s="4" t="s">
        <v>47</v>
      </c>
      <c r="D92">
        <v>40</v>
      </c>
      <c r="E92" s="4" t="s">
        <v>116</v>
      </c>
      <c r="F92" s="4" t="s">
        <v>30</v>
      </c>
      <c r="G92" s="1">
        <v>44380</v>
      </c>
      <c r="H92" s="4" t="s">
        <v>299</v>
      </c>
      <c r="I92" s="4" t="s">
        <v>300</v>
      </c>
      <c r="J92">
        <v>-4339718955</v>
      </c>
      <c r="K92" s="4" t="s">
        <v>25</v>
      </c>
      <c r="L92" t="b">
        <v>1</v>
      </c>
    </row>
    <row r="93" spans="1:12" x14ac:dyDescent="0.25">
      <c r="A93" s="4" t="s">
        <v>301</v>
      </c>
      <c r="B93" s="4" t="s">
        <v>13</v>
      </c>
      <c r="C93" s="4" t="s">
        <v>21</v>
      </c>
      <c r="D93">
        <v>35</v>
      </c>
      <c r="E93" s="4" t="s">
        <v>267</v>
      </c>
      <c r="F93" s="4" t="s">
        <v>36</v>
      </c>
      <c r="G93" s="1">
        <v>44998</v>
      </c>
      <c r="H93" s="4" t="s">
        <v>302</v>
      </c>
      <c r="I93" s="4" t="s">
        <v>24</v>
      </c>
      <c r="J93">
        <v>-9070562607</v>
      </c>
      <c r="K93" s="4" t="s">
        <v>25</v>
      </c>
      <c r="L93" t="b">
        <v>1</v>
      </c>
    </row>
    <row r="94" spans="1:12" x14ac:dyDescent="0.25">
      <c r="A94" s="4" t="s">
        <v>303</v>
      </c>
      <c r="B94" s="4" t="s">
        <v>27</v>
      </c>
      <c r="C94" s="4" t="s">
        <v>62</v>
      </c>
      <c r="D94">
        <v>40</v>
      </c>
      <c r="E94" s="4" t="s">
        <v>76</v>
      </c>
      <c r="F94" s="4" t="s">
        <v>36</v>
      </c>
      <c r="G94" s="1">
        <v>44265</v>
      </c>
      <c r="H94" s="4" t="s">
        <v>304</v>
      </c>
      <c r="I94" s="4" t="s">
        <v>177</v>
      </c>
      <c r="J94">
        <v>-5641118241</v>
      </c>
      <c r="K94" s="4" t="s">
        <v>45</v>
      </c>
      <c r="L94" t="b">
        <v>0</v>
      </c>
    </row>
    <row r="95" spans="1:12" x14ac:dyDescent="0.25">
      <c r="A95" s="4" t="s">
        <v>305</v>
      </c>
      <c r="B95" s="4" t="s">
        <v>35</v>
      </c>
      <c r="C95" s="4" t="s">
        <v>106</v>
      </c>
      <c r="E95" s="4" t="s">
        <v>15</v>
      </c>
      <c r="F95" s="4" t="s">
        <v>30</v>
      </c>
      <c r="G95" s="1">
        <v>43851</v>
      </c>
      <c r="H95" s="4" t="s">
        <v>306</v>
      </c>
      <c r="I95" s="4" t="s">
        <v>307</v>
      </c>
      <c r="J95">
        <v>-2412462094</v>
      </c>
      <c r="K95" s="4" t="s">
        <v>19</v>
      </c>
      <c r="L95" t="b">
        <v>1</v>
      </c>
    </row>
    <row r="96" spans="1:12" x14ac:dyDescent="0.25">
      <c r="A96" s="4" t="s">
        <v>308</v>
      </c>
      <c r="B96" s="4" t="s">
        <v>67</v>
      </c>
      <c r="C96" s="4" t="s">
        <v>106</v>
      </c>
      <c r="D96">
        <v>40</v>
      </c>
      <c r="E96" s="4" t="s">
        <v>309</v>
      </c>
      <c r="F96" s="4" t="s">
        <v>16</v>
      </c>
      <c r="G96" s="1">
        <v>45245</v>
      </c>
      <c r="H96" s="4" t="s">
        <v>310</v>
      </c>
      <c r="I96" s="4" t="s">
        <v>124</v>
      </c>
      <c r="J96">
        <v>-2004615264</v>
      </c>
      <c r="K96" s="4" t="s">
        <v>19</v>
      </c>
      <c r="L96" t="b">
        <v>1</v>
      </c>
    </row>
    <row r="97" spans="1:12" x14ac:dyDescent="0.25">
      <c r="A97" s="4" t="s">
        <v>311</v>
      </c>
      <c r="B97" s="4" t="s">
        <v>75</v>
      </c>
      <c r="C97" s="4" t="s">
        <v>106</v>
      </c>
      <c r="D97">
        <v>25</v>
      </c>
      <c r="E97" s="4" t="s">
        <v>312</v>
      </c>
      <c r="F97" s="4" t="s">
        <v>16</v>
      </c>
      <c r="G97" s="1">
        <v>44659</v>
      </c>
      <c r="H97" s="4" t="s">
        <v>313</v>
      </c>
      <c r="I97" s="4" t="s">
        <v>153</v>
      </c>
      <c r="J97">
        <v>-4610339936</v>
      </c>
      <c r="K97" s="4" t="s">
        <v>19</v>
      </c>
      <c r="L97" t="b">
        <v>1</v>
      </c>
    </row>
    <row r="98" spans="1:12" x14ac:dyDescent="0.25">
      <c r="A98" s="4" t="s">
        <v>314</v>
      </c>
      <c r="B98" s="4" t="s">
        <v>40</v>
      </c>
      <c r="C98" s="4" t="s">
        <v>62</v>
      </c>
      <c r="D98">
        <v>40</v>
      </c>
      <c r="E98" s="4" t="s">
        <v>113</v>
      </c>
      <c r="F98" s="4" t="s">
        <v>36</v>
      </c>
      <c r="G98" s="1">
        <v>44702</v>
      </c>
      <c r="H98" s="4" t="s">
        <v>315</v>
      </c>
      <c r="I98" s="4" t="s">
        <v>316</v>
      </c>
      <c r="J98">
        <v>-8861405785</v>
      </c>
      <c r="K98" s="4" t="s">
        <v>19</v>
      </c>
      <c r="L98" t="b">
        <v>0</v>
      </c>
    </row>
    <row r="99" spans="1:12" x14ac:dyDescent="0.25">
      <c r="A99" s="4" t="s">
        <v>317</v>
      </c>
      <c r="B99" s="4" t="s">
        <v>40</v>
      </c>
      <c r="C99" s="4" t="s">
        <v>21</v>
      </c>
      <c r="D99">
        <v>40</v>
      </c>
      <c r="E99" s="4" t="s">
        <v>172</v>
      </c>
      <c r="F99" s="4" t="s">
        <v>36</v>
      </c>
      <c r="G99" s="1">
        <v>44303</v>
      </c>
      <c r="H99" s="4" t="s">
        <v>318</v>
      </c>
      <c r="I99" s="4" t="s">
        <v>280</v>
      </c>
      <c r="J99">
        <v>-1706304890</v>
      </c>
      <c r="K99" s="4" t="s">
        <v>25</v>
      </c>
      <c r="L99" t="b">
        <v>0</v>
      </c>
    </row>
    <row r="100" spans="1:12" x14ac:dyDescent="0.25">
      <c r="A100" s="4" t="s">
        <v>319</v>
      </c>
      <c r="B100" s="4" t="s">
        <v>13</v>
      </c>
      <c r="C100" s="4" t="s">
        <v>106</v>
      </c>
      <c r="E100" s="4" t="s">
        <v>63</v>
      </c>
      <c r="F100" s="4" t="s">
        <v>16</v>
      </c>
      <c r="G100" s="1">
        <v>44274</v>
      </c>
      <c r="H100" s="4" t="s">
        <v>320</v>
      </c>
      <c r="I100" s="4" t="s">
        <v>108</v>
      </c>
      <c r="J100">
        <v>-3824967182</v>
      </c>
      <c r="K100" s="4" t="s">
        <v>25</v>
      </c>
      <c r="L100" t="b">
        <v>0</v>
      </c>
    </row>
    <row r="101" spans="1:12" x14ac:dyDescent="0.25">
      <c r="A101" s="4" t="s">
        <v>321</v>
      </c>
      <c r="B101" s="4" t="s">
        <v>35</v>
      </c>
      <c r="C101" s="4" t="s">
        <v>28</v>
      </c>
      <c r="D101">
        <v>25</v>
      </c>
      <c r="E101" s="4" t="s">
        <v>138</v>
      </c>
      <c r="F101" s="4" t="s">
        <v>16</v>
      </c>
      <c r="G101" s="1">
        <v>44570</v>
      </c>
      <c r="H101" s="4" t="s">
        <v>322</v>
      </c>
      <c r="I101" s="4" t="s">
        <v>323</v>
      </c>
      <c r="J101">
        <v>-2582386869</v>
      </c>
      <c r="K101" s="4" t="s">
        <v>33</v>
      </c>
      <c r="L101" t="b">
        <v>0</v>
      </c>
    </row>
    <row r="102" spans="1:12" x14ac:dyDescent="0.25">
      <c r="A102" s="4" t="s">
        <v>324</v>
      </c>
      <c r="B102" s="4" t="s">
        <v>61</v>
      </c>
      <c r="C102" s="4" t="s">
        <v>14</v>
      </c>
      <c r="D102">
        <v>35</v>
      </c>
      <c r="E102" s="4" t="s">
        <v>187</v>
      </c>
      <c r="F102" s="4" t="s">
        <v>30</v>
      </c>
      <c r="G102" s="1">
        <v>44429</v>
      </c>
      <c r="H102" s="4" t="s">
        <v>325</v>
      </c>
      <c r="I102" s="4" t="s">
        <v>200</v>
      </c>
      <c r="J102">
        <v>-794200748</v>
      </c>
      <c r="K102" s="4" t="s">
        <v>33</v>
      </c>
      <c r="L102" t="b">
        <v>0</v>
      </c>
    </row>
    <row r="103" spans="1:12" x14ac:dyDescent="0.25">
      <c r="A103" s="4" t="s">
        <v>326</v>
      </c>
      <c r="B103" s="4" t="s">
        <v>75</v>
      </c>
      <c r="C103" s="4" t="s">
        <v>62</v>
      </c>
      <c r="D103">
        <v>25</v>
      </c>
      <c r="E103" s="4" t="s">
        <v>110</v>
      </c>
      <c r="F103" s="4" t="s">
        <v>36</v>
      </c>
      <c r="G103" s="1">
        <v>44792</v>
      </c>
      <c r="H103" s="4" t="s">
        <v>327</v>
      </c>
      <c r="I103" s="4" t="s">
        <v>132</v>
      </c>
      <c r="J103">
        <v>-4653984027</v>
      </c>
      <c r="K103" s="4" t="s">
        <v>19</v>
      </c>
      <c r="L103" t="b">
        <v>0</v>
      </c>
    </row>
    <row r="104" spans="1:12" x14ac:dyDescent="0.25">
      <c r="A104" s="4" t="s">
        <v>328</v>
      </c>
      <c r="B104" s="4" t="s">
        <v>27</v>
      </c>
      <c r="C104" s="4" t="s">
        <v>62</v>
      </c>
      <c r="D104">
        <v>35</v>
      </c>
      <c r="E104" s="4" t="s">
        <v>22</v>
      </c>
      <c r="F104" s="4" t="s">
        <v>16</v>
      </c>
      <c r="G104" s="1">
        <v>44651</v>
      </c>
      <c r="H104" s="4" t="s">
        <v>329</v>
      </c>
      <c r="I104" s="4" t="s">
        <v>177</v>
      </c>
      <c r="J104">
        <v>-9141612845</v>
      </c>
      <c r="K104" s="4" t="s">
        <v>19</v>
      </c>
      <c r="L104" t="b">
        <v>0</v>
      </c>
    </row>
    <row r="105" spans="1:12" x14ac:dyDescent="0.25">
      <c r="A105" s="4" t="s">
        <v>330</v>
      </c>
      <c r="B105" s="4" t="s">
        <v>27</v>
      </c>
      <c r="C105" s="4" t="s">
        <v>21</v>
      </c>
      <c r="D105">
        <v>30</v>
      </c>
      <c r="E105" s="4" t="s">
        <v>102</v>
      </c>
      <c r="F105" s="4" t="s">
        <v>36</v>
      </c>
      <c r="G105" s="1">
        <v>44005</v>
      </c>
      <c r="H105" s="4" t="s">
        <v>331</v>
      </c>
      <c r="I105" s="4" t="s">
        <v>93</v>
      </c>
      <c r="J105">
        <v>-3985547434</v>
      </c>
      <c r="K105" s="4" t="s">
        <v>19</v>
      </c>
      <c r="L105" t="b">
        <v>1</v>
      </c>
    </row>
    <row r="106" spans="1:12" x14ac:dyDescent="0.25">
      <c r="A106" s="4" t="s">
        <v>332</v>
      </c>
      <c r="B106" s="4" t="s">
        <v>80</v>
      </c>
      <c r="C106" s="4" t="s">
        <v>62</v>
      </c>
      <c r="E106" s="4" t="s">
        <v>113</v>
      </c>
      <c r="F106" s="4" t="s">
        <v>16</v>
      </c>
      <c r="G106" s="1">
        <v>45419</v>
      </c>
      <c r="H106" s="4" t="s">
        <v>333</v>
      </c>
      <c r="I106" s="4" t="s">
        <v>150</v>
      </c>
      <c r="J106">
        <v>-5379502096</v>
      </c>
      <c r="K106" s="4" t="s">
        <v>33</v>
      </c>
      <c r="L106" t="b">
        <v>1</v>
      </c>
    </row>
    <row r="107" spans="1:12" x14ac:dyDescent="0.25">
      <c r="A107" s="4" t="s">
        <v>334</v>
      </c>
      <c r="B107" s="4" t="s">
        <v>75</v>
      </c>
      <c r="C107" s="4" t="s">
        <v>62</v>
      </c>
      <c r="D107">
        <v>35</v>
      </c>
      <c r="E107" s="4" t="s">
        <v>87</v>
      </c>
      <c r="F107" s="4" t="s">
        <v>36</v>
      </c>
      <c r="G107" s="1">
        <v>44995</v>
      </c>
      <c r="H107" s="4" t="s">
        <v>335</v>
      </c>
      <c r="I107" s="4" t="s">
        <v>132</v>
      </c>
      <c r="J107">
        <v>-26876810</v>
      </c>
      <c r="K107" s="4" t="s">
        <v>45</v>
      </c>
      <c r="L107" t="b">
        <v>0</v>
      </c>
    </row>
    <row r="108" spans="1:12" x14ac:dyDescent="0.25">
      <c r="A108" s="4" t="s">
        <v>336</v>
      </c>
      <c r="B108" s="4" t="s">
        <v>13</v>
      </c>
      <c r="C108" s="4" t="s">
        <v>106</v>
      </c>
      <c r="D108">
        <v>30</v>
      </c>
      <c r="E108" s="4" t="s">
        <v>63</v>
      </c>
      <c r="F108" s="4" t="s">
        <v>36</v>
      </c>
      <c r="G108" s="1">
        <v>45183</v>
      </c>
      <c r="H108" s="4" t="s">
        <v>337</v>
      </c>
      <c r="I108" s="4" t="s">
        <v>108</v>
      </c>
      <c r="J108">
        <v>-8071569561</v>
      </c>
      <c r="K108" s="4" t="s">
        <v>45</v>
      </c>
      <c r="L108" t="b">
        <v>1</v>
      </c>
    </row>
    <row r="109" spans="1:12" x14ac:dyDescent="0.25">
      <c r="A109" s="4" t="s">
        <v>338</v>
      </c>
      <c r="B109" s="4" t="s">
        <v>13</v>
      </c>
      <c r="C109" s="4" t="s">
        <v>21</v>
      </c>
      <c r="D109">
        <v>30</v>
      </c>
      <c r="E109" s="4" t="s">
        <v>42</v>
      </c>
      <c r="F109" s="4" t="s">
        <v>36</v>
      </c>
      <c r="G109" s="1">
        <v>45242</v>
      </c>
      <c r="H109" s="4" t="s">
        <v>339</v>
      </c>
      <c r="I109" s="4" t="s">
        <v>24</v>
      </c>
      <c r="J109">
        <v>-175370303</v>
      </c>
      <c r="K109" s="4" t="s">
        <v>33</v>
      </c>
      <c r="L109" t="b">
        <v>1</v>
      </c>
    </row>
    <row r="110" spans="1:12" x14ac:dyDescent="0.25">
      <c r="A110" s="4" t="s">
        <v>340</v>
      </c>
      <c r="B110" s="4" t="s">
        <v>67</v>
      </c>
      <c r="C110" s="4" t="s">
        <v>106</v>
      </c>
      <c r="D110">
        <v>35</v>
      </c>
      <c r="E110" s="4" t="s">
        <v>15</v>
      </c>
      <c r="F110" s="4" t="s">
        <v>30</v>
      </c>
      <c r="G110" s="1">
        <v>45591</v>
      </c>
      <c r="H110" s="4" t="s">
        <v>341</v>
      </c>
      <c r="I110" s="4" t="s">
        <v>124</v>
      </c>
      <c r="J110">
        <v>-5319433749</v>
      </c>
      <c r="K110" s="4" t="s">
        <v>33</v>
      </c>
      <c r="L110" t="b">
        <v>0</v>
      </c>
    </row>
    <row r="111" spans="1:12" x14ac:dyDescent="0.25">
      <c r="A111" s="4" t="s">
        <v>342</v>
      </c>
      <c r="B111" s="4" t="s">
        <v>35</v>
      </c>
      <c r="C111" s="4" t="s">
        <v>14</v>
      </c>
      <c r="E111" s="4" t="s">
        <v>63</v>
      </c>
      <c r="F111" s="4" t="s">
        <v>36</v>
      </c>
      <c r="G111" s="1">
        <v>44066</v>
      </c>
      <c r="H111" s="4" t="s">
        <v>343</v>
      </c>
      <c r="I111" s="4" t="s">
        <v>38</v>
      </c>
      <c r="J111">
        <v>-4793036148</v>
      </c>
      <c r="K111" s="4" t="s">
        <v>33</v>
      </c>
      <c r="L111" t="b">
        <v>1</v>
      </c>
    </row>
    <row r="112" spans="1:12" x14ac:dyDescent="0.25">
      <c r="A112" s="4" t="s">
        <v>344</v>
      </c>
      <c r="B112" s="4" t="s">
        <v>35</v>
      </c>
      <c r="C112" s="4" t="s">
        <v>47</v>
      </c>
      <c r="D112">
        <v>30</v>
      </c>
      <c r="E112" s="4" t="s">
        <v>187</v>
      </c>
      <c r="F112" s="4" t="s">
        <v>16</v>
      </c>
      <c r="G112" s="1">
        <v>45454</v>
      </c>
      <c r="H112" s="4" t="s">
        <v>345</v>
      </c>
      <c r="I112" s="4" t="s">
        <v>346</v>
      </c>
      <c r="J112">
        <v>-8728399920</v>
      </c>
      <c r="K112" s="4" t="s">
        <v>33</v>
      </c>
      <c r="L112" t="b">
        <v>1</v>
      </c>
    </row>
    <row r="113" spans="1:12" x14ac:dyDescent="0.25">
      <c r="A113" s="4" t="s">
        <v>347</v>
      </c>
      <c r="B113" s="4" t="s">
        <v>35</v>
      </c>
      <c r="C113" s="4" t="s">
        <v>14</v>
      </c>
      <c r="D113">
        <v>40</v>
      </c>
      <c r="E113" s="4" t="s">
        <v>42</v>
      </c>
      <c r="F113" s="4" t="s">
        <v>30</v>
      </c>
      <c r="G113" s="1">
        <v>44453</v>
      </c>
      <c r="H113" s="4" t="s">
        <v>348</v>
      </c>
      <c r="I113" s="4" t="s">
        <v>38</v>
      </c>
      <c r="J113">
        <v>-9212493842</v>
      </c>
      <c r="K113" s="4" t="s">
        <v>33</v>
      </c>
      <c r="L113" t="b">
        <v>1</v>
      </c>
    </row>
    <row r="114" spans="1:12" x14ac:dyDescent="0.25">
      <c r="A114" s="4" t="s">
        <v>349</v>
      </c>
      <c r="B114" s="4" t="s">
        <v>75</v>
      </c>
      <c r="C114" s="4" t="s">
        <v>47</v>
      </c>
      <c r="D114">
        <v>40</v>
      </c>
      <c r="E114" s="4" t="s">
        <v>110</v>
      </c>
      <c r="F114" s="4" t="s">
        <v>16</v>
      </c>
      <c r="G114" s="1">
        <v>45652</v>
      </c>
      <c r="H114" s="4" t="s">
        <v>350</v>
      </c>
      <c r="I114" s="4" t="s">
        <v>300</v>
      </c>
      <c r="J114">
        <v>-894870604</v>
      </c>
      <c r="K114" s="4" t="s">
        <v>33</v>
      </c>
      <c r="L114" t="b">
        <v>1</v>
      </c>
    </row>
    <row r="115" spans="1:12" x14ac:dyDescent="0.25">
      <c r="A115" s="4" t="s">
        <v>351</v>
      </c>
      <c r="B115" s="4" t="s">
        <v>35</v>
      </c>
      <c r="C115" s="4" t="s">
        <v>106</v>
      </c>
      <c r="D115">
        <v>25</v>
      </c>
      <c r="E115" s="4" t="s">
        <v>68</v>
      </c>
      <c r="F115" s="4" t="s">
        <v>30</v>
      </c>
      <c r="G115" s="1">
        <v>45543</v>
      </c>
      <c r="H115" s="4" t="s">
        <v>352</v>
      </c>
      <c r="I115" s="4" t="s">
        <v>307</v>
      </c>
      <c r="J115">
        <v>-6641877579</v>
      </c>
      <c r="K115" s="4" t="s">
        <v>19</v>
      </c>
      <c r="L115" t="b">
        <v>1</v>
      </c>
    </row>
    <row r="116" spans="1:12" x14ac:dyDescent="0.25">
      <c r="A116" s="4" t="s">
        <v>353</v>
      </c>
      <c r="B116" s="4" t="s">
        <v>27</v>
      </c>
      <c r="C116" s="4" t="s">
        <v>14</v>
      </c>
      <c r="D116">
        <v>35</v>
      </c>
      <c r="E116" s="4" t="s">
        <v>48</v>
      </c>
      <c r="F116" s="4" t="s">
        <v>16</v>
      </c>
      <c r="G116" s="1">
        <v>44794</v>
      </c>
      <c r="H116" s="4" t="s">
        <v>354</v>
      </c>
      <c r="I116" s="4" t="s">
        <v>191</v>
      </c>
      <c r="J116">
        <v>-3046875062</v>
      </c>
      <c r="K116" s="4" t="s">
        <v>19</v>
      </c>
      <c r="L116" t="b">
        <v>0</v>
      </c>
    </row>
    <row r="117" spans="1:12" x14ac:dyDescent="0.25">
      <c r="A117" s="4" t="s">
        <v>355</v>
      </c>
      <c r="B117" s="4" t="s">
        <v>35</v>
      </c>
      <c r="C117" s="4" t="s">
        <v>21</v>
      </c>
      <c r="D117">
        <v>30</v>
      </c>
      <c r="E117" s="4" t="s">
        <v>87</v>
      </c>
      <c r="F117" s="4" t="s">
        <v>30</v>
      </c>
      <c r="G117" s="1">
        <v>45498</v>
      </c>
      <c r="H117" s="4" t="s">
        <v>356</v>
      </c>
      <c r="I117" s="4" t="s">
        <v>183</v>
      </c>
      <c r="J117">
        <v>-5190361331</v>
      </c>
      <c r="K117" s="4" t="s">
        <v>19</v>
      </c>
      <c r="L117" t="b">
        <v>0</v>
      </c>
    </row>
    <row r="118" spans="1:12" x14ac:dyDescent="0.25">
      <c r="A118" s="4" t="s">
        <v>357</v>
      </c>
      <c r="B118" s="4" t="s">
        <v>40</v>
      </c>
      <c r="C118" s="4" t="s">
        <v>142</v>
      </c>
      <c r="D118">
        <v>40</v>
      </c>
      <c r="E118" s="4" t="s">
        <v>172</v>
      </c>
      <c r="F118" s="4" t="s">
        <v>30</v>
      </c>
      <c r="G118" s="1">
        <v>44045</v>
      </c>
      <c r="H118" s="4" t="s">
        <v>358</v>
      </c>
      <c r="I118" s="4" t="s">
        <v>163</v>
      </c>
      <c r="J118">
        <v>-5411076094</v>
      </c>
      <c r="K118" s="4" t="s">
        <v>19</v>
      </c>
      <c r="L118" t="b">
        <v>0</v>
      </c>
    </row>
    <row r="119" spans="1:12" x14ac:dyDescent="0.25">
      <c r="A119" s="4" t="s">
        <v>359</v>
      </c>
      <c r="B119" s="4" t="s">
        <v>75</v>
      </c>
      <c r="C119" s="4" t="s">
        <v>106</v>
      </c>
      <c r="D119">
        <v>35</v>
      </c>
      <c r="E119" s="4" t="s">
        <v>270</v>
      </c>
      <c r="F119" s="4" t="s">
        <v>30</v>
      </c>
      <c r="G119" s="1">
        <v>43906</v>
      </c>
      <c r="H119" s="4" t="s">
        <v>360</v>
      </c>
      <c r="I119" s="4" t="s">
        <v>153</v>
      </c>
      <c r="J119">
        <v>-4317350582</v>
      </c>
      <c r="K119" s="4" t="s">
        <v>33</v>
      </c>
      <c r="L119" t="b">
        <v>1</v>
      </c>
    </row>
    <row r="120" spans="1:12" x14ac:dyDescent="0.25">
      <c r="A120" s="4" t="s">
        <v>361</v>
      </c>
      <c r="B120" s="4" t="s">
        <v>40</v>
      </c>
      <c r="C120" s="4" t="s">
        <v>47</v>
      </c>
      <c r="D120">
        <v>25</v>
      </c>
      <c r="E120" s="4" t="s">
        <v>309</v>
      </c>
      <c r="F120" s="4" t="s">
        <v>16</v>
      </c>
      <c r="G120" s="1">
        <v>45177</v>
      </c>
      <c r="H120" s="4" t="s">
        <v>362</v>
      </c>
      <c r="I120" s="4" t="s">
        <v>214</v>
      </c>
      <c r="J120">
        <v>-1997179109</v>
      </c>
      <c r="K120" s="4" t="s">
        <v>45</v>
      </c>
      <c r="L120" t="b">
        <v>0</v>
      </c>
    </row>
    <row r="121" spans="1:12" x14ac:dyDescent="0.25">
      <c r="A121" s="4" t="s">
        <v>363</v>
      </c>
      <c r="B121" s="4" t="s">
        <v>27</v>
      </c>
      <c r="C121" s="4" t="s">
        <v>28</v>
      </c>
      <c r="D121">
        <v>30</v>
      </c>
      <c r="E121" s="4" t="s">
        <v>210</v>
      </c>
      <c r="F121" s="4" t="s">
        <v>30</v>
      </c>
      <c r="G121" s="1">
        <v>45380</v>
      </c>
      <c r="H121" s="4" t="s">
        <v>364</v>
      </c>
      <c r="I121" s="4" t="s">
        <v>32</v>
      </c>
      <c r="J121">
        <v>-651207048</v>
      </c>
      <c r="K121" s="4" t="s">
        <v>25</v>
      </c>
      <c r="L121" t="b">
        <v>1</v>
      </c>
    </row>
    <row r="122" spans="1:12" x14ac:dyDescent="0.25">
      <c r="A122" s="4" t="s">
        <v>365</v>
      </c>
      <c r="B122" s="4" t="s">
        <v>27</v>
      </c>
      <c r="C122" s="4" t="s">
        <v>47</v>
      </c>
      <c r="D122">
        <v>30</v>
      </c>
      <c r="E122" s="4" t="s">
        <v>229</v>
      </c>
      <c r="F122" s="4" t="s">
        <v>16</v>
      </c>
      <c r="G122" s="1">
        <v>44420</v>
      </c>
      <c r="H122" s="4" t="s">
        <v>366</v>
      </c>
      <c r="I122" s="4" t="s">
        <v>50</v>
      </c>
      <c r="J122">
        <v>-6110804660</v>
      </c>
      <c r="K122" s="4" t="s">
        <v>33</v>
      </c>
      <c r="L122" t="b">
        <v>1</v>
      </c>
    </row>
    <row r="123" spans="1:12" x14ac:dyDescent="0.25">
      <c r="A123" s="4" t="s">
        <v>367</v>
      </c>
      <c r="B123" s="4" t="s">
        <v>13</v>
      </c>
      <c r="C123" s="4" t="s">
        <v>28</v>
      </c>
      <c r="D123">
        <v>25</v>
      </c>
      <c r="E123" s="4" t="s">
        <v>91</v>
      </c>
      <c r="F123" s="4" t="s">
        <v>16</v>
      </c>
      <c r="G123" s="1">
        <v>45284</v>
      </c>
      <c r="H123" s="4" t="s">
        <v>368</v>
      </c>
      <c r="I123" s="4" t="s">
        <v>56</v>
      </c>
      <c r="J123">
        <v>-9639907675</v>
      </c>
      <c r="K123" s="4" t="s">
        <v>25</v>
      </c>
      <c r="L123" t="b">
        <v>1</v>
      </c>
    </row>
    <row r="124" spans="1:12" x14ac:dyDescent="0.25">
      <c r="A124" s="4" t="s">
        <v>369</v>
      </c>
      <c r="B124" s="4" t="s">
        <v>80</v>
      </c>
      <c r="C124" s="4" t="s">
        <v>62</v>
      </c>
      <c r="D124">
        <v>25</v>
      </c>
      <c r="E124" s="4" t="s">
        <v>120</v>
      </c>
      <c r="F124" s="4" t="s">
        <v>36</v>
      </c>
      <c r="G124" s="1">
        <v>44071</v>
      </c>
      <c r="H124" s="4" t="s">
        <v>370</v>
      </c>
      <c r="I124" s="4" t="s">
        <v>150</v>
      </c>
      <c r="J124">
        <v>-9915078592</v>
      </c>
      <c r="K124" s="4" t="s">
        <v>45</v>
      </c>
      <c r="L124" t="b">
        <v>1</v>
      </c>
    </row>
    <row r="125" spans="1:12" x14ac:dyDescent="0.25">
      <c r="A125" s="4" t="s">
        <v>371</v>
      </c>
      <c r="B125" s="4" t="s">
        <v>35</v>
      </c>
      <c r="C125" s="4" t="s">
        <v>14</v>
      </c>
      <c r="E125" s="4" t="s">
        <v>15</v>
      </c>
      <c r="F125" s="4" t="s">
        <v>36</v>
      </c>
      <c r="G125" s="1">
        <v>45540</v>
      </c>
      <c r="H125" s="4" t="s">
        <v>372</v>
      </c>
      <c r="I125" s="4" t="s">
        <v>38</v>
      </c>
      <c r="J125">
        <v>-1109193927</v>
      </c>
      <c r="K125" s="4" t="s">
        <v>19</v>
      </c>
      <c r="L125" t="b">
        <v>0</v>
      </c>
    </row>
    <row r="126" spans="1:12" x14ac:dyDescent="0.25">
      <c r="A126" s="4" t="s">
        <v>373</v>
      </c>
      <c r="B126" s="4" t="s">
        <v>75</v>
      </c>
      <c r="C126" s="4" t="s">
        <v>28</v>
      </c>
      <c r="E126" s="4" t="s">
        <v>244</v>
      </c>
      <c r="F126" s="4" t="s">
        <v>16</v>
      </c>
      <c r="G126" s="1">
        <v>45058</v>
      </c>
      <c r="H126" s="4" t="s">
        <v>374</v>
      </c>
      <c r="I126" s="4" t="s">
        <v>375</v>
      </c>
      <c r="J126">
        <v>-4567972319</v>
      </c>
      <c r="K126" s="4" t="s">
        <v>45</v>
      </c>
      <c r="L126" t="b">
        <v>0</v>
      </c>
    </row>
    <row r="127" spans="1:12" x14ac:dyDescent="0.25">
      <c r="A127" s="4" t="s">
        <v>376</v>
      </c>
      <c r="B127" s="4" t="s">
        <v>13</v>
      </c>
      <c r="C127" s="4" t="s">
        <v>47</v>
      </c>
      <c r="D127">
        <v>35</v>
      </c>
      <c r="E127" s="4" t="s">
        <v>81</v>
      </c>
      <c r="F127" s="4" t="s">
        <v>30</v>
      </c>
      <c r="G127" s="1">
        <v>44378</v>
      </c>
      <c r="H127" s="4" t="s">
        <v>377</v>
      </c>
      <c r="I127" s="4" t="s">
        <v>180</v>
      </c>
      <c r="J127">
        <v>-249685497</v>
      </c>
      <c r="K127" s="4" t="s">
        <v>33</v>
      </c>
      <c r="L127" t="b">
        <v>1</v>
      </c>
    </row>
    <row r="128" spans="1:12" x14ac:dyDescent="0.25">
      <c r="A128" s="4" t="s">
        <v>378</v>
      </c>
      <c r="B128" s="4" t="s">
        <v>35</v>
      </c>
      <c r="C128" s="4" t="s">
        <v>62</v>
      </c>
      <c r="E128" s="4" t="s">
        <v>259</v>
      </c>
      <c r="F128" s="4" t="s">
        <v>36</v>
      </c>
      <c r="G128" s="1">
        <v>45603</v>
      </c>
      <c r="H128" s="4" t="s">
        <v>379</v>
      </c>
      <c r="I128" s="4" t="s">
        <v>380</v>
      </c>
      <c r="J128">
        <v>-2274954507</v>
      </c>
      <c r="K128" s="4" t="s">
        <v>19</v>
      </c>
      <c r="L128" t="b">
        <v>0</v>
      </c>
    </row>
    <row r="129" spans="1:12" x14ac:dyDescent="0.25">
      <c r="A129" s="4" t="s">
        <v>381</v>
      </c>
      <c r="B129" s="4" t="s">
        <v>40</v>
      </c>
      <c r="C129" s="4" t="s">
        <v>142</v>
      </c>
      <c r="D129">
        <v>35</v>
      </c>
      <c r="E129" s="4" t="s">
        <v>113</v>
      </c>
      <c r="F129" s="4" t="s">
        <v>36</v>
      </c>
      <c r="G129" s="1">
        <v>44763</v>
      </c>
      <c r="H129" s="4" t="s">
        <v>382</v>
      </c>
      <c r="I129" s="4" t="s">
        <v>163</v>
      </c>
      <c r="J129">
        <v>-9203880652</v>
      </c>
      <c r="K129" s="4" t="s">
        <v>33</v>
      </c>
      <c r="L129" t="b">
        <v>1</v>
      </c>
    </row>
    <row r="130" spans="1:12" x14ac:dyDescent="0.25">
      <c r="A130" s="4" t="s">
        <v>383</v>
      </c>
      <c r="B130" s="4" t="s">
        <v>67</v>
      </c>
      <c r="C130" s="4" t="s">
        <v>21</v>
      </c>
      <c r="E130" s="4" t="s">
        <v>267</v>
      </c>
      <c r="F130" s="4" t="s">
        <v>36</v>
      </c>
      <c r="G130" s="1">
        <v>43920</v>
      </c>
      <c r="H130" s="4" t="s">
        <v>384</v>
      </c>
      <c r="I130" s="4" t="s">
        <v>265</v>
      </c>
      <c r="J130">
        <v>-3315377958</v>
      </c>
      <c r="K130" s="4" t="s">
        <v>19</v>
      </c>
      <c r="L130" t="b">
        <v>0</v>
      </c>
    </row>
    <row r="131" spans="1:12" x14ac:dyDescent="0.25">
      <c r="A131" s="4" t="s">
        <v>385</v>
      </c>
      <c r="B131" s="4" t="s">
        <v>80</v>
      </c>
      <c r="C131" s="4" t="s">
        <v>21</v>
      </c>
      <c r="D131">
        <v>40</v>
      </c>
      <c r="E131" s="4" t="s">
        <v>386</v>
      </c>
      <c r="F131" s="4" t="s">
        <v>16</v>
      </c>
      <c r="G131" s="1">
        <v>44845</v>
      </c>
      <c r="H131" s="4" t="s">
        <v>387</v>
      </c>
      <c r="I131" s="4" t="s">
        <v>240</v>
      </c>
      <c r="J131">
        <v>-9594652169</v>
      </c>
      <c r="K131" s="4" t="s">
        <v>25</v>
      </c>
      <c r="L131" t="b">
        <v>0</v>
      </c>
    </row>
    <row r="132" spans="1:12" x14ac:dyDescent="0.25">
      <c r="A132" s="4" t="s">
        <v>388</v>
      </c>
      <c r="B132" s="4" t="s">
        <v>40</v>
      </c>
      <c r="C132" s="4" t="s">
        <v>21</v>
      </c>
      <c r="D132">
        <v>25</v>
      </c>
      <c r="E132" s="4" t="s">
        <v>22</v>
      </c>
      <c r="F132" s="4" t="s">
        <v>30</v>
      </c>
      <c r="G132" s="1">
        <v>44766</v>
      </c>
      <c r="H132" s="4" t="s">
        <v>389</v>
      </c>
      <c r="I132" s="4" t="s">
        <v>280</v>
      </c>
      <c r="J132">
        <v>-7303379336</v>
      </c>
      <c r="K132" s="4" t="s">
        <v>25</v>
      </c>
      <c r="L132" t="b">
        <v>1</v>
      </c>
    </row>
    <row r="133" spans="1:12" x14ac:dyDescent="0.25">
      <c r="A133" s="4" t="s">
        <v>390</v>
      </c>
      <c r="B133" s="4" t="s">
        <v>61</v>
      </c>
      <c r="C133" s="4" t="s">
        <v>28</v>
      </c>
      <c r="D133">
        <v>25</v>
      </c>
      <c r="E133" s="4" t="s">
        <v>81</v>
      </c>
      <c r="F133" s="4" t="s">
        <v>36</v>
      </c>
      <c r="G133" s="1">
        <v>45107</v>
      </c>
      <c r="H133" s="4" t="s">
        <v>391</v>
      </c>
      <c r="I133" s="4" t="s">
        <v>140</v>
      </c>
      <c r="J133">
        <v>-5636205014</v>
      </c>
      <c r="K133" s="4" t="s">
        <v>25</v>
      </c>
      <c r="L133" t="b">
        <v>0</v>
      </c>
    </row>
    <row r="134" spans="1:12" x14ac:dyDescent="0.25">
      <c r="A134" s="4" t="s">
        <v>392</v>
      </c>
      <c r="B134" s="4" t="s">
        <v>40</v>
      </c>
      <c r="C134" s="4" t="s">
        <v>142</v>
      </c>
      <c r="E134" s="4" t="s">
        <v>81</v>
      </c>
      <c r="F134" s="4" t="s">
        <v>30</v>
      </c>
      <c r="G134" s="1">
        <v>45302</v>
      </c>
      <c r="H134" s="4" t="s">
        <v>393</v>
      </c>
      <c r="I134" s="4" t="s">
        <v>163</v>
      </c>
      <c r="J134">
        <v>-812473949</v>
      </c>
      <c r="K134" s="4" t="s">
        <v>45</v>
      </c>
      <c r="L134" t="b">
        <v>1</v>
      </c>
    </row>
    <row r="135" spans="1:12" x14ac:dyDescent="0.25">
      <c r="A135" s="4" t="s">
        <v>394</v>
      </c>
      <c r="B135" s="4" t="s">
        <v>27</v>
      </c>
      <c r="C135" s="4" t="s">
        <v>28</v>
      </c>
      <c r="E135" s="4" t="s">
        <v>68</v>
      </c>
      <c r="F135" s="4" t="s">
        <v>30</v>
      </c>
      <c r="G135" s="1">
        <v>45232</v>
      </c>
      <c r="H135" s="4" t="s">
        <v>395</v>
      </c>
      <c r="I135" s="4" t="s">
        <v>32</v>
      </c>
      <c r="J135">
        <v>-334234257</v>
      </c>
      <c r="K135" s="4" t="s">
        <v>33</v>
      </c>
      <c r="L135" t="b">
        <v>0</v>
      </c>
    </row>
    <row r="136" spans="1:12" x14ac:dyDescent="0.25">
      <c r="A136" s="4" t="s">
        <v>396</v>
      </c>
      <c r="B136" s="4" t="s">
        <v>13</v>
      </c>
      <c r="C136" s="4" t="s">
        <v>14</v>
      </c>
      <c r="D136">
        <v>40</v>
      </c>
      <c r="E136" s="4" t="s">
        <v>98</v>
      </c>
      <c r="F136" s="4" t="s">
        <v>30</v>
      </c>
      <c r="G136" s="1">
        <v>45618</v>
      </c>
      <c r="H136" s="4" t="s">
        <v>397</v>
      </c>
      <c r="I136" s="4" t="s">
        <v>18</v>
      </c>
      <c r="J136">
        <v>-3230241025</v>
      </c>
      <c r="K136" s="4" t="s">
        <v>45</v>
      </c>
      <c r="L136" t="b">
        <v>1</v>
      </c>
    </row>
    <row r="137" spans="1:12" x14ac:dyDescent="0.25">
      <c r="A137" s="4" t="s">
        <v>398</v>
      </c>
      <c r="B137" s="4" t="s">
        <v>35</v>
      </c>
      <c r="C137" s="4" t="s">
        <v>28</v>
      </c>
      <c r="D137">
        <v>25</v>
      </c>
      <c r="E137" s="4" t="s">
        <v>312</v>
      </c>
      <c r="F137" s="4" t="s">
        <v>16</v>
      </c>
      <c r="G137" s="1">
        <v>44431</v>
      </c>
      <c r="H137" s="4" t="s">
        <v>399</v>
      </c>
      <c r="I137" s="4" t="s">
        <v>323</v>
      </c>
      <c r="J137">
        <v>-1534735527</v>
      </c>
      <c r="K137" s="4" t="s">
        <v>25</v>
      </c>
      <c r="L137" t="b">
        <v>1</v>
      </c>
    </row>
    <row r="138" spans="1:12" x14ac:dyDescent="0.25">
      <c r="A138" s="4" t="s">
        <v>400</v>
      </c>
      <c r="B138" s="4" t="s">
        <v>67</v>
      </c>
      <c r="C138" s="4" t="s">
        <v>142</v>
      </c>
      <c r="E138" s="4" t="s">
        <v>309</v>
      </c>
      <c r="F138" s="4" t="s">
        <v>30</v>
      </c>
      <c r="G138" s="1">
        <v>45454</v>
      </c>
      <c r="H138" s="4" t="s">
        <v>401</v>
      </c>
      <c r="I138" s="4" t="s">
        <v>402</v>
      </c>
      <c r="J138">
        <v>-9611223385</v>
      </c>
      <c r="K138" s="4" t="s">
        <v>33</v>
      </c>
      <c r="L138" t="b">
        <v>0</v>
      </c>
    </row>
    <row r="139" spans="1:12" x14ac:dyDescent="0.25">
      <c r="A139" s="4" t="s">
        <v>403</v>
      </c>
      <c r="B139" s="4" t="s">
        <v>80</v>
      </c>
      <c r="C139" s="4" t="s">
        <v>142</v>
      </c>
      <c r="E139" s="4" t="s">
        <v>63</v>
      </c>
      <c r="F139" s="4" t="s">
        <v>36</v>
      </c>
      <c r="G139" s="1">
        <v>45025</v>
      </c>
      <c r="H139" s="4" t="s">
        <v>404</v>
      </c>
      <c r="I139" s="4" t="s">
        <v>160</v>
      </c>
      <c r="J139">
        <v>-5596309937</v>
      </c>
      <c r="K139" s="4" t="s">
        <v>25</v>
      </c>
      <c r="L139" t="b">
        <v>0</v>
      </c>
    </row>
    <row r="140" spans="1:12" x14ac:dyDescent="0.25">
      <c r="A140" s="4" t="s">
        <v>405</v>
      </c>
      <c r="B140" s="4" t="s">
        <v>35</v>
      </c>
      <c r="C140" s="4" t="s">
        <v>14</v>
      </c>
      <c r="D140">
        <v>40</v>
      </c>
      <c r="E140" s="4" t="s">
        <v>175</v>
      </c>
      <c r="F140" s="4" t="s">
        <v>16</v>
      </c>
      <c r="G140" s="1">
        <v>45478</v>
      </c>
      <c r="H140" s="4" t="s">
        <v>406</v>
      </c>
      <c r="I140" s="4" t="s">
        <v>38</v>
      </c>
      <c r="J140">
        <v>-4253042896</v>
      </c>
      <c r="K140" s="4" t="s">
        <v>45</v>
      </c>
      <c r="L140" t="b">
        <v>1</v>
      </c>
    </row>
    <row r="141" spans="1:12" x14ac:dyDescent="0.25">
      <c r="A141" s="4" t="s">
        <v>407</v>
      </c>
      <c r="B141" s="4" t="s">
        <v>61</v>
      </c>
      <c r="C141" s="4" t="s">
        <v>142</v>
      </c>
      <c r="D141">
        <v>25</v>
      </c>
      <c r="E141" s="4" t="s">
        <v>81</v>
      </c>
      <c r="F141" s="4" t="s">
        <v>30</v>
      </c>
      <c r="G141" s="1">
        <v>44443</v>
      </c>
      <c r="H141" s="4" t="s">
        <v>408</v>
      </c>
      <c r="I141" s="4" t="s">
        <v>231</v>
      </c>
      <c r="J141">
        <v>-3179128684</v>
      </c>
      <c r="K141" s="4" t="s">
        <v>45</v>
      </c>
      <c r="L141" t="b">
        <v>0</v>
      </c>
    </row>
    <row r="142" spans="1:12" x14ac:dyDescent="0.25">
      <c r="A142" s="4" t="s">
        <v>409</v>
      </c>
      <c r="B142" s="4" t="s">
        <v>35</v>
      </c>
      <c r="C142" s="4" t="s">
        <v>47</v>
      </c>
      <c r="D142">
        <v>40</v>
      </c>
      <c r="E142" s="4" t="s">
        <v>76</v>
      </c>
      <c r="F142" s="4" t="s">
        <v>36</v>
      </c>
      <c r="G142" s="1">
        <v>45578</v>
      </c>
      <c r="H142" s="4" t="s">
        <v>410</v>
      </c>
      <c r="I142" s="4" t="s">
        <v>346</v>
      </c>
      <c r="J142">
        <v>-7872558776</v>
      </c>
      <c r="K142" s="4" t="s">
        <v>45</v>
      </c>
      <c r="L142" t="b">
        <v>0</v>
      </c>
    </row>
    <row r="143" spans="1:12" x14ac:dyDescent="0.25">
      <c r="A143" s="4" t="s">
        <v>411</v>
      </c>
      <c r="B143" s="4" t="s">
        <v>40</v>
      </c>
      <c r="C143" s="4" t="s">
        <v>142</v>
      </c>
      <c r="E143" s="4" t="s">
        <v>175</v>
      </c>
      <c r="F143" s="4" t="s">
        <v>36</v>
      </c>
      <c r="G143" s="1">
        <v>43875</v>
      </c>
      <c r="H143" s="4" t="s">
        <v>412</v>
      </c>
      <c r="I143" s="4" t="s">
        <v>163</v>
      </c>
      <c r="J143">
        <v>-4969033372</v>
      </c>
      <c r="K143" s="4" t="s">
        <v>25</v>
      </c>
      <c r="L143" t="b">
        <v>1</v>
      </c>
    </row>
    <row r="144" spans="1:12" x14ac:dyDescent="0.25">
      <c r="A144" s="4" t="s">
        <v>413</v>
      </c>
      <c r="B144" s="4" t="s">
        <v>35</v>
      </c>
      <c r="C144" s="4" t="s">
        <v>21</v>
      </c>
      <c r="D144">
        <v>25</v>
      </c>
      <c r="E144" s="4" t="s">
        <v>259</v>
      </c>
      <c r="F144" s="4" t="s">
        <v>30</v>
      </c>
      <c r="G144" s="1">
        <v>43931</v>
      </c>
      <c r="H144" s="4" t="s">
        <v>414</v>
      </c>
      <c r="I144" s="4" t="s">
        <v>183</v>
      </c>
      <c r="J144">
        <v>-6346692547</v>
      </c>
      <c r="K144" s="4" t="s">
        <v>33</v>
      </c>
      <c r="L144" t="b">
        <v>1</v>
      </c>
    </row>
    <row r="145" spans="1:12" x14ac:dyDescent="0.25">
      <c r="A145" s="4" t="s">
        <v>415</v>
      </c>
      <c r="B145" s="4" t="s">
        <v>35</v>
      </c>
      <c r="C145" s="4" t="s">
        <v>47</v>
      </c>
      <c r="D145">
        <v>30</v>
      </c>
      <c r="E145" s="4" t="s">
        <v>210</v>
      </c>
      <c r="F145" s="4" t="s">
        <v>16</v>
      </c>
      <c r="G145" s="1">
        <v>45134</v>
      </c>
      <c r="H145" s="4" t="s">
        <v>416</v>
      </c>
      <c r="I145" s="4" t="s">
        <v>346</v>
      </c>
      <c r="J145">
        <v>-1214785389</v>
      </c>
      <c r="K145" s="4" t="s">
        <v>33</v>
      </c>
      <c r="L145" t="b">
        <v>0</v>
      </c>
    </row>
    <row r="146" spans="1:12" x14ac:dyDescent="0.25">
      <c r="A146" s="4" t="s">
        <v>417</v>
      </c>
      <c r="B146" s="4" t="s">
        <v>61</v>
      </c>
      <c r="C146" s="4" t="s">
        <v>47</v>
      </c>
      <c r="D146">
        <v>25</v>
      </c>
      <c r="E146" s="4" t="s">
        <v>386</v>
      </c>
      <c r="F146" s="4" t="s">
        <v>16</v>
      </c>
      <c r="G146" s="1">
        <v>44463</v>
      </c>
      <c r="H146" s="4" t="s">
        <v>418</v>
      </c>
      <c r="I146" s="4" t="s">
        <v>100</v>
      </c>
      <c r="J146">
        <v>-7895677664</v>
      </c>
      <c r="K146" s="4" t="s">
        <v>25</v>
      </c>
      <c r="L146" t="b">
        <v>1</v>
      </c>
    </row>
    <row r="147" spans="1:12" x14ac:dyDescent="0.25">
      <c r="A147" s="4" t="s">
        <v>419</v>
      </c>
      <c r="B147" s="4" t="s">
        <v>40</v>
      </c>
      <c r="C147" s="4" t="s">
        <v>14</v>
      </c>
      <c r="D147">
        <v>30</v>
      </c>
      <c r="E147" s="4" t="s">
        <v>312</v>
      </c>
      <c r="F147" s="4" t="s">
        <v>36</v>
      </c>
      <c r="G147" s="1">
        <v>45361</v>
      </c>
      <c r="H147" s="4" t="s">
        <v>420</v>
      </c>
      <c r="I147" s="4" t="s">
        <v>59</v>
      </c>
      <c r="J147">
        <v>-7546027340</v>
      </c>
      <c r="K147" s="4" t="s">
        <v>33</v>
      </c>
      <c r="L147" t="b">
        <v>1</v>
      </c>
    </row>
    <row r="148" spans="1:12" x14ac:dyDescent="0.25">
      <c r="A148" s="4" t="s">
        <v>421</v>
      </c>
      <c r="B148" s="4" t="s">
        <v>40</v>
      </c>
      <c r="C148" s="4" t="s">
        <v>41</v>
      </c>
      <c r="E148" s="4" t="s">
        <v>210</v>
      </c>
      <c r="F148" s="4" t="s">
        <v>16</v>
      </c>
      <c r="G148" s="1">
        <v>44357</v>
      </c>
      <c r="H148" s="4" t="s">
        <v>422</v>
      </c>
      <c r="I148" s="4" t="s">
        <v>44</v>
      </c>
      <c r="J148">
        <v>-5148881430</v>
      </c>
      <c r="K148" s="4" t="s">
        <v>25</v>
      </c>
      <c r="L148" t="b">
        <v>1</v>
      </c>
    </row>
    <row r="149" spans="1:12" x14ac:dyDescent="0.25">
      <c r="A149" s="4" t="s">
        <v>423</v>
      </c>
      <c r="B149" s="4" t="s">
        <v>35</v>
      </c>
      <c r="C149" s="4" t="s">
        <v>41</v>
      </c>
      <c r="D149">
        <v>35</v>
      </c>
      <c r="E149" s="4" t="s">
        <v>42</v>
      </c>
      <c r="F149" s="4" t="s">
        <v>16</v>
      </c>
      <c r="G149" s="1">
        <v>44119</v>
      </c>
      <c r="H149" s="4" t="s">
        <v>424</v>
      </c>
      <c r="I149" s="4" t="s">
        <v>167</v>
      </c>
      <c r="J149">
        <v>-1150835353</v>
      </c>
      <c r="K149" s="4" t="s">
        <v>33</v>
      </c>
      <c r="L149" t="b">
        <v>0</v>
      </c>
    </row>
    <row r="150" spans="1:12" x14ac:dyDescent="0.25">
      <c r="A150" s="4" t="s">
        <v>425</v>
      </c>
      <c r="B150" s="4" t="s">
        <v>80</v>
      </c>
      <c r="C150" s="4" t="s">
        <v>142</v>
      </c>
      <c r="E150" s="4" t="s">
        <v>165</v>
      </c>
      <c r="F150" s="4" t="s">
        <v>36</v>
      </c>
      <c r="G150" s="1">
        <v>43859</v>
      </c>
      <c r="H150" s="4" t="s">
        <v>426</v>
      </c>
      <c r="I150" s="4" t="s">
        <v>160</v>
      </c>
      <c r="J150">
        <v>-4439284043</v>
      </c>
      <c r="K150" s="4" t="s">
        <v>19</v>
      </c>
      <c r="L150" t="b">
        <v>0</v>
      </c>
    </row>
    <row r="151" spans="1:12" x14ac:dyDescent="0.25">
      <c r="A151" s="4" t="s">
        <v>427</v>
      </c>
      <c r="B151" s="4" t="s">
        <v>40</v>
      </c>
      <c r="C151" s="4" t="s">
        <v>47</v>
      </c>
      <c r="D151">
        <v>35</v>
      </c>
      <c r="E151" s="4" t="s">
        <v>87</v>
      </c>
      <c r="F151" s="4" t="s">
        <v>30</v>
      </c>
      <c r="G151" s="1">
        <v>44591</v>
      </c>
      <c r="H151" s="4" t="s">
        <v>428</v>
      </c>
      <c r="I151" s="4" t="s">
        <v>214</v>
      </c>
      <c r="J151">
        <v>-5669078262</v>
      </c>
      <c r="K151" s="4" t="s">
        <v>19</v>
      </c>
      <c r="L151" t="b">
        <v>1</v>
      </c>
    </row>
    <row r="152" spans="1:12" x14ac:dyDescent="0.25">
      <c r="A152" s="4" t="s">
        <v>429</v>
      </c>
      <c r="B152" s="4" t="s">
        <v>27</v>
      </c>
      <c r="C152" s="4" t="s">
        <v>41</v>
      </c>
      <c r="E152" s="4" t="s">
        <v>210</v>
      </c>
      <c r="F152" s="4" t="s">
        <v>30</v>
      </c>
      <c r="G152" s="1">
        <v>44284</v>
      </c>
      <c r="H152" s="4" t="s">
        <v>430</v>
      </c>
      <c r="I152" s="4" t="s">
        <v>431</v>
      </c>
      <c r="J152">
        <v>-3373898774</v>
      </c>
      <c r="K152" s="4" t="s">
        <v>45</v>
      </c>
      <c r="L152" t="b">
        <v>0</v>
      </c>
    </row>
    <row r="153" spans="1:12" x14ac:dyDescent="0.25">
      <c r="A153" s="4" t="s">
        <v>432</v>
      </c>
      <c r="B153" s="4" t="s">
        <v>75</v>
      </c>
      <c r="C153" s="4" t="s">
        <v>41</v>
      </c>
      <c r="D153">
        <v>35</v>
      </c>
      <c r="E153" s="4" t="s">
        <v>270</v>
      </c>
      <c r="F153" s="4" t="s">
        <v>16</v>
      </c>
      <c r="G153" s="1">
        <v>44117</v>
      </c>
      <c r="H153" s="4" t="s">
        <v>433</v>
      </c>
      <c r="I153" s="4" t="s">
        <v>78</v>
      </c>
      <c r="J153">
        <v>-1536637779</v>
      </c>
      <c r="K153" s="4" t="s">
        <v>19</v>
      </c>
      <c r="L153" t="b">
        <v>1</v>
      </c>
    </row>
    <row r="154" spans="1:12" x14ac:dyDescent="0.25">
      <c r="A154" s="4" t="s">
        <v>434</v>
      </c>
      <c r="B154" s="4" t="s">
        <v>75</v>
      </c>
      <c r="C154" s="4" t="s">
        <v>142</v>
      </c>
      <c r="D154">
        <v>25</v>
      </c>
      <c r="E154" s="4" t="s">
        <v>68</v>
      </c>
      <c r="F154" s="4" t="s">
        <v>30</v>
      </c>
      <c r="G154" s="1">
        <v>44108</v>
      </c>
      <c r="H154" s="4" t="s">
        <v>435</v>
      </c>
      <c r="I154" s="4" t="s">
        <v>436</v>
      </c>
      <c r="J154">
        <v>-5292407552</v>
      </c>
      <c r="K154" s="4" t="s">
        <v>19</v>
      </c>
      <c r="L154" t="b">
        <v>0</v>
      </c>
    </row>
    <row r="155" spans="1:12" x14ac:dyDescent="0.25">
      <c r="A155" s="4" t="s">
        <v>437</v>
      </c>
      <c r="B155" s="4" t="s">
        <v>80</v>
      </c>
      <c r="C155" s="4" t="s">
        <v>41</v>
      </c>
      <c r="E155" s="4" t="s">
        <v>386</v>
      </c>
      <c r="F155" s="4" t="s">
        <v>16</v>
      </c>
      <c r="G155" s="1">
        <v>45644</v>
      </c>
      <c r="H155" s="4" t="s">
        <v>438</v>
      </c>
      <c r="I155" s="4" t="s">
        <v>83</v>
      </c>
      <c r="J155">
        <v>-6668459089</v>
      </c>
      <c r="K155" s="4" t="s">
        <v>19</v>
      </c>
      <c r="L155" t="b">
        <v>1</v>
      </c>
    </row>
    <row r="156" spans="1:12" x14ac:dyDescent="0.25">
      <c r="A156" s="4" t="s">
        <v>439</v>
      </c>
      <c r="B156" s="4" t="s">
        <v>75</v>
      </c>
      <c r="C156" s="4" t="s">
        <v>28</v>
      </c>
      <c r="E156" s="4" t="s">
        <v>81</v>
      </c>
      <c r="F156" s="4" t="s">
        <v>16</v>
      </c>
      <c r="G156" s="1">
        <v>45244</v>
      </c>
      <c r="H156" s="4" t="s">
        <v>440</v>
      </c>
      <c r="I156" s="4" t="s">
        <v>375</v>
      </c>
      <c r="J156">
        <v>-2259999662</v>
      </c>
      <c r="K156" s="4" t="s">
        <v>25</v>
      </c>
      <c r="L156" t="b">
        <v>1</v>
      </c>
    </row>
    <row r="157" spans="1:12" x14ac:dyDescent="0.25">
      <c r="A157" s="4" t="s">
        <v>441</v>
      </c>
      <c r="B157" s="4" t="s">
        <v>67</v>
      </c>
      <c r="C157" s="4" t="s">
        <v>62</v>
      </c>
      <c r="D157">
        <v>35</v>
      </c>
      <c r="E157" s="4" t="s">
        <v>98</v>
      </c>
      <c r="F157" s="4" t="s">
        <v>36</v>
      </c>
      <c r="G157" s="1">
        <v>44946</v>
      </c>
      <c r="H157" s="4" t="s">
        <v>442</v>
      </c>
      <c r="I157" s="4" t="s">
        <v>257</v>
      </c>
      <c r="J157">
        <v>-6186371596</v>
      </c>
      <c r="K157" s="4" t="s">
        <v>19</v>
      </c>
      <c r="L157" t="b">
        <v>0</v>
      </c>
    </row>
    <row r="158" spans="1:12" x14ac:dyDescent="0.25">
      <c r="A158" s="4" t="s">
        <v>443</v>
      </c>
      <c r="B158" s="4" t="s">
        <v>27</v>
      </c>
      <c r="C158" s="4" t="s">
        <v>14</v>
      </c>
      <c r="D158">
        <v>40</v>
      </c>
      <c r="E158" s="4" t="s">
        <v>76</v>
      </c>
      <c r="F158" s="4" t="s">
        <v>16</v>
      </c>
      <c r="G158" s="1">
        <v>45567</v>
      </c>
      <c r="H158" s="4" t="s">
        <v>444</v>
      </c>
      <c r="I158" s="4" t="s">
        <v>191</v>
      </c>
      <c r="J158">
        <v>-4121820969</v>
      </c>
      <c r="K158" s="4" t="s">
        <v>19</v>
      </c>
      <c r="L158" t="b">
        <v>1</v>
      </c>
    </row>
    <row r="159" spans="1:12" x14ac:dyDescent="0.25">
      <c r="A159" s="4" t="s">
        <v>445</v>
      </c>
      <c r="B159" s="4" t="s">
        <v>67</v>
      </c>
      <c r="C159" s="4" t="s">
        <v>62</v>
      </c>
      <c r="E159" s="4" t="s">
        <v>187</v>
      </c>
      <c r="F159" s="4" t="s">
        <v>36</v>
      </c>
      <c r="G159" s="1">
        <v>44329</v>
      </c>
      <c r="H159" s="4" t="s">
        <v>446</v>
      </c>
      <c r="I159" s="4" t="s">
        <v>257</v>
      </c>
      <c r="J159">
        <v>-2316433480</v>
      </c>
      <c r="K159" s="4" t="s">
        <v>45</v>
      </c>
      <c r="L159" t="b">
        <v>0</v>
      </c>
    </row>
    <row r="160" spans="1:12" x14ac:dyDescent="0.25">
      <c r="A160" s="4" t="s">
        <v>447</v>
      </c>
      <c r="B160" s="4" t="s">
        <v>67</v>
      </c>
      <c r="C160" s="4" t="s">
        <v>142</v>
      </c>
      <c r="D160">
        <v>25</v>
      </c>
      <c r="E160" s="4" t="s">
        <v>126</v>
      </c>
      <c r="F160" s="4" t="s">
        <v>30</v>
      </c>
      <c r="G160" s="1">
        <v>44273</v>
      </c>
      <c r="H160" s="4" t="s">
        <v>448</v>
      </c>
      <c r="I160" s="4" t="s">
        <v>402</v>
      </c>
      <c r="J160">
        <v>-7058025661</v>
      </c>
      <c r="K160" s="4" t="s">
        <v>19</v>
      </c>
      <c r="L160" t="b">
        <v>0</v>
      </c>
    </row>
    <row r="161" spans="1:12" x14ac:dyDescent="0.25">
      <c r="A161" s="4" t="s">
        <v>449</v>
      </c>
      <c r="B161" s="4" t="s">
        <v>61</v>
      </c>
      <c r="C161" s="4" t="s">
        <v>21</v>
      </c>
      <c r="E161" s="4" t="s">
        <v>312</v>
      </c>
      <c r="F161" s="4" t="s">
        <v>16</v>
      </c>
      <c r="G161" s="1">
        <v>44097</v>
      </c>
      <c r="H161" s="4" t="s">
        <v>450</v>
      </c>
      <c r="I161" s="4" t="s">
        <v>147</v>
      </c>
      <c r="J161">
        <v>-1286716322</v>
      </c>
      <c r="K161" s="4" t="s">
        <v>19</v>
      </c>
      <c r="L161" t="b">
        <v>1</v>
      </c>
    </row>
    <row r="162" spans="1:12" x14ac:dyDescent="0.25">
      <c r="A162" s="4" t="s">
        <v>451</v>
      </c>
      <c r="B162" s="4" t="s">
        <v>13</v>
      </c>
      <c r="C162" s="4" t="s">
        <v>14</v>
      </c>
      <c r="D162">
        <v>25</v>
      </c>
      <c r="E162" s="4" t="s">
        <v>120</v>
      </c>
      <c r="F162" s="4" t="s">
        <v>36</v>
      </c>
      <c r="G162" s="1">
        <v>45448</v>
      </c>
      <c r="H162" s="4" t="s">
        <v>452</v>
      </c>
      <c r="I162" s="4" t="s">
        <v>18</v>
      </c>
      <c r="J162">
        <v>-4672994937</v>
      </c>
      <c r="K162" s="4" t="s">
        <v>33</v>
      </c>
      <c r="L162" t="b">
        <v>1</v>
      </c>
    </row>
    <row r="163" spans="1:12" x14ac:dyDescent="0.25">
      <c r="A163" s="4" t="s">
        <v>453</v>
      </c>
      <c r="B163" s="4" t="s">
        <v>27</v>
      </c>
      <c r="C163" s="4" t="s">
        <v>142</v>
      </c>
      <c r="D163">
        <v>30</v>
      </c>
      <c r="E163" s="4" t="s">
        <v>165</v>
      </c>
      <c r="F163" s="4" t="s">
        <v>16</v>
      </c>
      <c r="G163" s="1">
        <v>45350</v>
      </c>
      <c r="H163" s="4" t="s">
        <v>454</v>
      </c>
      <c r="I163" s="4" t="s">
        <v>217</v>
      </c>
      <c r="J163">
        <v>-7430271692</v>
      </c>
      <c r="K163" s="4" t="s">
        <v>45</v>
      </c>
      <c r="L163" t="b">
        <v>0</v>
      </c>
    </row>
    <row r="164" spans="1:12" x14ac:dyDescent="0.25">
      <c r="A164" s="4" t="s">
        <v>455</v>
      </c>
      <c r="B164" s="4" t="s">
        <v>13</v>
      </c>
      <c r="C164" s="4" t="s">
        <v>47</v>
      </c>
      <c r="D164">
        <v>40</v>
      </c>
      <c r="E164" s="4" t="s">
        <v>81</v>
      </c>
      <c r="F164" s="4" t="s">
        <v>30</v>
      </c>
      <c r="G164" s="1">
        <v>45046</v>
      </c>
      <c r="H164" s="4" t="s">
        <v>456</v>
      </c>
      <c r="I164" s="4" t="s">
        <v>180</v>
      </c>
      <c r="J164">
        <v>-8597779013</v>
      </c>
      <c r="K164" s="4" t="s">
        <v>45</v>
      </c>
      <c r="L164" t="b">
        <v>1</v>
      </c>
    </row>
    <row r="165" spans="1:12" x14ac:dyDescent="0.25">
      <c r="A165" s="4" t="s">
        <v>457</v>
      </c>
      <c r="B165" s="4" t="s">
        <v>27</v>
      </c>
      <c r="C165" s="4" t="s">
        <v>21</v>
      </c>
      <c r="E165" s="4" t="s">
        <v>251</v>
      </c>
      <c r="F165" s="4" t="s">
        <v>30</v>
      </c>
      <c r="G165" s="1">
        <v>43894</v>
      </c>
      <c r="H165" s="4" t="s">
        <v>458</v>
      </c>
      <c r="I165" s="4" t="s">
        <v>93</v>
      </c>
      <c r="J165">
        <v>-7546926328</v>
      </c>
      <c r="K165" s="4" t="s">
        <v>45</v>
      </c>
      <c r="L165" t="b">
        <v>1</v>
      </c>
    </row>
    <row r="166" spans="1:12" x14ac:dyDescent="0.25">
      <c r="A166" s="4" t="s">
        <v>459</v>
      </c>
      <c r="B166" s="4" t="s">
        <v>80</v>
      </c>
      <c r="C166" s="4" t="s">
        <v>62</v>
      </c>
      <c r="D166">
        <v>40</v>
      </c>
      <c r="E166" s="4" t="s">
        <v>278</v>
      </c>
      <c r="F166" s="4" t="s">
        <v>36</v>
      </c>
      <c r="G166" s="1">
        <v>45289</v>
      </c>
      <c r="H166" s="4" t="s">
        <v>460</v>
      </c>
      <c r="I166" s="4" t="s">
        <v>150</v>
      </c>
      <c r="J166">
        <v>-6762916031</v>
      </c>
      <c r="K166" s="4" t="s">
        <v>45</v>
      </c>
      <c r="L166" t="b">
        <v>1</v>
      </c>
    </row>
    <row r="167" spans="1:12" x14ac:dyDescent="0.25">
      <c r="A167" s="4" t="s">
        <v>461</v>
      </c>
      <c r="B167" s="4" t="s">
        <v>13</v>
      </c>
      <c r="C167" s="4" t="s">
        <v>142</v>
      </c>
      <c r="D167">
        <v>35</v>
      </c>
      <c r="E167" s="4" t="s">
        <v>126</v>
      </c>
      <c r="F167" s="4" t="s">
        <v>16</v>
      </c>
      <c r="G167" s="1">
        <v>44089</v>
      </c>
      <c r="H167" s="4" t="s">
        <v>462</v>
      </c>
      <c r="I167" s="4" t="s">
        <v>144</v>
      </c>
      <c r="J167">
        <v>-4841376814</v>
      </c>
      <c r="K167" s="4" t="s">
        <v>45</v>
      </c>
      <c r="L167" t="b">
        <v>1</v>
      </c>
    </row>
    <row r="168" spans="1:12" x14ac:dyDescent="0.25">
      <c r="A168" s="4" t="s">
        <v>463</v>
      </c>
      <c r="B168" s="4" t="s">
        <v>40</v>
      </c>
      <c r="C168" s="4" t="s">
        <v>47</v>
      </c>
      <c r="D168">
        <v>40</v>
      </c>
      <c r="E168" s="4" t="s">
        <v>113</v>
      </c>
      <c r="F168" s="4" t="s">
        <v>36</v>
      </c>
      <c r="G168" s="1">
        <v>44760</v>
      </c>
      <c r="H168" s="4" t="s">
        <v>464</v>
      </c>
      <c r="I168" s="4" t="s">
        <v>214</v>
      </c>
      <c r="J168">
        <v>-1185672437</v>
      </c>
      <c r="K168" s="4" t="s">
        <v>45</v>
      </c>
      <c r="L168" t="b">
        <v>1</v>
      </c>
    </row>
    <row r="169" spans="1:12" x14ac:dyDescent="0.25">
      <c r="A169" s="4" t="s">
        <v>465</v>
      </c>
      <c r="B169" s="4" t="s">
        <v>13</v>
      </c>
      <c r="C169" s="4" t="s">
        <v>14</v>
      </c>
      <c r="E169" s="4" t="s">
        <v>63</v>
      </c>
      <c r="F169" s="4" t="s">
        <v>36</v>
      </c>
      <c r="G169" s="1">
        <v>44755</v>
      </c>
      <c r="H169" s="4" t="s">
        <v>466</v>
      </c>
      <c r="I169" s="4" t="s">
        <v>18</v>
      </c>
      <c r="J169">
        <v>-701765635</v>
      </c>
      <c r="K169" s="4" t="s">
        <v>25</v>
      </c>
      <c r="L169" t="b">
        <v>0</v>
      </c>
    </row>
    <row r="170" spans="1:12" x14ac:dyDescent="0.25">
      <c r="A170" s="4" t="s">
        <v>467</v>
      </c>
      <c r="B170" s="4" t="s">
        <v>75</v>
      </c>
      <c r="C170" s="4" t="s">
        <v>14</v>
      </c>
      <c r="D170">
        <v>40</v>
      </c>
      <c r="E170" s="4" t="s">
        <v>116</v>
      </c>
      <c r="F170" s="4" t="s">
        <v>16</v>
      </c>
      <c r="G170" s="1">
        <v>44471</v>
      </c>
      <c r="H170" s="4" t="s">
        <v>468</v>
      </c>
      <c r="I170" s="4" t="s">
        <v>469</v>
      </c>
      <c r="J170">
        <v>-41257770</v>
      </c>
      <c r="K170" s="4" t="s">
        <v>19</v>
      </c>
      <c r="L170" t="b">
        <v>0</v>
      </c>
    </row>
    <row r="171" spans="1:12" x14ac:dyDescent="0.25">
      <c r="A171" s="4" t="s">
        <v>470</v>
      </c>
      <c r="B171" s="4" t="s">
        <v>40</v>
      </c>
      <c r="C171" s="4" t="s">
        <v>106</v>
      </c>
      <c r="D171">
        <v>30</v>
      </c>
      <c r="E171" s="4" t="s">
        <v>270</v>
      </c>
      <c r="F171" s="4" t="s">
        <v>16</v>
      </c>
      <c r="G171" s="1">
        <v>44017</v>
      </c>
      <c r="H171" s="4" t="s">
        <v>471</v>
      </c>
      <c r="I171" s="4" t="s">
        <v>128</v>
      </c>
      <c r="J171">
        <v>-1837274219</v>
      </c>
      <c r="K171" s="4" t="s">
        <v>45</v>
      </c>
      <c r="L171" t="b">
        <v>1</v>
      </c>
    </row>
    <row r="172" spans="1:12" x14ac:dyDescent="0.25">
      <c r="A172" s="4" t="s">
        <v>472</v>
      </c>
      <c r="B172" s="4" t="s">
        <v>13</v>
      </c>
      <c r="C172" s="4" t="s">
        <v>47</v>
      </c>
      <c r="D172">
        <v>35</v>
      </c>
      <c r="E172" s="4" t="s">
        <v>102</v>
      </c>
      <c r="F172" s="4" t="s">
        <v>16</v>
      </c>
      <c r="G172" s="1">
        <v>45032</v>
      </c>
      <c r="H172" s="4" t="s">
        <v>473</v>
      </c>
      <c r="I172" s="4" t="s">
        <v>180</v>
      </c>
      <c r="J172">
        <v>-9124186209</v>
      </c>
      <c r="K172" s="4" t="s">
        <v>19</v>
      </c>
      <c r="L172" t="b">
        <v>1</v>
      </c>
    </row>
    <row r="173" spans="1:12" x14ac:dyDescent="0.25">
      <c r="A173" s="4" t="s">
        <v>474</v>
      </c>
      <c r="B173" s="4" t="s">
        <v>13</v>
      </c>
      <c r="C173" s="4" t="s">
        <v>28</v>
      </c>
      <c r="D173">
        <v>40</v>
      </c>
      <c r="E173" s="4" t="s">
        <v>175</v>
      </c>
      <c r="F173" s="4" t="s">
        <v>36</v>
      </c>
      <c r="G173" s="1">
        <v>45608</v>
      </c>
      <c r="H173" s="4" t="s">
        <v>475</v>
      </c>
      <c r="I173" s="4" t="s">
        <v>56</v>
      </c>
      <c r="J173">
        <v>-4275230836</v>
      </c>
      <c r="K173" s="4" t="s">
        <v>19</v>
      </c>
      <c r="L173" t="b">
        <v>1</v>
      </c>
    </row>
    <row r="174" spans="1:12" x14ac:dyDescent="0.25">
      <c r="A174" s="4" t="s">
        <v>476</v>
      </c>
      <c r="B174" s="4" t="s">
        <v>35</v>
      </c>
      <c r="C174" s="4" t="s">
        <v>41</v>
      </c>
      <c r="E174" s="4" t="s">
        <v>172</v>
      </c>
      <c r="F174" s="4" t="s">
        <v>16</v>
      </c>
      <c r="G174" s="1">
        <v>45014</v>
      </c>
      <c r="H174" s="4" t="s">
        <v>477</v>
      </c>
      <c r="I174" s="4" t="s">
        <v>167</v>
      </c>
      <c r="J174">
        <v>-816470899</v>
      </c>
      <c r="K174" s="4" t="s">
        <v>25</v>
      </c>
      <c r="L174" t="b">
        <v>0</v>
      </c>
    </row>
    <row r="175" spans="1:12" x14ac:dyDescent="0.25">
      <c r="A175" s="4" t="s">
        <v>478</v>
      </c>
      <c r="B175" s="4" t="s">
        <v>75</v>
      </c>
      <c r="C175" s="4" t="s">
        <v>21</v>
      </c>
      <c r="D175">
        <v>30</v>
      </c>
      <c r="E175" s="4" t="s">
        <v>312</v>
      </c>
      <c r="F175" s="4" t="s">
        <v>30</v>
      </c>
      <c r="G175" s="1">
        <v>44583</v>
      </c>
      <c r="H175" s="4" t="s">
        <v>479</v>
      </c>
      <c r="I175" s="4" t="s">
        <v>480</v>
      </c>
      <c r="J175">
        <v>-6335331059</v>
      </c>
      <c r="K175" s="4" t="s">
        <v>45</v>
      </c>
      <c r="L175" t="b">
        <v>1</v>
      </c>
    </row>
    <row r="176" spans="1:12" x14ac:dyDescent="0.25">
      <c r="A176" s="4" t="s">
        <v>481</v>
      </c>
      <c r="B176" s="4" t="s">
        <v>67</v>
      </c>
      <c r="C176" s="4" t="s">
        <v>47</v>
      </c>
      <c r="D176">
        <v>40</v>
      </c>
      <c r="E176" s="4" t="s">
        <v>113</v>
      </c>
      <c r="F176" s="4" t="s">
        <v>30</v>
      </c>
      <c r="G176" s="1">
        <v>45213</v>
      </c>
      <c r="H176" s="4" t="s">
        <v>482</v>
      </c>
      <c r="I176" s="4" t="s">
        <v>118</v>
      </c>
      <c r="J176">
        <v>-531312205</v>
      </c>
      <c r="K176" s="4" t="s">
        <v>33</v>
      </c>
      <c r="L176" t="b">
        <v>0</v>
      </c>
    </row>
    <row r="177" spans="1:12" x14ac:dyDescent="0.25">
      <c r="A177" s="4" t="s">
        <v>483</v>
      </c>
      <c r="B177" s="4" t="s">
        <v>35</v>
      </c>
      <c r="C177" s="4" t="s">
        <v>106</v>
      </c>
      <c r="D177">
        <v>25</v>
      </c>
      <c r="E177" s="4" t="s">
        <v>138</v>
      </c>
      <c r="F177" s="4" t="s">
        <v>30</v>
      </c>
      <c r="G177" s="1">
        <v>45392</v>
      </c>
      <c r="H177" s="4" t="s">
        <v>484</v>
      </c>
      <c r="I177" s="4" t="s">
        <v>307</v>
      </c>
      <c r="J177">
        <v>-8155839385</v>
      </c>
      <c r="K177" s="4" t="s">
        <v>25</v>
      </c>
      <c r="L177" t="b">
        <v>0</v>
      </c>
    </row>
    <row r="178" spans="1:12" x14ac:dyDescent="0.25">
      <c r="A178" s="4" t="s">
        <v>485</v>
      </c>
      <c r="B178" s="4" t="s">
        <v>27</v>
      </c>
      <c r="C178" s="4" t="s">
        <v>41</v>
      </c>
      <c r="D178">
        <v>30</v>
      </c>
      <c r="E178" s="4" t="s">
        <v>102</v>
      </c>
      <c r="F178" s="4" t="s">
        <v>30</v>
      </c>
      <c r="G178" s="1">
        <v>44651</v>
      </c>
      <c r="H178" s="4" t="s">
        <v>486</v>
      </c>
      <c r="I178" s="4" t="s">
        <v>431</v>
      </c>
      <c r="J178">
        <v>-6133155205</v>
      </c>
      <c r="K178" s="4" t="s">
        <v>33</v>
      </c>
      <c r="L178" t="b">
        <v>0</v>
      </c>
    </row>
    <row r="179" spans="1:12" x14ac:dyDescent="0.25">
      <c r="A179" s="4" t="s">
        <v>487</v>
      </c>
      <c r="B179" s="4" t="s">
        <v>27</v>
      </c>
      <c r="C179" s="4" t="s">
        <v>41</v>
      </c>
      <c r="D179">
        <v>25</v>
      </c>
      <c r="E179" s="4" t="s">
        <v>91</v>
      </c>
      <c r="F179" s="4" t="s">
        <v>16</v>
      </c>
      <c r="G179" s="1">
        <v>44601</v>
      </c>
      <c r="H179" s="4" t="s">
        <v>488</v>
      </c>
      <c r="I179" s="4" t="s">
        <v>431</v>
      </c>
      <c r="J179">
        <v>-5063731494</v>
      </c>
      <c r="K179" s="4" t="s">
        <v>19</v>
      </c>
      <c r="L179" t="b">
        <v>1</v>
      </c>
    </row>
    <row r="180" spans="1:12" x14ac:dyDescent="0.25">
      <c r="A180" s="4" t="s">
        <v>489</v>
      </c>
      <c r="B180" s="4" t="s">
        <v>40</v>
      </c>
      <c r="C180" s="4" t="s">
        <v>142</v>
      </c>
      <c r="D180">
        <v>35</v>
      </c>
      <c r="E180" s="4" t="s">
        <v>15</v>
      </c>
      <c r="F180" s="4" t="s">
        <v>30</v>
      </c>
      <c r="G180" s="1">
        <v>45052</v>
      </c>
      <c r="H180" s="4" t="s">
        <v>490</v>
      </c>
      <c r="I180" s="4" t="s">
        <v>163</v>
      </c>
      <c r="J180">
        <v>-136497188</v>
      </c>
      <c r="K180" s="4" t="s">
        <v>19</v>
      </c>
      <c r="L180" t="b">
        <v>0</v>
      </c>
    </row>
    <row r="181" spans="1:12" x14ac:dyDescent="0.25">
      <c r="A181" s="4" t="s">
        <v>491</v>
      </c>
      <c r="B181" s="4" t="s">
        <v>61</v>
      </c>
      <c r="C181" s="4" t="s">
        <v>41</v>
      </c>
      <c r="E181" s="4" t="s">
        <v>98</v>
      </c>
      <c r="F181" s="4" t="s">
        <v>16</v>
      </c>
      <c r="G181" s="1">
        <v>44388</v>
      </c>
      <c r="H181" s="4" t="s">
        <v>492</v>
      </c>
      <c r="I181" s="4" t="s">
        <v>104</v>
      </c>
      <c r="J181">
        <v>-2419562524</v>
      </c>
      <c r="K181" s="4" t="s">
        <v>25</v>
      </c>
      <c r="L181" t="b">
        <v>1</v>
      </c>
    </row>
    <row r="182" spans="1:12" x14ac:dyDescent="0.25">
      <c r="A182" s="4" t="s">
        <v>493</v>
      </c>
      <c r="B182" s="4" t="s">
        <v>75</v>
      </c>
      <c r="C182" s="4" t="s">
        <v>28</v>
      </c>
      <c r="D182">
        <v>40</v>
      </c>
      <c r="E182" s="4" t="s">
        <v>76</v>
      </c>
      <c r="F182" s="4" t="s">
        <v>30</v>
      </c>
      <c r="G182" s="1">
        <v>44064</v>
      </c>
      <c r="H182" s="4" t="s">
        <v>494</v>
      </c>
      <c r="I182" s="4" t="s">
        <v>375</v>
      </c>
      <c r="J182">
        <v>-7150997682</v>
      </c>
      <c r="K182" s="4" t="s">
        <v>25</v>
      </c>
      <c r="L182" t="b">
        <v>0</v>
      </c>
    </row>
    <row r="183" spans="1:12" x14ac:dyDescent="0.25">
      <c r="A183" s="4" t="s">
        <v>495</v>
      </c>
      <c r="B183" s="4" t="s">
        <v>75</v>
      </c>
      <c r="C183" s="4" t="s">
        <v>14</v>
      </c>
      <c r="E183" s="4" t="s">
        <v>15</v>
      </c>
      <c r="F183" s="4" t="s">
        <v>16</v>
      </c>
      <c r="G183" s="1">
        <v>44282</v>
      </c>
      <c r="H183" s="4" t="s">
        <v>496</v>
      </c>
      <c r="I183" s="4" t="s">
        <v>469</v>
      </c>
      <c r="J183">
        <v>-8903091435</v>
      </c>
      <c r="K183" s="4" t="s">
        <v>33</v>
      </c>
      <c r="L183" t="b">
        <v>1</v>
      </c>
    </row>
    <row r="184" spans="1:12" x14ac:dyDescent="0.25">
      <c r="A184" s="4" t="s">
        <v>497</v>
      </c>
      <c r="B184" s="4" t="s">
        <v>27</v>
      </c>
      <c r="C184" s="4" t="s">
        <v>106</v>
      </c>
      <c r="D184">
        <v>30</v>
      </c>
      <c r="E184" s="4" t="s">
        <v>76</v>
      </c>
      <c r="F184" s="4" t="s">
        <v>16</v>
      </c>
      <c r="G184" s="1">
        <v>45396</v>
      </c>
      <c r="H184" s="4" t="s">
        <v>498</v>
      </c>
      <c r="I184" s="4" t="s">
        <v>194</v>
      </c>
      <c r="J184">
        <v>-3910257431</v>
      </c>
      <c r="K184" s="4" t="s">
        <v>45</v>
      </c>
      <c r="L184" t="b">
        <v>0</v>
      </c>
    </row>
    <row r="185" spans="1:12" x14ac:dyDescent="0.25">
      <c r="A185" s="4" t="s">
        <v>499</v>
      </c>
      <c r="B185" s="4" t="s">
        <v>27</v>
      </c>
      <c r="C185" s="4" t="s">
        <v>41</v>
      </c>
      <c r="D185">
        <v>40</v>
      </c>
      <c r="E185" s="4" t="s">
        <v>270</v>
      </c>
      <c r="F185" s="4" t="s">
        <v>16</v>
      </c>
      <c r="G185" s="1">
        <v>44095</v>
      </c>
      <c r="H185" s="4" t="s">
        <v>500</v>
      </c>
      <c r="I185" s="4" t="s">
        <v>431</v>
      </c>
      <c r="J185">
        <v>-6303975244</v>
      </c>
      <c r="K185" s="4" t="s">
        <v>33</v>
      </c>
      <c r="L185" t="b">
        <v>1</v>
      </c>
    </row>
    <row r="186" spans="1:12" x14ac:dyDescent="0.25">
      <c r="A186" s="4" t="s">
        <v>501</v>
      </c>
      <c r="B186" s="4" t="s">
        <v>40</v>
      </c>
      <c r="C186" s="4" t="s">
        <v>142</v>
      </c>
      <c r="D186">
        <v>25</v>
      </c>
      <c r="E186" s="4" t="s">
        <v>116</v>
      </c>
      <c r="F186" s="4" t="s">
        <v>16</v>
      </c>
      <c r="G186" s="1">
        <v>44724</v>
      </c>
      <c r="H186" s="4" t="s">
        <v>502</v>
      </c>
      <c r="I186" s="4" t="s">
        <v>163</v>
      </c>
      <c r="J186">
        <v>-864035532</v>
      </c>
      <c r="K186" s="4" t="s">
        <v>25</v>
      </c>
      <c r="L186" t="b">
        <v>0</v>
      </c>
    </row>
    <row r="187" spans="1:12" x14ac:dyDescent="0.25">
      <c r="A187" s="4" t="s">
        <v>503</v>
      </c>
      <c r="B187" s="4" t="s">
        <v>40</v>
      </c>
      <c r="C187" s="4" t="s">
        <v>28</v>
      </c>
      <c r="E187" s="4" t="s">
        <v>309</v>
      </c>
      <c r="F187" s="4" t="s">
        <v>36</v>
      </c>
      <c r="G187" s="1">
        <v>45284</v>
      </c>
      <c r="H187" s="4" t="s">
        <v>504</v>
      </c>
      <c r="I187" s="4" t="s">
        <v>53</v>
      </c>
      <c r="J187">
        <v>-8033968526</v>
      </c>
      <c r="K187" s="4" t="s">
        <v>33</v>
      </c>
      <c r="L187" t="b">
        <v>1</v>
      </c>
    </row>
    <row r="188" spans="1:12" x14ac:dyDescent="0.25">
      <c r="A188" s="4" t="s">
        <v>505</v>
      </c>
      <c r="B188" s="4" t="s">
        <v>80</v>
      </c>
      <c r="C188" s="4" t="s">
        <v>62</v>
      </c>
      <c r="D188">
        <v>25</v>
      </c>
      <c r="E188" s="4" t="s">
        <v>76</v>
      </c>
      <c r="F188" s="4" t="s">
        <v>30</v>
      </c>
      <c r="G188" s="1">
        <v>44773</v>
      </c>
      <c r="H188" s="4" t="s">
        <v>506</v>
      </c>
      <c r="I188" s="4" t="s">
        <v>150</v>
      </c>
      <c r="J188">
        <v>-171302320</v>
      </c>
      <c r="K188" s="4" t="s">
        <v>25</v>
      </c>
      <c r="L188" t="b">
        <v>1</v>
      </c>
    </row>
    <row r="189" spans="1:12" x14ac:dyDescent="0.25">
      <c r="A189" s="4" t="s">
        <v>507</v>
      </c>
      <c r="B189" s="4" t="s">
        <v>13</v>
      </c>
      <c r="C189" s="4" t="s">
        <v>14</v>
      </c>
      <c r="D189">
        <v>40</v>
      </c>
      <c r="E189" s="4" t="s">
        <v>68</v>
      </c>
      <c r="F189" s="4" t="s">
        <v>36</v>
      </c>
      <c r="G189" s="1">
        <v>45037</v>
      </c>
      <c r="H189" s="4" t="s">
        <v>508</v>
      </c>
      <c r="I189" s="4" t="s">
        <v>18</v>
      </c>
      <c r="J189">
        <v>-2983381673</v>
      </c>
      <c r="K189" s="4" t="s">
        <v>33</v>
      </c>
      <c r="L189" t="b">
        <v>1</v>
      </c>
    </row>
    <row r="190" spans="1:12" x14ac:dyDescent="0.25">
      <c r="A190" s="4" t="s">
        <v>509</v>
      </c>
      <c r="B190" s="4" t="s">
        <v>35</v>
      </c>
      <c r="C190" s="4" t="s">
        <v>14</v>
      </c>
      <c r="D190">
        <v>35</v>
      </c>
      <c r="E190" s="4" t="s">
        <v>138</v>
      </c>
      <c r="F190" s="4" t="s">
        <v>16</v>
      </c>
      <c r="G190" s="1">
        <v>43987</v>
      </c>
      <c r="H190" s="4" t="s">
        <v>510</v>
      </c>
      <c r="I190" s="4" t="s">
        <v>38</v>
      </c>
      <c r="J190">
        <v>-2336293448</v>
      </c>
      <c r="K190" s="4" t="s">
        <v>25</v>
      </c>
      <c r="L190" t="b">
        <v>1</v>
      </c>
    </row>
    <row r="191" spans="1:12" x14ac:dyDescent="0.25">
      <c r="A191" s="4" t="s">
        <v>511</v>
      </c>
      <c r="B191" s="4" t="s">
        <v>67</v>
      </c>
      <c r="C191" s="4" t="s">
        <v>106</v>
      </c>
      <c r="D191">
        <v>35</v>
      </c>
      <c r="E191" s="4" t="s">
        <v>175</v>
      </c>
      <c r="F191" s="4" t="s">
        <v>30</v>
      </c>
      <c r="G191" s="1">
        <v>45500</v>
      </c>
      <c r="H191" s="4" t="s">
        <v>512</v>
      </c>
      <c r="I191" s="4" t="s">
        <v>124</v>
      </c>
      <c r="J191">
        <v>-7347156626</v>
      </c>
      <c r="K191" s="4" t="s">
        <v>25</v>
      </c>
      <c r="L191" t="b">
        <v>0</v>
      </c>
    </row>
    <row r="192" spans="1:12" x14ac:dyDescent="0.25">
      <c r="A192" s="4" t="s">
        <v>513</v>
      </c>
      <c r="B192" s="4" t="s">
        <v>35</v>
      </c>
      <c r="C192" s="4" t="s">
        <v>14</v>
      </c>
      <c r="D192">
        <v>30</v>
      </c>
      <c r="E192" s="4" t="s">
        <v>102</v>
      </c>
      <c r="F192" s="4" t="s">
        <v>16</v>
      </c>
      <c r="G192" s="1">
        <v>45387</v>
      </c>
      <c r="H192" s="4" t="s">
        <v>514</v>
      </c>
      <c r="I192" s="4" t="s">
        <v>38</v>
      </c>
      <c r="J192">
        <v>-7689627065</v>
      </c>
      <c r="K192" s="4" t="s">
        <v>25</v>
      </c>
      <c r="L192" t="b">
        <v>0</v>
      </c>
    </row>
    <row r="193" spans="1:12" x14ac:dyDescent="0.25">
      <c r="A193" s="4" t="s">
        <v>515</v>
      </c>
      <c r="B193" s="4" t="s">
        <v>75</v>
      </c>
      <c r="C193" s="4" t="s">
        <v>41</v>
      </c>
      <c r="D193">
        <v>40</v>
      </c>
      <c r="E193" s="4" t="s">
        <v>113</v>
      </c>
      <c r="F193" s="4" t="s">
        <v>36</v>
      </c>
      <c r="G193" s="1">
        <v>45225</v>
      </c>
      <c r="H193" s="4" t="s">
        <v>516</v>
      </c>
      <c r="I193" s="4" t="s">
        <v>78</v>
      </c>
      <c r="J193">
        <v>-1498282466</v>
      </c>
      <c r="K193" s="4" t="s">
        <v>45</v>
      </c>
      <c r="L193" t="b">
        <v>1</v>
      </c>
    </row>
    <row r="194" spans="1:12" x14ac:dyDescent="0.25">
      <c r="A194" s="4" t="s">
        <v>517</v>
      </c>
      <c r="B194" s="4" t="s">
        <v>40</v>
      </c>
      <c r="C194" s="4" t="s">
        <v>142</v>
      </c>
      <c r="D194">
        <v>35</v>
      </c>
      <c r="E194" s="4" t="s">
        <v>244</v>
      </c>
      <c r="F194" s="4" t="s">
        <v>16</v>
      </c>
      <c r="G194" s="1">
        <v>44791</v>
      </c>
      <c r="H194" s="4" t="s">
        <v>518</v>
      </c>
      <c r="I194" s="4" t="s">
        <v>163</v>
      </c>
      <c r="J194">
        <v>-4746897151</v>
      </c>
      <c r="K194" s="4" t="s">
        <v>33</v>
      </c>
      <c r="L194" t="b">
        <v>0</v>
      </c>
    </row>
    <row r="195" spans="1:12" x14ac:dyDescent="0.25">
      <c r="A195" s="4" t="s">
        <v>519</v>
      </c>
      <c r="B195" s="4" t="s">
        <v>35</v>
      </c>
      <c r="C195" s="4" t="s">
        <v>14</v>
      </c>
      <c r="E195" s="4" t="s">
        <v>312</v>
      </c>
      <c r="F195" s="4" t="s">
        <v>30</v>
      </c>
      <c r="G195" s="1">
        <v>43982</v>
      </c>
      <c r="H195" s="4" t="s">
        <v>520</v>
      </c>
      <c r="I195" s="4" t="s">
        <v>38</v>
      </c>
      <c r="J195">
        <v>-7323008575</v>
      </c>
      <c r="K195" s="4" t="s">
        <v>33</v>
      </c>
      <c r="L195" t="b">
        <v>1</v>
      </c>
    </row>
    <row r="196" spans="1:12" x14ac:dyDescent="0.25">
      <c r="A196" s="4" t="s">
        <v>521</v>
      </c>
      <c r="B196" s="4" t="s">
        <v>27</v>
      </c>
      <c r="C196" s="4" t="s">
        <v>14</v>
      </c>
      <c r="D196">
        <v>35</v>
      </c>
      <c r="E196" s="4" t="s">
        <v>165</v>
      </c>
      <c r="F196" s="4" t="s">
        <v>30</v>
      </c>
      <c r="G196" s="1">
        <v>45600</v>
      </c>
      <c r="H196" s="4" t="s">
        <v>522</v>
      </c>
      <c r="I196" s="4" t="s">
        <v>191</v>
      </c>
      <c r="J196">
        <v>-6656749159</v>
      </c>
      <c r="K196" s="4" t="s">
        <v>33</v>
      </c>
      <c r="L196" t="b">
        <v>1</v>
      </c>
    </row>
    <row r="197" spans="1:12" x14ac:dyDescent="0.25">
      <c r="A197" s="4" t="s">
        <v>523</v>
      </c>
      <c r="B197" s="4" t="s">
        <v>80</v>
      </c>
      <c r="C197" s="4" t="s">
        <v>62</v>
      </c>
      <c r="D197">
        <v>40</v>
      </c>
      <c r="E197" s="4" t="s">
        <v>113</v>
      </c>
      <c r="F197" s="4" t="s">
        <v>30</v>
      </c>
      <c r="G197" s="1">
        <v>43915</v>
      </c>
      <c r="H197" s="4" t="s">
        <v>524</v>
      </c>
      <c r="I197" s="4" t="s">
        <v>150</v>
      </c>
      <c r="J197">
        <v>-1692364586</v>
      </c>
      <c r="K197" s="4" t="s">
        <v>25</v>
      </c>
      <c r="L197" t="b">
        <v>0</v>
      </c>
    </row>
    <row r="198" spans="1:12" x14ac:dyDescent="0.25">
      <c r="A198" s="4" t="s">
        <v>525</v>
      </c>
      <c r="B198" s="4" t="s">
        <v>67</v>
      </c>
      <c r="C198" s="4" t="s">
        <v>62</v>
      </c>
      <c r="D198">
        <v>35</v>
      </c>
      <c r="E198" s="4" t="s">
        <v>87</v>
      </c>
      <c r="F198" s="4" t="s">
        <v>30</v>
      </c>
      <c r="G198" s="1">
        <v>44139</v>
      </c>
      <c r="H198" s="4" t="s">
        <v>526</v>
      </c>
      <c r="I198" s="4" t="s">
        <v>257</v>
      </c>
      <c r="J198">
        <v>-5066337049</v>
      </c>
      <c r="K198" s="4" t="s">
        <v>33</v>
      </c>
      <c r="L198" t="b">
        <v>1</v>
      </c>
    </row>
    <row r="199" spans="1:12" x14ac:dyDescent="0.25">
      <c r="A199" s="4" t="s">
        <v>527</v>
      </c>
      <c r="B199" s="4" t="s">
        <v>40</v>
      </c>
      <c r="C199" s="4" t="s">
        <v>21</v>
      </c>
      <c r="D199">
        <v>25</v>
      </c>
      <c r="E199" s="4" t="s">
        <v>259</v>
      </c>
      <c r="F199" s="4" t="s">
        <v>16</v>
      </c>
      <c r="G199" s="1">
        <v>43911</v>
      </c>
      <c r="H199" s="4" t="s">
        <v>528</v>
      </c>
      <c r="I199" s="4" t="s">
        <v>280</v>
      </c>
      <c r="J199">
        <v>-2497243991</v>
      </c>
      <c r="K199" s="4" t="s">
        <v>33</v>
      </c>
      <c r="L199" t="b">
        <v>1</v>
      </c>
    </row>
    <row r="200" spans="1:12" x14ac:dyDescent="0.25">
      <c r="A200" s="4" t="s">
        <v>529</v>
      </c>
      <c r="B200" s="4" t="s">
        <v>75</v>
      </c>
      <c r="C200" s="4" t="s">
        <v>28</v>
      </c>
      <c r="E200" s="4" t="s">
        <v>113</v>
      </c>
      <c r="F200" s="4" t="s">
        <v>16</v>
      </c>
      <c r="G200" s="1">
        <v>44576</v>
      </c>
      <c r="H200" s="4" t="s">
        <v>530</v>
      </c>
      <c r="I200" s="4" t="s">
        <v>375</v>
      </c>
      <c r="J200">
        <v>-116691835</v>
      </c>
      <c r="K200" s="4" t="s">
        <v>25</v>
      </c>
      <c r="L200" t="b">
        <v>0</v>
      </c>
    </row>
    <row r="201" spans="1:12" x14ac:dyDescent="0.25">
      <c r="A201" s="4" t="s">
        <v>531</v>
      </c>
      <c r="B201" s="4" t="s">
        <v>80</v>
      </c>
      <c r="C201" s="4" t="s">
        <v>41</v>
      </c>
      <c r="D201">
        <v>35</v>
      </c>
      <c r="E201" s="4" t="s">
        <v>91</v>
      </c>
      <c r="F201" s="4" t="s">
        <v>16</v>
      </c>
      <c r="G201" s="1">
        <v>45447</v>
      </c>
      <c r="H201" s="4" t="s">
        <v>532</v>
      </c>
      <c r="I201" s="4" t="s">
        <v>83</v>
      </c>
      <c r="J201">
        <v>-2644886945</v>
      </c>
      <c r="K201" s="4" t="s">
        <v>19</v>
      </c>
      <c r="L201" t="b">
        <v>1</v>
      </c>
    </row>
    <row r="202" spans="1:12" x14ac:dyDescent="0.25">
      <c r="A202" s="4" t="s">
        <v>533</v>
      </c>
      <c r="B202" s="4" t="s">
        <v>40</v>
      </c>
      <c r="C202" s="4" t="s">
        <v>14</v>
      </c>
      <c r="D202">
        <v>25</v>
      </c>
      <c r="E202" s="4" t="s">
        <v>259</v>
      </c>
      <c r="F202" s="4" t="s">
        <v>36</v>
      </c>
      <c r="G202" s="1">
        <v>44412</v>
      </c>
      <c r="H202" s="4" t="s">
        <v>534</v>
      </c>
      <c r="I202" s="4" t="s">
        <v>59</v>
      </c>
      <c r="J202">
        <v>-1195243639</v>
      </c>
      <c r="K202" s="4" t="s">
        <v>25</v>
      </c>
      <c r="L202" t="b">
        <v>1</v>
      </c>
    </row>
    <row r="203" spans="1:12" x14ac:dyDescent="0.25">
      <c r="A203" s="4" t="s">
        <v>535</v>
      </c>
      <c r="B203" s="4" t="s">
        <v>61</v>
      </c>
      <c r="C203" s="4" t="s">
        <v>47</v>
      </c>
      <c r="D203">
        <v>35</v>
      </c>
      <c r="E203" s="4" t="s">
        <v>110</v>
      </c>
      <c r="F203" s="4" t="s">
        <v>30</v>
      </c>
      <c r="G203" s="1">
        <v>44120</v>
      </c>
      <c r="H203" s="4" t="s">
        <v>536</v>
      </c>
      <c r="I203" s="4" t="s">
        <v>100</v>
      </c>
      <c r="J203">
        <v>-2701168645</v>
      </c>
      <c r="K203" s="4" t="s">
        <v>33</v>
      </c>
      <c r="L203" t="b">
        <v>1</v>
      </c>
    </row>
    <row r="204" spans="1:12" x14ac:dyDescent="0.25">
      <c r="A204" s="4" t="s">
        <v>537</v>
      </c>
      <c r="B204" s="4" t="s">
        <v>80</v>
      </c>
      <c r="C204" s="4" t="s">
        <v>14</v>
      </c>
      <c r="D204">
        <v>30</v>
      </c>
      <c r="E204" s="4" t="s">
        <v>259</v>
      </c>
      <c r="F204" s="4" t="s">
        <v>16</v>
      </c>
      <c r="G204" s="1">
        <v>44465</v>
      </c>
      <c r="H204" s="4" t="s">
        <v>538</v>
      </c>
      <c r="I204" s="4" t="s">
        <v>276</v>
      </c>
      <c r="J204">
        <v>-2252237280</v>
      </c>
      <c r="K204" s="4" t="s">
        <v>25</v>
      </c>
      <c r="L204" t="b">
        <v>1</v>
      </c>
    </row>
    <row r="205" spans="1:12" x14ac:dyDescent="0.25">
      <c r="A205" s="4" t="s">
        <v>539</v>
      </c>
      <c r="B205" s="4" t="s">
        <v>40</v>
      </c>
      <c r="C205" s="4" t="s">
        <v>142</v>
      </c>
      <c r="D205">
        <v>30</v>
      </c>
      <c r="E205" s="4" t="s">
        <v>386</v>
      </c>
      <c r="F205" s="4" t="s">
        <v>30</v>
      </c>
      <c r="G205" s="1">
        <v>45234</v>
      </c>
      <c r="H205" s="4" t="s">
        <v>540</v>
      </c>
      <c r="I205" s="4" t="s">
        <v>163</v>
      </c>
      <c r="J205">
        <v>-7932302345</v>
      </c>
      <c r="K205" s="4" t="s">
        <v>19</v>
      </c>
      <c r="L205" t="b">
        <v>0</v>
      </c>
    </row>
    <row r="206" spans="1:12" x14ac:dyDescent="0.25">
      <c r="A206" s="4" t="s">
        <v>541</v>
      </c>
      <c r="B206" s="4" t="s">
        <v>80</v>
      </c>
      <c r="C206" s="4" t="s">
        <v>21</v>
      </c>
      <c r="E206" s="4" t="s">
        <v>165</v>
      </c>
      <c r="F206" s="4" t="s">
        <v>36</v>
      </c>
      <c r="G206" s="1">
        <v>44463</v>
      </c>
      <c r="H206" s="4" t="s">
        <v>542</v>
      </c>
      <c r="I206" s="4" t="s">
        <v>240</v>
      </c>
      <c r="J206">
        <v>-7912141613</v>
      </c>
      <c r="K206" s="4" t="s">
        <v>25</v>
      </c>
      <c r="L206" t="b">
        <v>0</v>
      </c>
    </row>
    <row r="207" spans="1:12" x14ac:dyDescent="0.25">
      <c r="A207" s="4" t="s">
        <v>543</v>
      </c>
      <c r="B207" s="4" t="s">
        <v>75</v>
      </c>
      <c r="C207" s="4" t="s">
        <v>28</v>
      </c>
      <c r="D207">
        <v>30</v>
      </c>
      <c r="E207" s="4" t="s">
        <v>233</v>
      </c>
      <c r="F207" s="4" t="s">
        <v>16</v>
      </c>
      <c r="G207" s="1">
        <v>43989</v>
      </c>
      <c r="H207" s="4" t="s">
        <v>544</v>
      </c>
      <c r="I207" s="4" t="s">
        <v>375</v>
      </c>
      <c r="J207">
        <v>-1509377099</v>
      </c>
      <c r="K207" s="4" t="s">
        <v>33</v>
      </c>
      <c r="L207" t="b">
        <v>0</v>
      </c>
    </row>
    <row r="208" spans="1:12" x14ac:dyDescent="0.25">
      <c r="A208" s="4" t="s">
        <v>545</v>
      </c>
      <c r="B208" s="4" t="s">
        <v>27</v>
      </c>
      <c r="C208" s="4" t="s">
        <v>47</v>
      </c>
      <c r="D208">
        <v>35</v>
      </c>
      <c r="E208" s="4" t="s">
        <v>126</v>
      </c>
      <c r="F208" s="4" t="s">
        <v>30</v>
      </c>
      <c r="G208" s="1">
        <v>44602</v>
      </c>
      <c r="H208" s="4" t="s">
        <v>546</v>
      </c>
      <c r="I208" s="4" t="s">
        <v>50</v>
      </c>
      <c r="J208">
        <v>-4090138068</v>
      </c>
      <c r="K208" s="4" t="s">
        <v>19</v>
      </c>
      <c r="L208" t="b">
        <v>1</v>
      </c>
    </row>
    <row r="209" spans="1:12" x14ac:dyDescent="0.25">
      <c r="A209" s="4" t="s">
        <v>547</v>
      </c>
      <c r="B209" s="4" t="s">
        <v>61</v>
      </c>
      <c r="C209" s="4" t="s">
        <v>21</v>
      </c>
      <c r="D209">
        <v>40</v>
      </c>
      <c r="E209" s="4" t="s">
        <v>42</v>
      </c>
      <c r="F209" s="4" t="s">
        <v>36</v>
      </c>
      <c r="G209" s="1">
        <v>45216</v>
      </c>
      <c r="H209" s="4" t="s">
        <v>548</v>
      </c>
      <c r="I209" s="4" t="s">
        <v>147</v>
      </c>
      <c r="J209">
        <v>-8477596554</v>
      </c>
      <c r="K209" s="4" t="s">
        <v>45</v>
      </c>
      <c r="L209" t="b">
        <v>1</v>
      </c>
    </row>
    <row r="210" spans="1:12" x14ac:dyDescent="0.25">
      <c r="A210" s="4" t="s">
        <v>549</v>
      </c>
      <c r="B210" s="4" t="s">
        <v>35</v>
      </c>
      <c r="C210" s="4" t="s">
        <v>106</v>
      </c>
      <c r="D210">
        <v>40</v>
      </c>
      <c r="E210" s="4" t="s">
        <v>102</v>
      </c>
      <c r="F210" s="4" t="s">
        <v>16</v>
      </c>
      <c r="G210" s="1">
        <v>44464</v>
      </c>
      <c r="H210" s="4" t="s">
        <v>550</v>
      </c>
      <c r="I210" s="4" t="s">
        <v>307</v>
      </c>
      <c r="J210">
        <v>-5356690550</v>
      </c>
      <c r="K210" s="4" t="s">
        <v>33</v>
      </c>
      <c r="L210" t="b">
        <v>0</v>
      </c>
    </row>
    <row r="211" spans="1:12" x14ac:dyDescent="0.25">
      <c r="A211" s="4" t="s">
        <v>551</v>
      </c>
      <c r="B211" s="4" t="s">
        <v>67</v>
      </c>
      <c r="C211" s="4" t="s">
        <v>28</v>
      </c>
      <c r="D211">
        <v>35</v>
      </c>
      <c r="E211" s="4" t="s">
        <v>91</v>
      </c>
      <c r="F211" s="4" t="s">
        <v>36</v>
      </c>
      <c r="G211" s="1">
        <v>44776</v>
      </c>
      <c r="H211" s="4" t="s">
        <v>552</v>
      </c>
      <c r="I211" s="4" t="s">
        <v>283</v>
      </c>
      <c r="J211">
        <v>-762091842</v>
      </c>
      <c r="K211" s="4" t="s">
        <v>19</v>
      </c>
      <c r="L211" t="b">
        <v>1</v>
      </c>
    </row>
    <row r="212" spans="1:12" x14ac:dyDescent="0.25">
      <c r="A212" s="4" t="s">
        <v>553</v>
      </c>
      <c r="B212" s="4" t="s">
        <v>80</v>
      </c>
      <c r="C212" s="4" t="s">
        <v>14</v>
      </c>
      <c r="D212">
        <v>30</v>
      </c>
      <c r="E212" s="4" t="s">
        <v>102</v>
      </c>
      <c r="F212" s="4" t="s">
        <v>16</v>
      </c>
      <c r="G212" s="1">
        <v>45618</v>
      </c>
      <c r="H212" s="4" t="s">
        <v>554</v>
      </c>
      <c r="I212" s="4" t="s">
        <v>276</v>
      </c>
      <c r="J212">
        <v>-5797863049</v>
      </c>
      <c r="K212" s="4" t="s">
        <v>19</v>
      </c>
      <c r="L212" t="b">
        <v>1</v>
      </c>
    </row>
    <row r="213" spans="1:12" x14ac:dyDescent="0.25">
      <c r="A213" s="4" t="s">
        <v>555</v>
      </c>
      <c r="B213" s="4" t="s">
        <v>40</v>
      </c>
      <c r="C213" s="4" t="s">
        <v>14</v>
      </c>
      <c r="E213" s="4" t="s">
        <v>98</v>
      </c>
      <c r="F213" s="4" t="s">
        <v>30</v>
      </c>
      <c r="G213" s="1">
        <v>45574</v>
      </c>
      <c r="H213" s="4" t="s">
        <v>556</v>
      </c>
      <c r="I213" s="4" t="s">
        <v>59</v>
      </c>
      <c r="J213">
        <v>-5057397690</v>
      </c>
      <c r="K213" s="4" t="s">
        <v>45</v>
      </c>
      <c r="L213" t="b">
        <v>1</v>
      </c>
    </row>
    <row r="214" spans="1:12" x14ac:dyDescent="0.25">
      <c r="A214" s="4" t="s">
        <v>557</v>
      </c>
      <c r="B214" s="4" t="s">
        <v>61</v>
      </c>
      <c r="C214" s="4" t="s">
        <v>28</v>
      </c>
      <c r="D214">
        <v>35</v>
      </c>
      <c r="E214" s="4" t="s">
        <v>309</v>
      </c>
      <c r="F214" s="4" t="s">
        <v>16</v>
      </c>
      <c r="G214" s="1">
        <v>45532</v>
      </c>
      <c r="H214" s="4" t="s">
        <v>558</v>
      </c>
      <c r="I214" s="4" t="s">
        <v>140</v>
      </c>
      <c r="J214">
        <v>-5671649327</v>
      </c>
      <c r="K214" s="4" t="s">
        <v>25</v>
      </c>
      <c r="L214" t="b">
        <v>1</v>
      </c>
    </row>
    <row r="215" spans="1:12" x14ac:dyDescent="0.25">
      <c r="A215" s="4" t="s">
        <v>559</v>
      </c>
      <c r="B215" s="4" t="s">
        <v>67</v>
      </c>
      <c r="C215" s="4" t="s">
        <v>14</v>
      </c>
      <c r="D215">
        <v>40</v>
      </c>
      <c r="E215" s="4" t="s">
        <v>165</v>
      </c>
      <c r="F215" s="4" t="s">
        <v>36</v>
      </c>
      <c r="G215" s="1">
        <v>43940</v>
      </c>
      <c r="H215" s="4" t="s">
        <v>560</v>
      </c>
      <c r="I215" s="4" t="s">
        <v>73</v>
      </c>
      <c r="J215">
        <v>-9802714871</v>
      </c>
      <c r="K215" s="4" t="s">
        <v>25</v>
      </c>
      <c r="L215" t="b">
        <v>0</v>
      </c>
    </row>
    <row r="216" spans="1:12" x14ac:dyDescent="0.25">
      <c r="A216" s="4" t="s">
        <v>561</v>
      </c>
      <c r="B216" s="4" t="s">
        <v>80</v>
      </c>
      <c r="C216" s="4" t="s">
        <v>41</v>
      </c>
      <c r="D216">
        <v>25</v>
      </c>
      <c r="E216" s="4" t="s">
        <v>76</v>
      </c>
      <c r="F216" s="4" t="s">
        <v>16</v>
      </c>
      <c r="G216" s="1">
        <v>44483</v>
      </c>
      <c r="H216" s="4" t="s">
        <v>562</v>
      </c>
      <c r="I216" s="4" t="s">
        <v>83</v>
      </c>
      <c r="J216">
        <v>-7178333210</v>
      </c>
      <c r="K216" s="4" t="s">
        <v>33</v>
      </c>
      <c r="L216" t="b">
        <v>0</v>
      </c>
    </row>
    <row r="217" spans="1:12" x14ac:dyDescent="0.25">
      <c r="A217" s="4" t="s">
        <v>563</v>
      </c>
      <c r="B217" s="4" t="s">
        <v>40</v>
      </c>
      <c r="C217" s="4" t="s">
        <v>28</v>
      </c>
      <c r="D217">
        <v>30</v>
      </c>
      <c r="E217" s="4" t="s">
        <v>120</v>
      </c>
      <c r="F217" s="4" t="s">
        <v>36</v>
      </c>
      <c r="G217" s="1">
        <v>45530</v>
      </c>
      <c r="H217" s="4" t="s">
        <v>564</v>
      </c>
      <c r="I217" s="4" t="s">
        <v>53</v>
      </c>
      <c r="J217">
        <v>-6025643470</v>
      </c>
      <c r="K217" s="4" t="s">
        <v>45</v>
      </c>
      <c r="L217" t="b">
        <v>0</v>
      </c>
    </row>
    <row r="218" spans="1:12" x14ac:dyDescent="0.25">
      <c r="A218" s="4" t="s">
        <v>565</v>
      </c>
      <c r="B218" s="4" t="s">
        <v>75</v>
      </c>
      <c r="C218" s="4" t="s">
        <v>21</v>
      </c>
      <c r="D218">
        <v>40</v>
      </c>
      <c r="E218" s="4" t="s">
        <v>48</v>
      </c>
      <c r="F218" s="4" t="s">
        <v>16</v>
      </c>
      <c r="G218" s="1">
        <v>43869</v>
      </c>
      <c r="H218" s="4" t="s">
        <v>566</v>
      </c>
      <c r="I218" s="4" t="s">
        <v>480</v>
      </c>
      <c r="J218">
        <v>-2871539914</v>
      </c>
      <c r="K218" s="4" t="s">
        <v>25</v>
      </c>
      <c r="L218" t="b">
        <v>1</v>
      </c>
    </row>
    <row r="219" spans="1:12" x14ac:dyDescent="0.25">
      <c r="A219" s="4" t="s">
        <v>567</v>
      </c>
      <c r="B219" s="4" t="s">
        <v>80</v>
      </c>
      <c r="C219" s="4" t="s">
        <v>28</v>
      </c>
      <c r="D219">
        <v>25</v>
      </c>
      <c r="E219" s="4" t="s">
        <v>76</v>
      </c>
      <c r="F219" s="4" t="s">
        <v>36</v>
      </c>
      <c r="G219" s="1">
        <v>44080</v>
      </c>
      <c r="H219" s="4" t="s">
        <v>568</v>
      </c>
      <c r="I219" s="4" t="s">
        <v>89</v>
      </c>
      <c r="J219">
        <v>-6686334140</v>
      </c>
      <c r="K219" s="4" t="s">
        <v>45</v>
      </c>
      <c r="L219" t="b">
        <v>0</v>
      </c>
    </row>
    <row r="220" spans="1:12" x14ac:dyDescent="0.25">
      <c r="A220" s="4" t="s">
        <v>569</v>
      </c>
      <c r="B220" s="4" t="s">
        <v>75</v>
      </c>
      <c r="C220" s="4" t="s">
        <v>47</v>
      </c>
      <c r="D220">
        <v>25</v>
      </c>
      <c r="E220" s="4" t="s">
        <v>42</v>
      </c>
      <c r="F220" s="4" t="s">
        <v>30</v>
      </c>
      <c r="G220" s="1">
        <v>44928</v>
      </c>
      <c r="H220" s="4" t="s">
        <v>570</v>
      </c>
      <c r="I220" s="4" t="s">
        <v>300</v>
      </c>
      <c r="J220">
        <v>-1159319524</v>
      </c>
      <c r="K220" s="4" t="s">
        <v>25</v>
      </c>
      <c r="L220" t="b">
        <v>0</v>
      </c>
    </row>
    <row r="221" spans="1:12" x14ac:dyDescent="0.25">
      <c r="A221" s="4" t="s">
        <v>571</v>
      </c>
      <c r="B221" s="4" t="s">
        <v>67</v>
      </c>
      <c r="C221" s="4" t="s">
        <v>14</v>
      </c>
      <c r="D221">
        <v>30</v>
      </c>
      <c r="E221" s="4" t="s">
        <v>251</v>
      </c>
      <c r="F221" s="4" t="s">
        <v>16</v>
      </c>
      <c r="G221" s="1">
        <v>45090</v>
      </c>
      <c r="H221" s="4" t="s">
        <v>572</v>
      </c>
      <c r="I221" s="4" t="s">
        <v>73</v>
      </c>
      <c r="J221">
        <v>-6904098365</v>
      </c>
      <c r="K221" s="4" t="s">
        <v>19</v>
      </c>
      <c r="L221" t="b">
        <v>1</v>
      </c>
    </row>
    <row r="222" spans="1:12" x14ac:dyDescent="0.25">
      <c r="A222" s="4" t="s">
        <v>573</v>
      </c>
      <c r="B222" s="4" t="s">
        <v>61</v>
      </c>
      <c r="C222" s="4" t="s">
        <v>41</v>
      </c>
      <c r="D222">
        <v>25</v>
      </c>
      <c r="E222" s="4" t="s">
        <v>210</v>
      </c>
      <c r="F222" s="4" t="s">
        <v>16</v>
      </c>
      <c r="G222" s="1">
        <v>44908</v>
      </c>
      <c r="H222" s="4" t="s">
        <v>574</v>
      </c>
      <c r="I222" s="4" t="s">
        <v>104</v>
      </c>
      <c r="J222">
        <v>-5528993159</v>
      </c>
      <c r="K222" s="4" t="s">
        <v>25</v>
      </c>
      <c r="L222" t="b">
        <v>1</v>
      </c>
    </row>
    <row r="223" spans="1:12" x14ac:dyDescent="0.25">
      <c r="A223" s="4" t="s">
        <v>575</v>
      </c>
      <c r="B223" s="4" t="s">
        <v>27</v>
      </c>
      <c r="C223" s="4" t="s">
        <v>41</v>
      </c>
      <c r="D223">
        <v>40</v>
      </c>
      <c r="E223" s="4" t="s">
        <v>22</v>
      </c>
      <c r="F223" s="4" t="s">
        <v>30</v>
      </c>
      <c r="G223" s="1">
        <v>44623</v>
      </c>
      <c r="H223" s="4" t="s">
        <v>576</v>
      </c>
      <c r="I223" s="4" t="s">
        <v>431</v>
      </c>
      <c r="J223">
        <v>-8752437728</v>
      </c>
      <c r="K223" s="4" t="s">
        <v>45</v>
      </c>
      <c r="L223" t="b">
        <v>0</v>
      </c>
    </row>
    <row r="224" spans="1:12" x14ac:dyDescent="0.25">
      <c r="A224" s="4" t="s">
        <v>577</v>
      </c>
      <c r="B224" s="4" t="s">
        <v>27</v>
      </c>
      <c r="C224" s="4" t="s">
        <v>106</v>
      </c>
      <c r="D224">
        <v>35</v>
      </c>
      <c r="E224" s="4" t="s">
        <v>312</v>
      </c>
      <c r="F224" s="4" t="s">
        <v>16</v>
      </c>
      <c r="G224" s="1">
        <v>45332</v>
      </c>
      <c r="H224" s="4" t="s">
        <v>578</v>
      </c>
      <c r="I224" s="4" t="s">
        <v>194</v>
      </c>
      <c r="J224">
        <v>-4209548148</v>
      </c>
      <c r="K224" s="4" t="s">
        <v>19</v>
      </c>
      <c r="L224" t="b">
        <v>0</v>
      </c>
    </row>
    <row r="225" spans="1:12" x14ac:dyDescent="0.25">
      <c r="A225" s="4" t="s">
        <v>579</v>
      </c>
      <c r="B225" s="4" t="s">
        <v>40</v>
      </c>
      <c r="C225" s="4" t="s">
        <v>21</v>
      </c>
      <c r="D225">
        <v>30</v>
      </c>
      <c r="E225" s="4" t="s">
        <v>312</v>
      </c>
      <c r="F225" s="4" t="s">
        <v>30</v>
      </c>
      <c r="G225" s="1">
        <v>44524</v>
      </c>
      <c r="H225" s="4" t="s">
        <v>580</v>
      </c>
      <c r="I225" s="4" t="s">
        <v>280</v>
      </c>
      <c r="J225">
        <v>-7374605232</v>
      </c>
      <c r="K225" s="4" t="s">
        <v>19</v>
      </c>
      <c r="L225" t="b">
        <v>0</v>
      </c>
    </row>
    <row r="226" spans="1:12" x14ac:dyDescent="0.25">
      <c r="A226" s="4" t="s">
        <v>581</v>
      </c>
      <c r="B226" s="4" t="s">
        <v>75</v>
      </c>
      <c r="C226" s="4" t="s">
        <v>62</v>
      </c>
      <c r="D226">
        <v>40</v>
      </c>
      <c r="E226" s="4" t="s">
        <v>63</v>
      </c>
      <c r="F226" s="4" t="s">
        <v>16</v>
      </c>
      <c r="G226" s="1">
        <v>43960</v>
      </c>
      <c r="H226" s="4" t="s">
        <v>582</v>
      </c>
      <c r="I226" s="4" t="s">
        <v>132</v>
      </c>
      <c r="J226">
        <v>-276420864</v>
      </c>
      <c r="K226" s="4" t="s">
        <v>19</v>
      </c>
      <c r="L226" t="b">
        <v>0</v>
      </c>
    </row>
    <row r="227" spans="1:12" x14ac:dyDescent="0.25">
      <c r="A227" s="4" t="s">
        <v>583</v>
      </c>
      <c r="B227" s="4" t="s">
        <v>27</v>
      </c>
      <c r="C227" s="4" t="s">
        <v>62</v>
      </c>
      <c r="D227">
        <v>35</v>
      </c>
      <c r="E227" s="4" t="s">
        <v>120</v>
      </c>
      <c r="F227" s="4" t="s">
        <v>16</v>
      </c>
      <c r="G227" s="1">
        <v>45645</v>
      </c>
      <c r="H227" s="4" t="s">
        <v>584</v>
      </c>
      <c r="I227" s="4" t="s">
        <v>177</v>
      </c>
      <c r="J227">
        <v>-6756618442</v>
      </c>
      <c r="K227" s="4" t="s">
        <v>45</v>
      </c>
      <c r="L227" t="b">
        <v>1</v>
      </c>
    </row>
    <row r="228" spans="1:12" x14ac:dyDescent="0.25">
      <c r="A228" s="4" t="s">
        <v>585</v>
      </c>
      <c r="B228" s="4" t="s">
        <v>80</v>
      </c>
      <c r="C228" s="4" t="s">
        <v>28</v>
      </c>
      <c r="E228" s="4" t="s">
        <v>81</v>
      </c>
      <c r="F228" s="4" t="s">
        <v>16</v>
      </c>
      <c r="G228" s="1">
        <v>45373</v>
      </c>
      <c r="H228" s="4" t="s">
        <v>586</v>
      </c>
      <c r="I228" s="4" t="s">
        <v>89</v>
      </c>
      <c r="J228">
        <v>-8612590471</v>
      </c>
      <c r="K228" s="4" t="s">
        <v>33</v>
      </c>
      <c r="L228" t="b">
        <v>0</v>
      </c>
    </row>
    <row r="229" spans="1:12" x14ac:dyDescent="0.25">
      <c r="A229" s="4" t="s">
        <v>587</v>
      </c>
      <c r="B229" s="4" t="s">
        <v>27</v>
      </c>
      <c r="C229" s="4" t="s">
        <v>106</v>
      </c>
      <c r="D229">
        <v>35</v>
      </c>
      <c r="E229" s="4" t="s">
        <v>165</v>
      </c>
      <c r="F229" s="4" t="s">
        <v>36</v>
      </c>
      <c r="G229" s="1">
        <v>44725</v>
      </c>
      <c r="H229" s="4" t="s">
        <v>588</v>
      </c>
      <c r="I229" s="4" t="s">
        <v>194</v>
      </c>
      <c r="J229">
        <v>-9277423329</v>
      </c>
      <c r="K229" s="4" t="s">
        <v>33</v>
      </c>
      <c r="L229" t="b">
        <v>0</v>
      </c>
    </row>
    <row r="230" spans="1:12" x14ac:dyDescent="0.25">
      <c r="A230" s="4" t="s">
        <v>589</v>
      </c>
      <c r="B230" s="4" t="s">
        <v>80</v>
      </c>
      <c r="C230" s="4" t="s">
        <v>142</v>
      </c>
      <c r="D230">
        <v>35</v>
      </c>
      <c r="E230" s="4" t="s">
        <v>244</v>
      </c>
      <c r="F230" s="4" t="s">
        <v>30</v>
      </c>
      <c r="G230" s="1">
        <v>44849</v>
      </c>
      <c r="H230" s="4" t="s">
        <v>590</v>
      </c>
      <c r="I230" s="4" t="s">
        <v>160</v>
      </c>
      <c r="J230">
        <v>-5912662014</v>
      </c>
      <c r="K230" s="4" t="s">
        <v>33</v>
      </c>
      <c r="L230" t="b">
        <v>1</v>
      </c>
    </row>
    <row r="231" spans="1:12" x14ac:dyDescent="0.25">
      <c r="A231" s="4" t="s">
        <v>591</v>
      </c>
      <c r="B231" s="4" t="s">
        <v>35</v>
      </c>
      <c r="C231" s="4" t="s">
        <v>28</v>
      </c>
      <c r="D231">
        <v>25</v>
      </c>
      <c r="E231" s="4" t="s">
        <v>270</v>
      </c>
      <c r="F231" s="4" t="s">
        <v>16</v>
      </c>
      <c r="G231" s="1">
        <v>44712</v>
      </c>
      <c r="H231" s="4" t="s">
        <v>592</v>
      </c>
      <c r="I231" s="4" t="s">
        <v>323</v>
      </c>
      <c r="J231">
        <v>-7201859625</v>
      </c>
      <c r="K231" s="4" t="s">
        <v>45</v>
      </c>
      <c r="L231" t="b">
        <v>0</v>
      </c>
    </row>
    <row r="232" spans="1:12" x14ac:dyDescent="0.25">
      <c r="A232" s="4" t="s">
        <v>593</v>
      </c>
      <c r="B232" s="4" t="s">
        <v>35</v>
      </c>
      <c r="C232" s="4" t="s">
        <v>106</v>
      </c>
      <c r="D232">
        <v>35</v>
      </c>
      <c r="E232" s="4" t="s">
        <v>187</v>
      </c>
      <c r="F232" s="4" t="s">
        <v>36</v>
      </c>
      <c r="G232" s="1">
        <v>45184</v>
      </c>
      <c r="H232" s="4" t="s">
        <v>594</v>
      </c>
      <c r="I232" s="4" t="s">
        <v>307</v>
      </c>
      <c r="J232">
        <v>-3013674925</v>
      </c>
      <c r="K232" s="4" t="s">
        <v>19</v>
      </c>
      <c r="L232" t="b">
        <v>1</v>
      </c>
    </row>
    <row r="233" spans="1:12" x14ac:dyDescent="0.25">
      <c r="A233" s="4" t="s">
        <v>595</v>
      </c>
      <c r="B233" s="4" t="s">
        <v>80</v>
      </c>
      <c r="C233" s="4" t="s">
        <v>21</v>
      </c>
      <c r="D233">
        <v>30</v>
      </c>
      <c r="E233" s="4" t="s">
        <v>270</v>
      </c>
      <c r="F233" s="4" t="s">
        <v>36</v>
      </c>
      <c r="G233" s="1">
        <v>44746</v>
      </c>
      <c r="H233" s="4" t="s">
        <v>596</v>
      </c>
      <c r="I233" s="4" t="s">
        <v>240</v>
      </c>
      <c r="J233">
        <v>-1764750110</v>
      </c>
      <c r="K233" s="4" t="s">
        <v>33</v>
      </c>
      <c r="L233" t="b">
        <v>1</v>
      </c>
    </row>
    <row r="234" spans="1:12" x14ac:dyDescent="0.25">
      <c r="A234" s="4" t="s">
        <v>597</v>
      </c>
      <c r="B234" s="4" t="s">
        <v>40</v>
      </c>
      <c r="C234" s="4" t="s">
        <v>21</v>
      </c>
      <c r="E234" s="4" t="s">
        <v>81</v>
      </c>
      <c r="F234" s="4" t="s">
        <v>30</v>
      </c>
      <c r="G234" s="1">
        <v>45451</v>
      </c>
      <c r="H234" s="4" t="s">
        <v>598</v>
      </c>
      <c r="I234" s="4" t="s">
        <v>280</v>
      </c>
      <c r="J234">
        <v>-1783099973</v>
      </c>
      <c r="K234" s="4" t="s">
        <v>45</v>
      </c>
      <c r="L234" t="b">
        <v>1</v>
      </c>
    </row>
    <row r="235" spans="1:12" x14ac:dyDescent="0.25">
      <c r="A235" s="4" t="s">
        <v>599</v>
      </c>
      <c r="B235" s="4" t="s">
        <v>80</v>
      </c>
      <c r="C235" s="4" t="s">
        <v>21</v>
      </c>
      <c r="D235">
        <v>35</v>
      </c>
      <c r="E235" s="4" t="s">
        <v>259</v>
      </c>
      <c r="F235" s="4" t="s">
        <v>30</v>
      </c>
      <c r="G235" s="1">
        <v>44158</v>
      </c>
      <c r="H235" s="4" t="s">
        <v>600</v>
      </c>
      <c r="I235" s="4" t="s">
        <v>240</v>
      </c>
      <c r="J235">
        <v>-1926764920</v>
      </c>
      <c r="K235" s="4" t="s">
        <v>33</v>
      </c>
      <c r="L235" t="b">
        <v>0</v>
      </c>
    </row>
    <row r="236" spans="1:12" x14ac:dyDescent="0.25">
      <c r="A236" s="4" t="s">
        <v>601</v>
      </c>
      <c r="B236" s="4" t="s">
        <v>75</v>
      </c>
      <c r="C236" s="4" t="s">
        <v>21</v>
      </c>
      <c r="D236">
        <v>25</v>
      </c>
      <c r="E236" s="4" t="s">
        <v>120</v>
      </c>
      <c r="F236" s="4" t="s">
        <v>16</v>
      </c>
      <c r="G236" s="1">
        <v>45425</v>
      </c>
      <c r="H236" s="4" t="s">
        <v>602</v>
      </c>
      <c r="I236" s="4" t="s">
        <v>480</v>
      </c>
      <c r="J236">
        <v>-5182606887</v>
      </c>
      <c r="K236" s="4" t="s">
        <v>25</v>
      </c>
      <c r="L236" t="b">
        <v>0</v>
      </c>
    </row>
    <row r="237" spans="1:12" x14ac:dyDescent="0.25">
      <c r="A237" s="4" t="s">
        <v>603</v>
      </c>
      <c r="B237" s="4" t="s">
        <v>27</v>
      </c>
      <c r="C237" s="4" t="s">
        <v>21</v>
      </c>
      <c r="E237" s="4" t="s">
        <v>29</v>
      </c>
      <c r="F237" s="4" t="s">
        <v>36</v>
      </c>
      <c r="G237" s="1">
        <v>44590</v>
      </c>
      <c r="H237" s="4" t="s">
        <v>604</v>
      </c>
      <c r="I237" s="4" t="s">
        <v>93</v>
      </c>
      <c r="J237">
        <v>-7189813128</v>
      </c>
      <c r="K237" s="4" t="s">
        <v>33</v>
      </c>
      <c r="L237" t="b">
        <v>1</v>
      </c>
    </row>
    <row r="238" spans="1:12" x14ac:dyDescent="0.25">
      <c r="A238" s="4" t="s">
        <v>605</v>
      </c>
      <c r="B238" s="4" t="s">
        <v>61</v>
      </c>
      <c r="C238" s="4" t="s">
        <v>106</v>
      </c>
      <c r="E238" s="4" t="s">
        <v>251</v>
      </c>
      <c r="F238" s="4" t="s">
        <v>36</v>
      </c>
      <c r="G238" s="1">
        <v>45161</v>
      </c>
      <c r="H238" s="4" t="s">
        <v>606</v>
      </c>
      <c r="I238" s="4" t="s">
        <v>607</v>
      </c>
      <c r="J238">
        <v>-2087510292</v>
      </c>
      <c r="K238" s="4" t="s">
        <v>33</v>
      </c>
      <c r="L238" t="b">
        <v>0</v>
      </c>
    </row>
    <row r="239" spans="1:12" x14ac:dyDescent="0.25">
      <c r="A239" s="4" t="s">
        <v>608</v>
      </c>
      <c r="B239" s="4" t="s">
        <v>27</v>
      </c>
      <c r="C239" s="4" t="s">
        <v>106</v>
      </c>
      <c r="D239">
        <v>30</v>
      </c>
      <c r="E239" s="4" t="s">
        <v>309</v>
      </c>
      <c r="F239" s="4" t="s">
        <v>36</v>
      </c>
      <c r="G239" s="1">
        <v>44981</v>
      </c>
      <c r="H239" s="4" t="s">
        <v>609</v>
      </c>
      <c r="I239" s="4" t="s">
        <v>194</v>
      </c>
      <c r="J239">
        <v>-2184011844</v>
      </c>
      <c r="K239" s="4" t="s">
        <v>19</v>
      </c>
      <c r="L239" t="b">
        <v>0</v>
      </c>
    </row>
    <row r="240" spans="1:12" x14ac:dyDescent="0.25">
      <c r="A240" s="4" t="s">
        <v>610</v>
      </c>
      <c r="B240" s="4" t="s">
        <v>75</v>
      </c>
      <c r="C240" s="4" t="s">
        <v>41</v>
      </c>
      <c r="D240">
        <v>30</v>
      </c>
      <c r="E240" s="4" t="s">
        <v>210</v>
      </c>
      <c r="F240" s="4" t="s">
        <v>30</v>
      </c>
      <c r="G240" s="1">
        <v>44836</v>
      </c>
      <c r="H240" s="4" t="s">
        <v>611</v>
      </c>
      <c r="I240" s="4" t="s">
        <v>78</v>
      </c>
      <c r="J240">
        <v>-8260340847</v>
      </c>
      <c r="K240" s="4" t="s">
        <v>45</v>
      </c>
      <c r="L240" t="b">
        <v>1</v>
      </c>
    </row>
    <row r="241" spans="1:12" x14ac:dyDescent="0.25">
      <c r="A241" s="4" t="s">
        <v>612</v>
      </c>
      <c r="B241" s="4" t="s">
        <v>13</v>
      </c>
      <c r="C241" s="4" t="s">
        <v>47</v>
      </c>
      <c r="D241">
        <v>40</v>
      </c>
      <c r="E241" s="4" t="s">
        <v>29</v>
      </c>
      <c r="F241" s="4" t="s">
        <v>36</v>
      </c>
      <c r="G241" s="1">
        <v>44010</v>
      </c>
      <c r="H241" s="4" t="s">
        <v>613</v>
      </c>
      <c r="I241" s="4" t="s">
        <v>180</v>
      </c>
      <c r="J241">
        <v>-7297585987</v>
      </c>
      <c r="K241" s="4" t="s">
        <v>19</v>
      </c>
      <c r="L241" t="b">
        <v>1</v>
      </c>
    </row>
    <row r="242" spans="1:12" x14ac:dyDescent="0.25">
      <c r="A242" s="4" t="s">
        <v>614</v>
      </c>
      <c r="B242" s="4" t="s">
        <v>40</v>
      </c>
      <c r="C242" s="4" t="s">
        <v>62</v>
      </c>
      <c r="D242">
        <v>35</v>
      </c>
      <c r="E242" s="4" t="s">
        <v>278</v>
      </c>
      <c r="F242" s="4" t="s">
        <v>30</v>
      </c>
      <c r="G242" s="1">
        <v>44941</v>
      </c>
      <c r="H242" s="4" t="s">
        <v>615</v>
      </c>
      <c r="I242" s="4" t="s">
        <v>316</v>
      </c>
      <c r="J242">
        <v>-3103032431</v>
      </c>
      <c r="K242" s="4" t="s">
        <v>19</v>
      </c>
      <c r="L242" t="b">
        <v>0</v>
      </c>
    </row>
    <row r="243" spans="1:12" x14ac:dyDescent="0.25">
      <c r="A243" s="4" t="s">
        <v>616</v>
      </c>
      <c r="B243" s="4" t="s">
        <v>61</v>
      </c>
      <c r="C243" s="4" t="s">
        <v>14</v>
      </c>
      <c r="D243">
        <v>30</v>
      </c>
      <c r="E243" s="4" t="s">
        <v>229</v>
      </c>
      <c r="F243" s="4" t="s">
        <v>16</v>
      </c>
      <c r="G243" s="1">
        <v>44079</v>
      </c>
      <c r="H243" s="4" t="s">
        <v>617</v>
      </c>
      <c r="I243" s="4" t="s">
        <v>200</v>
      </c>
      <c r="J243">
        <v>-9839542960</v>
      </c>
      <c r="K243" s="4" t="s">
        <v>19</v>
      </c>
      <c r="L243" t="b">
        <v>1</v>
      </c>
    </row>
    <row r="244" spans="1:12" x14ac:dyDescent="0.25">
      <c r="A244" s="4" t="s">
        <v>618</v>
      </c>
      <c r="B244" s="4" t="s">
        <v>67</v>
      </c>
      <c r="C244" s="4" t="s">
        <v>21</v>
      </c>
      <c r="D244">
        <v>40</v>
      </c>
      <c r="E244" s="4" t="s">
        <v>312</v>
      </c>
      <c r="F244" s="4" t="s">
        <v>30</v>
      </c>
      <c r="G244" s="1">
        <v>45003</v>
      </c>
      <c r="H244" s="4" t="s">
        <v>619</v>
      </c>
      <c r="I244" s="4" t="s">
        <v>265</v>
      </c>
      <c r="J244">
        <v>-8446267145</v>
      </c>
      <c r="K244" s="4" t="s">
        <v>19</v>
      </c>
      <c r="L244" t="b">
        <v>0</v>
      </c>
    </row>
    <row r="245" spans="1:12" x14ac:dyDescent="0.25">
      <c r="A245" s="4" t="s">
        <v>620</v>
      </c>
      <c r="B245" s="4" t="s">
        <v>61</v>
      </c>
      <c r="C245" s="4" t="s">
        <v>142</v>
      </c>
      <c r="E245" s="4" t="s">
        <v>187</v>
      </c>
      <c r="F245" s="4" t="s">
        <v>36</v>
      </c>
      <c r="G245" s="1">
        <v>44646</v>
      </c>
      <c r="H245" s="4" t="s">
        <v>621</v>
      </c>
      <c r="I245" s="4" t="s">
        <v>231</v>
      </c>
      <c r="J245">
        <v>-2831435988</v>
      </c>
      <c r="K245" s="4" t="s">
        <v>19</v>
      </c>
      <c r="L245" t="b">
        <v>0</v>
      </c>
    </row>
    <row r="246" spans="1:12" x14ac:dyDescent="0.25">
      <c r="A246" s="4" t="s">
        <v>622</v>
      </c>
      <c r="B246" s="4" t="s">
        <v>80</v>
      </c>
      <c r="C246" s="4" t="s">
        <v>14</v>
      </c>
      <c r="D246">
        <v>40</v>
      </c>
      <c r="E246" s="4" t="s">
        <v>48</v>
      </c>
      <c r="F246" s="4" t="s">
        <v>16</v>
      </c>
      <c r="G246" s="1">
        <v>44480</v>
      </c>
      <c r="H246" s="4" t="s">
        <v>623</v>
      </c>
      <c r="I246" s="4" t="s">
        <v>276</v>
      </c>
      <c r="J246">
        <v>-2625660930</v>
      </c>
      <c r="K246" s="4" t="s">
        <v>33</v>
      </c>
      <c r="L246" t="b">
        <v>0</v>
      </c>
    </row>
    <row r="247" spans="1:12" x14ac:dyDescent="0.25">
      <c r="A247" s="4" t="s">
        <v>624</v>
      </c>
      <c r="B247" s="4" t="s">
        <v>40</v>
      </c>
      <c r="C247" s="4" t="s">
        <v>106</v>
      </c>
      <c r="D247">
        <v>30</v>
      </c>
      <c r="E247" s="4" t="s">
        <v>259</v>
      </c>
      <c r="F247" s="4" t="s">
        <v>30</v>
      </c>
      <c r="G247" s="1">
        <v>44203</v>
      </c>
      <c r="H247" s="4" t="s">
        <v>625</v>
      </c>
      <c r="I247" s="4" t="s">
        <v>128</v>
      </c>
      <c r="J247">
        <v>-4181861514</v>
      </c>
      <c r="K247" s="4" t="s">
        <v>19</v>
      </c>
      <c r="L247" t="b">
        <v>0</v>
      </c>
    </row>
    <row r="248" spans="1:12" x14ac:dyDescent="0.25">
      <c r="A248" s="4" t="s">
        <v>626</v>
      </c>
      <c r="B248" s="4" t="s">
        <v>27</v>
      </c>
      <c r="C248" s="4" t="s">
        <v>142</v>
      </c>
      <c r="D248">
        <v>25</v>
      </c>
      <c r="E248" s="4" t="s">
        <v>126</v>
      </c>
      <c r="F248" s="4" t="s">
        <v>36</v>
      </c>
      <c r="G248" s="1">
        <v>44168</v>
      </c>
      <c r="H248" s="4" t="s">
        <v>627</v>
      </c>
      <c r="I248" s="4" t="s">
        <v>217</v>
      </c>
      <c r="J248">
        <v>-5423401635</v>
      </c>
      <c r="K248" s="4" t="s">
        <v>19</v>
      </c>
      <c r="L248" t="b">
        <v>1</v>
      </c>
    </row>
    <row r="249" spans="1:12" x14ac:dyDescent="0.25">
      <c r="A249" s="4" t="s">
        <v>628</v>
      </c>
      <c r="B249" s="4" t="s">
        <v>67</v>
      </c>
      <c r="C249" s="4" t="s">
        <v>142</v>
      </c>
      <c r="D249">
        <v>35</v>
      </c>
      <c r="E249" s="4" t="s">
        <v>210</v>
      </c>
      <c r="F249" s="4" t="s">
        <v>16</v>
      </c>
      <c r="G249" s="1">
        <v>44344</v>
      </c>
      <c r="H249" s="4" t="s">
        <v>629</v>
      </c>
      <c r="I249" s="4" t="s">
        <v>402</v>
      </c>
      <c r="J249">
        <v>-1128497184</v>
      </c>
      <c r="K249" s="4" t="s">
        <v>45</v>
      </c>
      <c r="L249" t="b">
        <v>1</v>
      </c>
    </row>
    <row r="250" spans="1:12" x14ac:dyDescent="0.25">
      <c r="A250" s="4" t="s">
        <v>630</v>
      </c>
      <c r="B250" s="4" t="s">
        <v>35</v>
      </c>
      <c r="C250" s="4" t="s">
        <v>142</v>
      </c>
      <c r="D250">
        <v>30</v>
      </c>
      <c r="E250" s="4" t="s">
        <v>15</v>
      </c>
      <c r="F250" s="4" t="s">
        <v>30</v>
      </c>
      <c r="G250" s="1">
        <v>44923</v>
      </c>
      <c r="H250" s="4" t="s">
        <v>631</v>
      </c>
      <c r="I250" s="4" t="s">
        <v>632</v>
      </c>
      <c r="J250">
        <v>-9484910255</v>
      </c>
      <c r="K250" s="4" t="s">
        <v>25</v>
      </c>
      <c r="L250" t="b">
        <v>1</v>
      </c>
    </row>
    <row r="251" spans="1:12" x14ac:dyDescent="0.25">
      <c r="A251" s="4" t="s">
        <v>633</v>
      </c>
      <c r="B251" s="4" t="s">
        <v>61</v>
      </c>
      <c r="C251" s="4" t="s">
        <v>41</v>
      </c>
      <c r="D251">
        <v>30</v>
      </c>
      <c r="E251" s="4" t="s">
        <v>91</v>
      </c>
      <c r="F251" s="4" t="s">
        <v>30</v>
      </c>
      <c r="G251" s="1">
        <v>45070</v>
      </c>
      <c r="H251" s="4" t="s">
        <v>634</v>
      </c>
      <c r="I251" s="4" t="s">
        <v>104</v>
      </c>
      <c r="J251">
        <v>-2588967923</v>
      </c>
      <c r="K251" s="4" t="s">
        <v>33</v>
      </c>
      <c r="L251" t="b">
        <v>1</v>
      </c>
    </row>
    <row r="252" spans="1:12" x14ac:dyDescent="0.25">
      <c r="A252" s="4" t="s">
        <v>635</v>
      </c>
      <c r="B252" s="4" t="s">
        <v>27</v>
      </c>
      <c r="C252" s="4" t="s">
        <v>106</v>
      </c>
      <c r="D252">
        <v>25</v>
      </c>
      <c r="E252" s="4" t="s">
        <v>187</v>
      </c>
      <c r="F252" s="4" t="s">
        <v>30</v>
      </c>
      <c r="G252" s="1">
        <v>45410</v>
      </c>
      <c r="H252" s="4" t="s">
        <v>636</v>
      </c>
      <c r="I252" s="4" t="s">
        <v>194</v>
      </c>
      <c r="J252">
        <v>-822269404</v>
      </c>
      <c r="K252" s="4" t="s">
        <v>33</v>
      </c>
      <c r="L252" t="b">
        <v>0</v>
      </c>
    </row>
    <row r="253" spans="1:12" x14ac:dyDescent="0.25">
      <c r="A253" s="4" t="s">
        <v>637</v>
      </c>
      <c r="B253" s="4" t="s">
        <v>80</v>
      </c>
      <c r="C253" s="4" t="s">
        <v>142</v>
      </c>
      <c r="E253" s="4" t="s">
        <v>278</v>
      </c>
      <c r="F253" s="4" t="s">
        <v>36</v>
      </c>
      <c r="G253" s="1">
        <v>45651</v>
      </c>
      <c r="H253" s="4" t="s">
        <v>638</v>
      </c>
      <c r="I253" s="4" t="s">
        <v>160</v>
      </c>
      <c r="J253">
        <v>-3967275783</v>
      </c>
      <c r="K253" s="4" t="s">
        <v>33</v>
      </c>
      <c r="L253" t="b">
        <v>0</v>
      </c>
    </row>
    <row r="254" spans="1:12" x14ac:dyDescent="0.25">
      <c r="A254" s="4" t="s">
        <v>639</v>
      </c>
      <c r="B254" s="4" t="s">
        <v>35</v>
      </c>
      <c r="C254" s="4" t="s">
        <v>21</v>
      </c>
      <c r="D254">
        <v>40</v>
      </c>
      <c r="E254" s="4" t="s">
        <v>29</v>
      </c>
      <c r="F254" s="4" t="s">
        <v>36</v>
      </c>
      <c r="G254" s="1">
        <v>44440</v>
      </c>
      <c r="H254" s="4" t="s">
        <v>640</v>
      </c>
      <c r="I254" s="4" t="s">
        <v>183</v>
      </c>
      <c r="J254">
        <v>-4683414650</v>
      </c>
      <c r="K254" s="4" t="s">
        <v>19</v>
      </c>
      <c r="L254" t="b">
        <v>1</v>
      </c>
    </row>
    <row r="255" spans="1:12" x14ac:dyDescent="0.25">
      <c r="A255" s="4" t="s">
        <v>641</v>
      </c>
      <c r="B255" s="4" t="s">
        <v>61</v>
      </c>
      <c r="C255" s="4" t="s">
        <v>28</v>
      </c>
      <c r="D255">
        <v>40</v>
      </c>
      <c r="E255" s="4" t="s">
        <v>130</v>
      </c>
      <c r="F255" s="4" t="s">
        <v>36</v>
      </c>
      <c r="G255" s="1">
        <v>44248</v>
      </c>
      <c r="H255" s="4" t="s">
        <v>642</v>
      </c>
      <c r="I255" s="4" t="s">
        <v>140</v>
      </c>
      <c r="J255">
        <v>-1131290147</v>
      </c>
      <c r="K255" s="4" t="s">
        <v>19</v>
      </c>
      <c r="L255" t="b">
        <v>0</v>
      </c>
    </row>
    <row r="256" spans="1:12" x14ac:dyDescent="0.25">
      <c r="A256" s="4" t="s">
        <v>643</v>
      </c>
      <c r="B256" s="4" t="s">
        <v>40</v>
      </c>
      <c r="C256" s="4" t="s">
        <v>142</v>
      </c>
      <c r="D256">
        <v>35</v>
      </c>
      <c r="E256" s="4" t="s">
        <v>267</v>
      </c>
      <c r="F256" s="4" t="s">
        <v>36</v>
      </c>
      <c r="G256" s="1">
        <v>44885</v>
      </c>
      <c r="H256" s="4" t="s">
        <v>644</v>
      </c>
      <c r="I256" s="4" t="s">
        <v>163</v>
      </c>
      <c r="J256">
        <v>-7068277880</v>
      </c>
      <c r="K256" s="4" t="s">
        <v>19</v>
      </c>
      <c r="L256" t="b">
        <v>0</v>
      </c>
    </row>
    <row r="257" spans="1:12" x14ac:dyDescent="0.25">
      <c r="A257" s="4" t="s">
        <v>645</v>
      </c>
      <c r="B257" s="4" t="s">
        <v>75</v>
      </c>
      <c r="C257" s="4" t="s">
        <v>41</v>
      </c>
      <c r="D257">
        <v>25</v>
      </c>
      <c r="E257" s="4" t="s">
        <v>251</v>
      </c>
      <c r="F257" s="4" t="s">
        <v>16</v>
      </c>
      <c r="G257" s="1">
        <v>44119</v>
      </c>
      <c r="H257" s="4" t="s">
        <v>646</v>
      </c>
      <c r="I257" s="4" t="s">
        <v>78</v>
      </c>
      <c r="J257">
        <v>-6093068537</v>
      </c>
      <c r="K257" s="4" t="s">
        <v>45</v>
      </c>
      <c r="L257" t="b">
        <v>0</v>
      </c>
    </row>
    <row r="258" spans="1:12" x14ac:dyDescent="0.25">
      <c r="A258" s="4" t="s">
        <v>647</v>
      </c>
      <c r="B258" s="4" t="s">
        <v>80</v>
      </c>
      <c r="C258" s="4" t="s">
        <v>14</v>
      </c>
      <c r="E258" s="4" t="s">
        <v>267</v>
      </c>
      <c r="F258" s="4" t="s">
        <v>16</v>
      </c>
      <c r="G258" s="1">
        <v>45497</v>
      </c>
      <c r="H258" s="4" t="s">
        <v>648</v>
      </c>
      <c r="I258" s="4" t="s">
        <v>276</v>
      </c>
      <c r="J258">
        <v>-9097283214</v>
      </c>
      <c r="K258" s="4" t="s">
        <v>25</v>
      </c>
      <c r="L258" t="b">
        <v>1</v>
      </c>
    </row>
    <row r="259" spans="1:12" x14ac:dyDescent="0.25">
      <c r="A259" s="4" t="s">
        <v>649</v>
      </c>
      <c r="B259" s="4" t="s">
        <v>40</v>
      </c>
      <c r="C259" s="4" t="s">
        <v>106</v>
      </c>
      <c r="D259">
        <v>30</v>
      </c>
      <c r="E259" s="4" t="s">
        <v>244</v>
      </c>
      <c r="F259" s="4" t="s">
        <v>30</v>
      </c>
      <c r="G259" s="1">
        <v>44787</v>
      </c>
      <c r="H259" s="4" t="s">
        <v>650</v>
      </c>
      <c r="I259" s="4" t="s">
        <v>128</v>
      </c>
      <c r="J259">
        <v>-2850676250</v>
      </c>
      <c r="K259" s="4" t="s">
        <v>19</v>
      </c>
      <c r="L259" t="b">
        <v>1</v>
      </c>
    </row>
    <row r="260" spans="1:12" x14ac:dyDescent="0.25">
      <c r="A260" s="4" t="s">
        <v>651</v>
      </c>
      <c r="B260" s="4" t="s">
        <v>27</v>
      </c>
      <c r="C260" s="4" t="s">
        <v>47</v>
      </c>
      <c r="D260">
        <v>25</v>
      </c>
      <c r="E260" s="4" t="s">
        <v>309</v>
      </c>
      <c r="F260" s="4" t="s">
        <v>36</v>
      </c>
      <c r="G260" s="1">
        <v>44324</v>
      </c>
      <c r="H260" s="4" t="s">
        <v>652</v>
      </c>
      <c r="I260" s="4" t="s">
        <v>50</v>
      </c>
      <c r="J260">
        <v>-5381447442</v>
      </c>
      <c r="K260" s="4" t="s">
        <v>25</v>
      </c>
      <c r="L260" t="b">
        <v>1</v>
      </c>
    </row>
    <row r="261" spans="1:12" x14ac:dyDescent="0.25">
      <c r="A261" s="4" t="s">
        <v>653</v>
      </c>
      <c r="B261" s="4" t="s">
        <v>27</v>
      </c>
      <c r="C261" s="4" t="s">
        <v>41</v>
      </c>
      <c r="D261">
        <v>35</v>
      </c>
      <c r="E261" s="4" t="s">
        <v>309</v>
      </c>
      <c r="F261" s="4" t="s">
        <v>30</v>
      </c>
      <c r="G261" s="1">
        <v>45208</v>
      </c>
      <c r="H261" s="4" t="s">
        <v>654</v>
      </c>
      <c r="I261" s="4" t="s">
        <v>431</v>
      </c>
      <c r="J261">
        <v>-963480796</v>
      </c>
      <c r="K261" s="4" t="s">
        <v>45</v>
      </c>
      <c r="L261" t="b">
        <v>0</v>
      </c>
    </row>
    <row r="262" spans="1:12" x14ac:dyDescent="0.25">
      <c r="A262" s="4" t="s">
        <v>655</v>
      </c>
      <c r="B262" s="4" t="s">
        <v>13</v>
      </c>
      <c r="C262" s="4" t="s">
        <v>142</v>
      </c>
      <c r="D262">
        <v>40</v>
      </c>
      <c r="E262" s="4" t="s">
        <v>138</v>
      </c>
      <c r="F262" s="4" t="s">
        <v>30</v>
      </c>
      <c r="G262" s="1">
        <v>44580</v>
      </c>
      <c r="H262" s="4" t="s">
        <v>656</v>
      </c>
      <c r="I262" s="4" t="s">
        <v>144</v>
      </c>
      <c r="J262">
        <v>-509754509</v>
      </c>
      <c r="K262" s="4" t="s">
        <v>33</v>
      </c>
      <c r="L262" t="b">
        <v>1</v>
      </c>
    </row>
    <row r="263" spans="1:12" x14ac:dyDescent="0.25">
      <c r="A263" s="4" t="s">
        <v>657</v>
      </c>
      <c r="B263" s="4" t="s">
        <v>80</v>
      </c>
      <c r="C263" s="4" t="s">
        <v>106</v>
      </c>
      <c r="D263">
        <v>25</v>
      </c>
      <c r="E263" s="4" t="s">
        <v>113</v>
      </c>
      <c r="F263" s="4" t="s">
        <v>16</v>
      </c>
      <c r="G263" s="1">
        <v>44573</v>
      </c>
      <c r="H263" s="4" t="s">
        <v>658</v>
      </c>
      <c r="I263" s="4" t="s">
        <v>197</v>
      </c>
      <c r="J263">
        <v>-5265016730</v>
      </c>
      <c r="K263" s="4" t="s">
        <v>19</v>
      </c>
      <c r="L263" t="b">
        <v>1</v>
      </c>
    </row>
    <row r="264" spans="1:12" x14ac:dyDescent="0.25">
      <c r="A264" s="4" t="s">
        <v>659</v>
      </c>
      <c r="B264" s="4" t="s">
        <v>75</v>
      </c>
      <c r="C264" s="4" t="s">
        <v>28</v>
      </c>
      <c r="E264" s="4" t="s">
        <v>229</v>
      </c>
      <c r="F264" s="4" t="s">
        <v>30</v>
      </c>
      <c r="G264" s="1">
        <v>45082</v>
      </c>
      <c r="H264" s="4" t="s">
        <v>660</v>
      </c>
      <c r="I264" s="4" t="s">
        <v>375</v>
      </c>
      <c r="J264">
        <v>-8826170242</v>
      </c>
      <c r="K264" s="4" t="s">
        <v>25</v>
      </c>
      <c r="L264" t="b">
        <v>1</v>
      </c>
    </row>
    <row r="265" spans="1:12" x14ac:dyDescent="0.25">
      <c r="A265" s="4" t="s">
        <v>661</v>
      </c>
      <c r="B265" s="4" t="s">
        <v>80</v>
      </c>
      <c r="C265" s="4" t="s">
        <v>142</v>
      </c>
      <c r="D265">
        <v>35</v>
      </c>
      <c r="E265" s="4" t="s">
        <v>229</v>
      </c>
      <c r="F265" s="4" t="s">
        <v>36</v>
      </c>
      <c r="G265" s="1">
        <v>45377</v>
      </c>
      <c r="H265" s="4" t="s">
        <v>662</v>
      </c>
      <c r="I265" s="4" t="s">
        <v>160</v>
      </c>
      <c r="J265">
        <v>-7654562840</v>
      </c>
      <c r="K265" s="4" t="s">
        <v>25</v>
      </c>
      <c r="L265" t="b">
        <v>1</v>
      </c>
    </row>
    <row r="266" spans="1:12" x14ac:dyDescent="0.25">
      <c r="A266" s="4" t="s">
        <v>663</v>
      </c>
      <c r="B266" s="4" t="s">
        <v>80</v>
      </c>
      <c r="C266" s="4" t="s">
        <v>41</v>
      </c>
      <c r="E266" s="4" t="s">
        <v>187</v>
      </c>
      <c r="F266" s="4" t="s">
        <v>16</v>
      </c>
      <c r="G266" s="1">
        <v>44111</v>
      </c>
      <c r="H266" s="4" t="s">
        <v>664</v>
      </c>
      <c r="I266" s="4" t="s">
        <v>83</v>
      </c>
      <c r="J266">
        <v>-7722560530</v>
      </c>
      <c r="K266" s="4" t="s">
        <v>19</v>
      </c>
      <c r="L266" t="b">
        <v>1</v>
      </c>
    </row>
    <row r="267" spans="1:12" x14ac:dyDescent="0.25">
      <c r="A267" s="4" t="s">
        <v>665</v>
      </c>
      <c r="B267" s="4" t="s">
        <v>75</v>
      </c>
      <c r="C267" s="4" t="s">
        <v>62</v>
      </c>
      <c r="D267">
        <v>30</v>
      </c>
      <c r="E267" s="4" t="s">
        <v>113</v>
      </c>
      <c r="F267" s="4" t="s">
        <v>16</v>
      </c>
      <c r="G267" s="1">
        <v>44502</v>
      </c>
      <c r="H267" s="4" t="s">
        <v>666</v>
      </c>
      <c r="I267" s="4" t="s">
        <v>132</v>
      </c>
      <c r="J267">
        <v>-3402665022</v>
      </c>
      <c r="K267" s="4" t="s">
        <v>33</v>
      </c>
      <c r="L267" t="b">
        <v>1</v>
      </c>
    </row>
    <row r="268" spans="1:12" x14ac:dyDescent="0.25">
      <c r="A268" s="4" t="s">
        <v>667</v>
      </c>
      <c r="B268" s="4" t="s">
        <v>80</v>
      </c>
      <c r="C268" s="4" t="s">
        <v>21</v>
      </c>
      <c r="E268" s="4" t="s">
        <v>15</v>
      </c>
      <c r="F268" s="4" t="s">
        <v>30</v>
      </c>
      <c r="G268" s="1">
        <v>44519</v>
      </c>
      <c r="H268" s="4" t="s">
        <v>668</v>
      </c>
      <c r="I268" s="4" t="s">
        <v>240</v>
      </c>
      <c r="J268">
        <v>-7416787255</v>
      </c>
      <c r="K268" s="4" t="s">
        <v>33</v>
      </c>
      <c r="L268" t="b">
        <v>0</v>
      </c>
    </row>
    <row r="269" spans="1:12" x14ac:dyDescent="0.25">
      <c r="A269" s="4" t="s">
        <v>669</v>
      </c>
      <c r="B269" s="4" t="s">
        <v>75</v>
      </c>
      <c r="C269" s="4" t="s">
        <v>47</v>
      </c>
      <c r="E269" s="4" t="s">
        <v>251</v>
      </c>
      <c r="F269" s="4" t="s">
        <v>16</v>
      </c>
      <c r="G269" s="1">
        <v>44585</v>
      </c>
      <c r="H269" s="4" t="s">
        <v>670</v>
      </c>
      <c r="I269" s="4" t="s">
        <v>300</v>
      </c>
      <c r="J269">
        <v>-8621102257</v>
      </c>
      <c r="K269" s="4" t="s">
        <v>33</v>
      </c>
      <c r="L269" t="b">
        <v>0</v>
      </c>
    </row>
    <row r="270" spans="1:12" x14ac:dyDescent="0.25">
      <c r="A270" s="4" t="s">
        <v>671</v>
      </c>
      <c r="B270" s="4" t="s">
        <v>80</v>
      </c>
      <c r="C270" s="4" t="s">
        <v>14</v>
      </c>
      <c r="E270" s="4" t="s">
        <v>175</v>
      </c>
      <c r="F270" s="4" t="s">
        <v>30</v>
      </c>
      <c r="G270" s="1">
        <v>45119</v>
      </c>
      <c r="H270" s="4" t="s">
        <v>672</v>
      </c>
      <c r="I270" s="4" t="s">
        <v>276</v>
      </c>
      <c r="J270">
        <v>-305690673</v>
      </c>
      <c r="K270" s="4" t="s">
        <v>45</v>
      </c>
      <c r="L270" t="b">
        <v>1</v>
      </c>
    </row>
    <row r="271" spans="1:12" x14ac:dyDescent="0.25">
      <c r="A271" s="4" t="s">
        <v>673</v>
      </c>
      <c r="B271" s="4" t="s">
        <v>67</v>
      </c>
      <c r="C271" s="4" t="s">
        <v>41</v>
      </c>
      <c r="D271">
        <v>25</v>
      </c>
      <c r="E271" s="4" t="s">
        <v>87</v>
      </c>
      <c r="F271" s="4" t="s">
        <v>16</v>
      </c>
      <c r="G271" s="1">
        <v>44904</v>
      </c>
      <c r="H271" s="4" t="s">
        <v>674</v>
      </c>
      <c r="I271" s="4" t="s">
        <v>70</v>
      </c>
      <c r="J271">
        <v>-4716392822</v>
      </c>
      <c r="K271" s="4" t="s">
        <v>25</v>
      </c>
      <c r="L271" t="b">
        <v>1</v>
      </c>
    </row>
    <row r="272" spans="1:12" x14ac:dyDescent="0.25">
      <c r="A272" s="4" t="s">
        <v>675</v>
      </c>
      <c r="B272" s="4" t="s">
        <v>80</v>
      </c>
      <c r="C272" s="4" t="s">
        <v>106</v>
      </c>
      <c r="D272">
        <v>30</v>
      </c>
      <c r="E272" s="4" t="s">
        <v>63</v>
      </c>
      <c r="F272" s="4" t="s">
        <v>16</v>
      </c>
      <c r="G272" s="1">
        <v>45003</v>
      </c>
      <c r="H272" s="4" t="s">
        <v>676</v>
      </c>
      <c r="I272" s="4" t="s">
        <v>197</v>
      </c>
      <c r="J272">
        <v>-4143637188</v>
      </c>
      <c r="K272" s="4" t="s">
        <v>25</v>
      </c>
      <c r="L272" t="b">
        <v>0</v>
      </c>
    </row>
    <row r="273" spans="1:12" x14ac:dyDescent="0.25">
      <c r="A273" s="4" t="s">
        <v>677</v>
      </c>
      <c r="B273" s="4" t="s">
        <v>27</v>
      </c>
      <c r="C273" s="4" t="s">
        <v>47</v>
      </c>
      <c r="D273">
        <v>40</v>
      </c>
      <c r="E273" s="4" t="s">
        <v>251</v>
      </c>
      <c r="F273" s="4" t="s">
        <v>16</v>
      </c>
      <c r="G273" s="1">
        <v>44676</v>
      </c>
      <c r="H273" s="4" t="s">
        <v>678</v>
      </c>
      <c r="I273" s="4" t="s">
        <v>50</v>
      </c>
      <c r="J273">
        <v>-2392312603</v>
      </c>
      <c r="K273" s="4" t="s">
        <v>25</v>
      </c>
      <c r="L273" t="b">
        <v>0</v>
      </c>
    </row>
    <row r="274" spans="1:12" x14ac:dyDescent="0.25">
      <c r="A274" s="4" t="s">
        <v>679</v>
      </c>
      <c r="B274" s="4" t="s">
        <v>75</v>
      </c>
      <c r="C274" s="4" t="s">
        <v>47</v>
      </c>
      <c r="D274">
        <v>25</v>
      </c>
      <c r="E274" s="4" t="s">
        <v>63</v>
      </c>
      <c r="F274" s="4" t="s">
        <v>30</v>
      </c>
      <c r="G274" s="1">
        <v>44255</v>
      </c>
      <c r="H274" s="4" t="s">
        <v>680</v>
      </c>
      <c r="I274" s="4" t="s">
        <v>300</v>
      </c>
      <c r="J274">
        <v>-3260931065</v>
      </c>
      <c r="K274" s="4" t="s">
        <v>45</v>
      </c>
      <c r="L274" t="b">
        <v>1</v>
      </c>
    </row>
    <row r="275" spans="1:12" x14ac:dyDescent="0.25">
      <c r="A275" s="4" t="s">
        <v>681</v>
      </c>
      <c r="B275" s="4" t="s">
        <v>75</v>
      </c>
      <c r="C275" s="4" t="s">
        <v>47</v>
      </c>
      <c r="E275" s="4" t="s">
        <v>81</v>
      </c>
      <c r="F275" s="4" t="s">
        <v>16</v>
      </c>
      <c r="G275" s="1">
        <v>44772</v>
      </c>
      <c r="H275" s="4" t="s">
        <v>682</v>
      </c>
      <c r="I275" s="4" t="s">
        <v>300</v>
      </c>
      <c r="J275">
        <v>-8433567085</v>
      </c>
      <c r="K275" s="4" t="s">
        <v>25</v>
      </c>
      <c r="L275" t="b">
        <v>1</v>
      </c>
    </row>
    <row r="276" spans="1:12" x14ac:dyDescent="0.25">
      <c r="A276" s="4" t="s">
        <v>683</v>
      </c>
      <c r="B276" s="4" t="s">
        <v>40</v>
      </c>
      <c r="C276" s="4" t="s">
        <v>142</v>
      </c>
      <c r="D276">
        <v>35</v>
      </c>
      <c r="E276" s="4" t="s">
        <v>87</v>
      </c>
      <c r="F276" s="4" t="s">
        <v>16</v>
      </c>
      <c r="G276" s="1">
        <v>44335</v>
      </c>
      <c r="H276" s="4" t="s">
        <v>684</v>
      </c>
      <c r="I276" s="4" t="s">
        <v>163</v>
      </c>
      <c r="J276">
        <v>-414545634</v>
      </c>
      <c r="K276" s="4" t="s">
        <v>45</v>
      </c>
      <c r="L276" t="b">
        <v>1</v>
      </c>
    </row>
    <row r="277" spans="1:12" x14ac:dyDescent="0.25">
      <c r="A277" s="4" t="s">
        <v>685</v>
      </c>
      <c r="B277" s="4" t="s">
        <v>35</v>
      </c>
      <c r="C277" s="4" t="s">
        <v>21</v>
      </c>
      <c r="D277">
        <v>35</v>
      </c>
      <c r="E277" s="4" t="s">
        <v>63</v>
      </c>
      <c r="F277" s="4" t="s">
        <v>30</v>
      </c>
      <c r="G277" s="1">
        <v>45274</v>
      </c>
      <c r="H277" s="4" t="s">
        <v>686</v>
      </c>
      <c r="I277" s="4" t="s">
        <v>183</v>
      </c>
      <c r="J277">
        <v>-200053473</v>
      </c>
      <c r="K277" s="4" t="s">
        <v>33</v>
      </c>
      <c r="L277" t="b">
        <v>1</v>
      </c>
    </row>
    <row r="278" spans="1:12" x14ac:dyDescent="0.25">
      <c r="A278" s="4" t="s">
        <v>687</v>
      </c>
      <c r="B278" s="4" t="s">
        <v>35</v>
      </c>
      <c r="C278" s="4" t="s">
        <v>142</v>
      </c>
      <c r="D278">
        <v>35</v>
      </c>
      <c r="E278" s="4" t="s">
        <v>110</v>
      </c>
      <c r="F278" s="4" t="s">
        <v>30</v>
      </c>
      <c r="G278" s="1">
        <v>44943</v>
      </c>
      <c r="H278" s="4" t="s">
        <v>688</v>
      </c>
      <c r="I278" s="4" t="s">
        <v>632</v>
      </c>
      <c r="J278">
        <v>-9162475540</v>
      </c>
      <c r="K278" s="4" t="s">
        <v>19</v>
      </c>
      <c r="L278" t="b">
        <v>0</v>
      </c>
    </row>
    <row r="279" spans="1:12" x14ac:dyDescent="0.25">
      <c r="A279" s="4" t="s">
        <v>689</v>
      </c>
      <c r="B279" s="4" t="s">
        <v>40</v>
      </c>
      <c r="C279" s="4" t="s">
        <v>106</v>
      </c>
      <c r="D279">
        <v>30</v>
      </c>
      <c r="E279" s="4" t="s">
        <v>165</v>
      </c>
      <c r="F279" s="4" t="s">
        <v>36</v>
      </c>
      <c r="G279" s="1">
        <v>45293</v>
      </c>
      <c r="H279" s="4" t="s">
        <v>690</v>
      </c>
      <c r="I279" s="4" t="s">
        <v>128</v>
      </c>
      <c r="J279">
        <v>-1082555988</v>
      </c>
      <c r="K279" s="4" t="s">
        <v>25</v>
      </c>
      <c r="L279" t="b">
        <v>1</v>
      </c>
    </row>
    <row r="280" spans="1:12" x14ac:dyDescent="0.25">
      <c r="A280" s="4" t="s">
        <v>691</v>
      </c>
      <c r="B280" s="4" t="s">
        <v>35</v>
      </c>
      <c r="C280" s="4" t="s">
        <v>142</v>
      </c>
      <c r="D280">
        <v>40</v>
      </c>
      <c r="E280" s="4" t="s">
        <v>233</v>
      </c>
      <c r="F280" s="4" t="s">
        <v>30</v>
      </c>
      <c r="G280" s="1">
        <v>44386</v>
      </c>
      <c r="H280" s="4" t="s">
        <v>692</v>
      </c>
      <c r="I280" s="4" t="s">
        <v>632</v>
      </c>
      <c r="J280">
        <v>-5343961128</v>
      </c>
      <c r="K280" s="4" t="s">
        <v>25</v>
      </c>
      <c r="L280" t="b">
        <v>1</v>
      </c>
    </row>
    <row r="281" spans="1:12" x14ac:dyDescent="0.25">
      <c r="A281" s="4" t="s">
        <v>693</v>
      </c>
      <c r="B281" s="4" t="s">
        <v>61</v>
      </c>
      <c r="C281" s="4" t="s">
        <v>62</v>
      </c>
      <c r="D281">
        <v>25</v>
      </c>
      <c r="E281" s="4" t="s">
        <v>259</v>
      </c>
      <c r="F281" s="4" t="s">
        <v>30</v>
      </c>
      <c r="G281" s="1">
        <v>44321</v>
      </c>
      <c r="H281" s="4" t="s">
        <v>694</v>
      </c>
      <c r="I281" s="4" t="s">
        <v>65</v>
      </c>
      <c r="J281">
        <v>-1093371188</v>
      </c>
      <c r="K281" s="4" t="s">
        <v>33</v>
      </c>
      <c r="L281" t="b">
        <v>1</v>
      </c>
    </row>
    <row r="282" spans="1:12" x14ac:dyDescent="0.25">
      <c r="A282" s="4" t="s">
        <v>695</v>
      </c>
      <c r="B282" s="4" t="s">
        <v>67</v>
      </c>
      <c r="C282" s="4" t="s">
        <v>21</v>
      </c>
      <c r="D282">
        <v>30</v>
      </c>
      <c r="E282" s="4" t="s">
        <v>187</v>
      </c>
      <c r="F282" s="4" t="s">
        <v>36</v>
      </c>
      <c r="G282" s="1">
        <v>44507</v>
      </c>
      <c r="H282" s="4" t="s">
        <v>696</v>
      </c>
      <c r="I282" s="4" t="s">
        <v>265</v>
      </c>
      <c r="J282">
        <v>-5473820235</v>
      </c>
      <c r="K282" s="4" t="s">
        <v>19</v>
      </c>
      <c r="L282" t="b">
        <v>1</v>
      </c>
    </row>
    <row r="283" spans="1:12" x14ac:dyDescent="0.25">
      <c r="A283" s="4" t="s">
        <v>697</v>
      </c>
      <c r="B283" s="4" t="s">
        <v>61</v>
      </c>
      <c r="C283" s="4" t="s">
        <v>21</v>
      </c>
      <c r="D283">
        <v>25</v>
      </c>
      <c r="E283" s="4" t="s">
        <v>126</v>
      </c>
      <c r="F283" s="4" t="s">
        <v>36</v>
      </c>
      <c r="G283" s="1">
        <v>45168</v>
      </c>
      <c r="H283" s="4" t="s">
        <v>698</v>
      </c>
      <c r="I283" s="4" t="s">
        <v>147</v>
      </c>
      <c r="J283">
        <v>-8485571616</v>
      </c>
      <c r="K283" s="4" t="s">
        <v>45</v>
      </c>
      <c r="L283" t="b">
        <v>0</v>
      </c>
    </row>
    <row r="284" spans="1:12" x14ac:dyDescent="0.25">
      <c r="A284" s="4" t="s">
        <v>699</v>
      </c>
      <c r="B284" s="4" t="s">
        <v>75</v>
      </c>
      <c r="C284" s="4" t="s">
        <v>106</v>
      </c>
      <c r="D284">
        <v>30</v>
      </c>
      <c r="E284" s="4" t="s">
        <v>172</v>
      </c>
      <c r="F284" s="4" t="s">
        <v>36</v>
      </c>
      <c r="G284" s="1">
        <v>45153</v>
      </c>
      <c r="H284" s="4" t="s">
        <v>700</v>
      </c>
      <c r="I284" s="4" t="s">
        <v>153</v>
      </c>
      <c r="J284">
        <v>-6880294239</v>
      </c>
      <c r="K284" s="4" t="s">
        <v>19</v>
      </c>
      <c r="L284" t="b">
        <v>0</v>
      </c>
    </row>
    <row r="285" spans="1:12" x14ac:dyDescent="0.25">
      <c r="A285" s="4" t="s">
        <v>701</v>
      </c>
      <c r="B285" s="4" t="s">
        <v>67</v>
      </c>
      <c r="C285" s="4" t="s">
        <v>14</v>
      </c>
      <c r="E285" s="4" t="s">
        <v>386</v>
      </c>
      <c r="F285" s="4" t="s">
        <v>16</v>
      </c>
      <c r="G285" s="1">
        <v>44189</v>
      </c>
      <c r="H285" s="4" t="s">
        <v>702</v>
      </c>
      <c r="I285" s="4" t="s">
        <v>73</v>
      </c>
      <c r="J285">
        <v>-9036788126</v>
      </c>
      <c r="K285" s="4" t="s">
        <v>33</v>
      </c>
      <c r="L285" t="b">
        <v>0</v>
      </c>
    </row>
    <row r="286" spans="1:12" x14ac:dyDescent="0.25">
      <c r="A286" s="4" t="s">
        <v>703</v>
      </c>
      <c r="B286" s="4" t="s">
        <v>27</v>
      </c>
      <c r="C286" s="4" t="s">
        <v>62</v>
      </c>
      <c r="D286">
        <v>40</v>
      </c>
      <c r="E286" s="4" t="s">
        <v>267</v>
      </c>
      <c r="F286" s="4" t="s">
        <v>30</v>
      </c>
      <c r="G286" s="1">
        <v>45617</v>
      </c>
      <c r="H286" s="4" t="s">
        <v>704</v>
      </c>
      <c r="I286" s="4" t="s">
        <v>177</v>
      </c>
      <c r="J286">
        <v>-8686694319</v>
      </c>
      <c r="K286" s="4" t="s">
        <v>33</v>
      </c>
      <c r="L286" t="b">
        <v>1</v>
      </c>
    </row>
    <row r="287" spans="1:12" x14ac:dyDescent="0.25">
      <c r="A287" s="4" t="s">
        <v>705</v>
      </c>
      <c r="B287" s="4" t="s">
        <v>27</v>
      </c>
      <c r="C287" s="4" t="s">
        <v>41</v>
      </c>
      <c r="D287">
        <v>35</v>
      </c>
      <c r="E287" s="4" t="s">
        <v>113</v>
      </c>
      <c r="F287" s="4" t="s">
        <v>16</v>
      </c>
      <c r="G287" s="1">
        <v>44517</v>
      </c>
      <c r="H287" s="4" t="s">
        <v>706</v>
      </c>
      <c r="I287" s="4" t="s">
        <v>431</v>
      </c>
      <c r="J287">
        <v>-2939087883</v>
      </c>
      <c r="K287" s="4" t="s">
        <v>19</v>
      </c>
      <c r="L287" t="b">
        <v>1</v>
      </c>
    </row>
    <row r="288" spans="1:12" x14ac:dyDescent="0.25">
      <c r="A288" s="4" t="s">
        <v>707</v>
      </c>
      <c r="B288" s="4" t="s">
        <v>75</v>
      </c>
      <c r="C288" s="4" t="s">
        <v>142</v>
      </c>
      <c r="D288">
        <v>30</v>
      </c>
      <c r="E288" s="4" t="s">
        <v>87</v>
      </c>
      <c r="F288" s="4" t="s">
        <v>36</v>
      </c>
      <c r="G288" s="1">
        <v>44225</v>
      </c>
      <c r="H288" s="4" t="s">
        <v>708</v>
      </c>
      <c r="I288" s="4" t="s">
        <v>436</v>
      </c>
      <c r="J288">
        <v>-4344812307</v>
      </c>
      <c r="K288" s="4" t="s">
        <v>45</v>
      </c>
      <c r="L288" t="b">
        <v>0</v>
      </c>
    </row>
    <row r="289" spans="1:12" x14ac:dyDescent="0.25">
      <c r="A289" s="4" t="s">
        <v>709</v>
      </c>
      <c r="B289" s="4" t="s">
        <v>75</v>
      </c>
      <c r="C289" s="4" t="s">
        <v>28</v>
      </c>
      <c r="D289">
        <v>35</v>
      </c>
      <c r="E289" s="4" t="s">
        <v>63</v>
      </c>
      <c r="F289" s="4" t="s">
        <v>16</v>
      </c>
      <c r="G289" s="1">
        <v>45339</v>
      </c>
      <c r="H289" s="4" t="s">
        <v>710</v>
      </c>
      <c r="I289" s="4" t="s">
        <v>375</v>
      </c>
      <c r="J289">
        <v>-3402424032</v>
      </c>
      <c r="K289" s="4" t="s">
        <v>45</v>
      </c>
      <c r="L289" t="b">
        <v>1</v>
      </c>
    </row>
    <row r="290" spans="1:12" x14ac:dyDescent="0.25">
      <c r="A290" s="4" t="s">
        <v>711</v>
      </c>
      <c r="B290" s="4" t="s">
        <v>67</v>
      </c>
      <c r="C290" s="4" t="s">
        <v>142</v>
      </c>
      <c r="D290">
        <v>30</v>
      </c>
      <c r="E290" s="4" t="s">
        <v>259</v>
      </c>
      <c r="F290" s="4" t="s">
        <v>36</v>
      </c>
      <c r="G290" s="1">
        <v>45524</v>
      </c>
      <c r="H290" s="4" t="s">
        <v>712</v>
      </c>
      <c r="I290" s="4" t="s">
        <v>402</v>
      </c>
      <c r="J290">
        <v>-8105955183</v>
      </c>
      <c r="K290" s="4" t="s">
        <v>25</v>
      </c>
      <c r="L290" t="b">
        <v>1</v>
      </c>
    </row>
    <row r="291" spans="1:12" x14ac:dyDescent="0.25">
      <c r="A291" s="4" t="s">
        <v>713</v>
      </c>
      <c r="B291" s="4" t="s">
        <v>80</v>
      </c>
      <c r="C291" s="4" t="s">
        <v>47</v>
      </c>
      <c r="D291">
        <v>25</v>
      </c>
      <c r="E291" s="4" t="s">
        <v>233</v>
      </c>
      <c r="F291" s="4" t="s">
        <v>36</v>
      </c>
      <c r="G291" s="1">
        <v>44493</v>
      </c>
      <c r="H291" s="4" t="s">
        <v>322</v>
      </c>
      <c r="I291" s="4" t="s">
        <v>96</v>
      </c>
      <c r="J291">
        <v>-2694500533</v>
      </c>
      <c r="K291" s="4" t="s">
        <v>45</v>
      </c>
      <c r="L291" t="b">
        <v>0</v>
      </c>
    </row>
    <row r="292" spans="1:12" x14ac:dyDescent="0.25">
      <c r="A292" s="4" t="s">
        <v>714</v>
      </c>
      <c r="B292" s="4" t="s">
        <v>80</v>
      </c>
      <c r="C292" s="4" t="s">
        <v>142</v>
      </c>
      <c r="D292">
        <v>30</v>
      </c>
      <c r="E292" s="4" t="s">
        <v>81</v>
      </c>
      <c r="F292" s="4" t="s">
        <v>36</v>
      </c>
      <c r="G292" s="1">
        <v>44449</v>
      </c>
      <c r="H292" s="4" t="s">
        <v>715</v>
      </c>
      <c r="I292" s="4" t="s">
        <v>160</v>
      </c>
      <c r="J292">
        <v>-2408916497</v>
      </c>
      <c r="K292" s="4" t="s">
        <v>19</v>
      </c>
      <c r="L292" t="b">
        <v>0</v>
      </c>
    </row>
    <row r="293" spans="1:12" x14ac:dyDescent="0.25">
      <c r="A293" s="4" t="s">
        <v>716</v>
      </c>
      <c r="B293" s="4" t="s">
        <v>35</v>
      </c>
      <c r="C293" s="4" t="s">
        <v>41</v>
      </c>
      <c r="D293">
        <v>35</v>
      </c>
      <c r="E293" s="4" t="s">
        <v>63</v>
      </c>
      <c r="F293" s="4" t="s">
        <v>16</v>
      </c>
      <c r="G293" s="1">
        <v>45198</v>
      </c>
      <c r="H293" s="4" t="s">
        <v>717</v>
      </c>
      <c r="I293" s="4" t="s">
        <v>167</v>
      </c>
      <c r="J293">
        <v>-3735439626</v>
      </c>
      <c r="K293" s="4" t="s">
        <v>33</v>
      </c>
      <c r="L293" t="b">
        <v>0</v>
      </c>
    </row>
    <row r="294" spans="1:12" x14ac:dyDescent="0.25">
      <c r="A294" s="4" t="s">
        <v>718</v>
      </c>
      <c r="B294" s="4" t="s">
        <v>80</v>
      </c>
      <c r="C294" s="4" t="s">
        <v>142</v>
      </c>
      <c r="E294" s="4" t="s">
        <v>15</v>
      </c>
      <c r="F294" s="4" t="s">
        <v>30</v>
      </c>
      <c r="G294" s="1">
        <v>44071</v>
      </c>
      <c r="H294" s="4" t="s">
        <v>719</v>
      </c>
      <c r="I294" s="4" t="s">
        <v>160</v>
      </c>
      <c r="J294">
        <v>-3652717271</v>
      </c>
      <c r="K294" s="4" t="s">
        <v>25</v>
      </c>
      <c r="L294" t="b">
        <v>0</v>
      </c>
    </row>
    <row r="295" spans="1:12" x14ac:dyDescent="0.25">
      <c r="A295" s="4" t="s">
        <v>720</v>
      </c>
      <c r="B295" s="4" t="s">
        <v>40</v>
      </c>
      <c r="C295" s="4" t="s">
        <v>62</v>
      </c>
      <c r="E295" s="4" t="s">
        <v>233</v>
      </c>
      <c r="F295" s="4" t="s">
        <v>16</v>
      </c>
      <c r="G295" s="1">
        <v>44810</v>
      </c>
      <c r="H295" s="4" t="s">
        <v>721</v>
      </c>
      <c r="I295" s="4" t="s">
        <v>316</v>
      </c>
      <c r="J295">
        <v>-2397240421</v>
      </c>
      <c r="K295" s="4" t="s">
        <v>25</v>
      </c>
      <c r="L295" t="b">
        <v>1</v>
      </c>
    </row>
    <row r="296" spans="1:12" x14ac:dyDescent="0.25">
      <c r="A296" s="4" t="s">
        <v>722</v>
      </c>
      <c r="B296" s="4" t="s">
        <v>40</v>
      </c>
      <c r="C296" s="4" t="s">
        <v>62</v>
      </c>
      <c r="D296">
        <v>40</v>
      </c>
      <c r="E296" s="4" t="s">
        <v>91</v>
      </c>
      <c r="F296" s="4" t="s">
        <v>36</v>
      </c>
      <c r="G296" s="1">
        <v>45382</v>
      </c>
      <c r="H296" s="4" t="s">
        <v>723</v>
      </c>
      <c r="I296" s="4" t="s">
        <v>316</v>
      </c>
      <c r="J296">
        <v>-6931216375</v>
      </c>
      <c r="K296" s="4" t="s">
        <v>33</v>
      </c>
      <c r="L296" t="b">
        <v>1</v>
      </c>
    </row>
    <row r="297" spans="1:12" x14ac:dyDescent="0.25">
      <c r="A297" s="4" t="s">
        <v>724</v>
      </c>
      <c r="B297" s="4" t="s">
        <v>67</v>
      </c>
      <c r="C297" s="4" t="s">
        <v>21</v>
      </c>
      <c r="D297">
        <v>30</v>
      </c>
      <c r="E297" s="4" t="s">
        <v>91</v>
      </c>
      <c r="F297" s="4" t="s">
        <v>16</v>
      </c>
      <c r="G297" s="1">
        <v>44907</v>
      </c>
      <c r="H297" s="4" t="s">
        <v>725</v>
      </c>
      <c r="I297" s="4" t="s">
        <v>265</v>
      </c>
      <c r="J297">
        <v>-1820916600</v>
      </c>
      <c r="K297" s="4" t="s">
        <v>45</v>
      </c>
      <c r="L297" t="b">
        <v>0</v>
      </c>
    </row>
    <row r="298" spans="1:12" x14ac:dyDescent="0.25">
      <c r="A298" s="4" t="s">
        <v>726</v>
      </c>
      <c r="B298" s="4" t="s">
        <v>13</v>
      </c>
      <c r="C298" s="4" t="s">
        <v>106</v>
      </c>
      <c r="E298" s="4" t="s">
        <v>187</v>
      </c>
      <c r="F298" s="4" t="s">
        <v>30</v>
      </c>
      <c r="G298" s="1">
        <v>44866</v>
      </c>
      <c r="H298" s="4" t="s">
        <v>727</v>
      </c>
      <c r="I298" s="4" t="s">
        <v>108</v>
      </c>
      <c r="J298">
        <v>-23142899</v>
      </c>
      <c r="K298" s="4" t="s">
        <v>33</v>
      </c>
      <c r="L298" t="b">
        <v>1</v>
      </c>
    </row>
    <row r="299" spans="1:12" x14ac:dyDescent="0.25">
      <c r="A299" s="4" t="s">
        <v>728</v>
      </c>
      <c r="B299" s="4" t="s">
        <v>61</v>
      </c>
      <c r="C299" s="4" t="s">
        <v>14</v>
      </c>
      <c r="D299">
        <v>35</v>
      </c>
      <c r="E299" s="4" t="s">
        <v>87</v>
      </c>
      <c r="F299" s="4" t="s">
        <v>16</v>
      </c>
      <c r="G299" s="1">
        <v>45224</v>
      </c>
      <c r="H299" s="4" t="s">
        <v>729</v>
      </c>
      <c r="I299" s="4" t="s">
        <v>200</v>
      </c>
      <c r="J299">
        <v>-1851327971</v>
      </c>
      <c r="K299" s="4" t="s">
        <v>45</v>
      </c>
      <c r="L299" t="b">
        <v>0</v>
      </c>
    </row>
    <row r="300" spans="1:12" x14ac:dyDescent="0.25">
      <c r="A300" s="4" t="s">
        <v>730</v>
      </c>
      <c r="B300" s="4" t="s">
        <v>13</v>
      </c>
      <c r="C300" s="4" t="s">
        <v>28</v>
      </c>
      <c r="E300" s="4" t="s">
        <v>22</v>
      </c>
      <c r="F300" s="4" t="s">
        <v>36</v>
      </c>
      <c r="G300" s="1">
        <v>44101</v>
      </c>
      <c r="H300" s="4" t="s">
        <v>731</v>
      </c>
      <c r="I300" s="4" t="s">
        <v>56</v>
      </c>
      <c r="J300">
        <v>-4572308480</v>
      </c>
      <c r="K300" s="4" t="s">
        <v>33</v>
      </c>
      <c r="L300" t="b">
        <v>0</v>
      </c>
    </row>
    <row r="301" spans="1:12" x14ac:dyDescent="0.25">
      <c r="A301" s="4" t="s">
        <v>732</v>
      </c>
      <c r="B301" s="4" t="s">
        <v>27</v>
      </c>
      <c r="C301" s="4" t="s">
        <v>47</v>
      </c>
      <c r="E301" s="4" t="s">
        <v>116</v>
      </c>
      <c r="F301" s="4" t="s">
        <v>36</v>
      </c>
      <c r="G301" s="1">
        <v>45312</v>
      </c>
      <c r="H301" s="4" t="s">
        <v>733</v>
      </c>
      <c r="I301" s="4" t="s">
        <v>50</v>
      </c>
      <c r="J301">
        <v>-18418619</v>
      </c>
      <c r="K301" s="4" t="s">
        <v>19</v>
      </c>
      <c r="L301" t="b">
        <v>1</v>
      </c>
    </row>
    <row r="302" spans="1:12" x14ac:dyDescent="0.25">
      <c r="A302" s="4" t="s">
        <v>734</v>
      </c>
      <c r="B302" s="4" t="s">
        <v>27</v>
      </c>
      <c r="C302" s="4" t="s">
        <v>142</v>
      </c>
      <c r="D302">
        <v>30</v>
      </c>
      <c r="E302" s="4" t="s">
        <v>48</v>
      </c>
      <c r="F302" s="4" t="s">
        <v>16</v>
      </c>
      <c r="G302" s="1">
        <v>44698</v>
      </c>
      <c r="H302" s="4" t="s">
        <v>735</v>
      </c>
      <c r="I302" s="4" t="s">
        <v>217</v>
      </c>
      <c r="J302">
        <v>-3036625435</v>
      </c>
      <c r="K302" s="4" t="s">
        <v>45</v>
      </c>
      <c r="L302" t="b">
        <v>0</v>
      </c>
    </row>
    <row r="303" spans="1:12" x14ac:dyDescent="0.25">
      <c r="A303" s="4" t="s">
        <v>736</v>
      </c>
      <c r="B303" s="4" t="s">
        <v>27</v>
      </c>
      <c r="C303" s="4" t="s">
        <v>142</v>
      </c>
      <c r="D303">
        <v>25</v>
      </c>
      <c r="E303" s="4" t="s">
        <v>22</v>
      </c>
      <c r="F303" s="4" t="s">
        <v>36</v>
      </c>
      <c r="G303" s="1">
        <v>44668</v>
      </c>
      <c r="H303" s="4" t="s">
        <v>737</v>
      </c>
      <c r="I303" s="4" t="s">
        <v>217</v>
      </c>
      <c r="J303">
        <v>-1721314518</v>
      </c>
      <c r="K303" s="4" t="s">
        <v>19</v>
      </c>
      <c r="L303" t="b">
        <v>1</v>
      </c>
    </row>
    <row r="304" spans="1:12" x14ac:dyDescent="0.25">
      <c r="A304" s="4" t="s">
        <v>738</v>
      </c>
      <c r="B304" s="4" t="s">
        <v>80</v>
      </c>
      <c r="C304" s="4" t="s">
        <v>41</v>
      </c>
      <c r="D304">
        <v>35</v>
      </c>
      <c r="E304" s="4" t="s">
        <v>130</v>
      </c>
      <c r="F304" s="4" t="s">
        <v>36</v>
      </c>
      <c r="G304" s="1">
        <v>44600</v>
      </c>
      <c r="H304" s="4" t="s">
        <v>739</v>
      </c>
      <c r="I304" s="4" t="s">
        <v>83</v>
      </c>
      <c r="J304">
        <v>-5151092267</v>
      </c>
      <c r="K304" s="4" t="s">
        <v>25</v>
      </c>
      <c r="L304" t="b">
        <v>1</v>
      </c>
    </row>
    <row r="305" spans="1:12" x14ac:dyDescent="0.25">
      <c r="A305" s="4" t="s">
        <v>740</v>
      </c>
      <c r="B305" s="4" t="s">
        <v>61</v>
      </c>
      <c r="C305" s="4" t="s">
        <v>106</v>
      </c>
      <c r="D305">
        <v>35</v>
      </c>
      <c r="E305" s="4" t="s">
        <v>68</v>
      </c>
      <c r="F305" s="4" t="s">
        <v>30</v>
      </c>
      <c r="G305" s="1">
        <v>44635</v>
      </c>
      <c r="H305" s="4" t="s">
        <v>741</v>
      </c>
      <c r="I305" s="4" t="s">
        <v>607</v>
      </c>
      <c r="J305">
        <v>-5926249450</v>
      </c>
      <c r="K305" s="4" t="s">
        <v>33</v>
      </c>
      <c r="L305" t="b">
        <v>1</v>
      </c>
    </row>
    <row r="306" spans="1:12" x14ac:dyDescent="0.25">
      <c r="A306" s="4" t="s">
        <v>742</v>
      </c>
      <c r="B306" s="4" t="s">
        <v>67</v>
      </c>
      <c r="C306" s="4" t="s">
        <v>62</v>
      </c>
      <c r="D306">
        <v>25</v>
      </c>
      <c r="E306" s="4" t="s">
        <v>312</v>
      </c>
      <c r="F306" s="4" t="s">
        <v>36</v>
      </c>
      <c r="G306" s="1">
        <v>45210</v>
      </c>
      <c r="H306" s="4" t="s">
        <v>743</v>
      </c>
      <c r="I306" s="4" t="s">
        <v>257</v>
      </c>
      <c r="J306">
        <v>-4754102251</v>
      </c>
      <c r="K306" s="4" t="s">
        <v>25</v>
      </c>
      <c r="L306" t="b">
        <v>1</v>
      </c>
    </row>
    <row r="307" spans="1:12" x14ac:dyDescent="0.25">
      <c r="A307" s="4" t="s">
        <v>744</v>
      </c>
      <c r="B307" s="4" t="s">
        <v>80</v>
      </c>
      <c r="C307" s="4" t="s">
        <v>28</v>
      </c>
      <c r="D307">
        <v>30</v>
      </c>
      <c r="E307" s="4" t="s">
        <v>244</v>
      </c>
      <c r="F307" s="4" t="s">
        <v>36</v>
      </c>
      <c r="G307" s="1">
        <v>44148</v>
      </c>
      <c r="H307" s="4" t="s">
        <v>745</v>
      </c>
      <c r="I307" s="4" t="s">
        <v>89</v>
      </c>
      <c r="J307">
        <v>-6771196420</v>
      </c>
      <c r="K307" s="4" t="s">
        <v>25</v>
      </c>
      <c r="L307" t="b">
        <v>0</v>
      </c>
    </row>
    <row r="308" spans="1:12" x14ac:dyDescent="0.25">
      <c r="A308" s="4" t="s">
        <v>746</v>
      </c>
      <c r="B308" s="4" t="s">
        <v>13</v>
      </c>
      <c r="C308" s="4" t="s">
        <v>21</v>
      </c>
      <c r="D308">
        <v>25</v>
      </c>
      <c r="E308" s="4" t="s">
        <v>270</v>
      </c>
      <c r="F308" s="4" t="s">
        <v>30</v>
      </c>
      <c r="G308" s="1">
        <v>45399</v>
      </c>
      <c r="H308" s="4" t="s">
        <v>747</v>
      </c>
      <c r="I308" s="4" t="s">
        <v>24</v>
      </c>
      <c r="J308">
        <v>-5226557675</v>
      </c>
      <c r="K308" s="4" t="s">
        <v>25</v>
      </c>
      <c r="L308" t="b">
        <v>1</v>
      </c>
    </row>
    <row r="309" spans="1:12" x14ac:dyDescent="0.25">
      <c r="A309" s="4" t="s">
        <v>748</v>
      </c>
      <c r="B309" s="4" t="s">
        <v>67</v>
      </c>
      <c r="C309" s="4" t="s">
        <v>62</v>
      </c>
      <c r="D309">
        <v>30</v>
      </c>
      <c r="E309" s="4" t="s">
        <v>187</v>
      </c>
      <c r="F309" s="4" t="s">
        <v>30</v>
      </c>
      <c r="G309" s="1">
        <v>43899</v>
      </c>
      <c r="H309" s="4" t="s">
        <v>749</v>
      </c>
      <c r="I309" s="4" t="s">
        <v>257</v>
      </c>
      <c r="J309">
        <v>-9523668787</v>
      </c>
      <c r="K309" s="4" t="s">
        <v>25</v>
      </c>
      <c r="L309" t="b">
        <v>0</v>
      </c>
    </row>
    <row r="310" spans="1:12" x14ac:dyDescent="0.25">
      <c r="A310" s="4" t="s">
        <v>750</v>
      </c>
      <c r="B310" s="4" t="s">
        <v>27</v>
      </c>
      <c r="C310" s="4" t="s">
        <v>47</v>
      </c>
      <c r="D310">
        <v>30</v>
      </c>
      <c r="E310" s="4" t="s">
        <v>278</v>
      </c>
      <c r="F310" s="4" t="s">
        <v>36</v>
      </c>
      <c r="G310" s="1">
        <v>44729</v>
      </c>
      <c r="H310" s="4" t="s">
        <v>751</v>
      </c>
      <c r="I310" s="4" t="s">
        <v>50</v>
      </c>
      <c r="J310">
        <v>-7883619688</v>
      </c>
      <c r="K310" s="4" t="s">
        <v>33</v>
      </c>
      <c r="L310" t="b">
        <v>0</v>
      </c>
    </row>
    <row r="311" spans="1:12" x14ac:dyDescent="0.25">
      <c r="A311" s="4" t="s">
        <v>752</v>
      </c>
      <c r="B311" s="4" t="s">
        <v>27</v>
      </c>
      <c r="C311" s="4" t="s">
        <v>106</v>
      </c>
      <c r="D311">
        <v>30</v>
      </c>
      <c r="E311" s="4" t="s">
        <v>210</v>
      </c>
      <c r="F311" s="4" t="s">
        <v>16</v>
      </c>
      <c r="G311" s="1">
        <v>45501</v>
      </c>
      <c r="H311" s="4" t="s">
        <v>753</v>
      </c>
      <c r="I311" s="4" t="s">
        <v>194</v>
      </c>
      <c r="J311">
        <v>-3135030586</v>
      </c>
      <c r="K311" s="4" t="s">
        <v>25</v>
      </c>
      <c r="L311" t="b">
        <v>0</v>
      </c>
    </row>
    <row r="312" spans="1:12" x14ac:dyDescent="0.25">
      <c r="A312" s="4" t="s">
        <v>754</v>
      </c>
      <c r="B312" s="4" t="s">
        <v>40</v>
      </c>
      <c r="C312" s="4" t="s">
        <v>47</v>
      </c>
      <c r="D312">
        <v>30</v>
      </c>
      <c r="E312" s="4" t="s">
        <v>76</v>
      </c>
      <c r="F312" s="4" t="s">
        <v>30</v>
      </c>
      <c r="G312" s="1">
        <v>44898</v>
      </c>
      <c r="H312" s="4" t="s">
        <v>755</v>
      </c>
      <c r="I312" s="4" t="s">
        <v>214</v>
      </c>
      <c r="J312">
        <v>-2105524727</v>
      </c>
      <c r="K312" s="4" t="s">
        <v>33</v>
      </c>
      <c r="L312" t="b">
        <v>0</v>
      </c>
    </row>
    <row r="313" spans="1:12" x14ac:dyDescent="0.25">
      <c r="A313" s="4" t="s">
        <v>756</v>
      </c>
      <c r="B313" s="4" t="s">
        <v>27</v>
      </c>
      <c r="C313" s="4" t="s">
        <v>14</v>
      </c>
      <c r="E313" s="4" t="s">
        <v>259</v>
      </c>
      <c r="F313" s="4" t="s">
        <v>16</v>
      </c>
      <c r="G313" s="1">
        <v>45113</v>
      </c>
      <c r="H313" s="4" t="s">
        <v>757</v>
      </c>
      <c r="I313" s="4" t="s">
        <v>191</v>
      </c>
      <c r="J313">
        <v>-6333021259</v>
      </c>
      <c r="K313" s="4" t="s">
        <v>33</v>
      </c>
      <c r="L313" t="b">
        <v>1</v>
      </c>
    </row>
    <row r="314" spans="1:12" x14ac:dyDescent="0.25">
      <c r="A314" s="4" t="s">
        <v>758</v>
      </c>
      <c r="B314" s="4" t="s">
        <v>27</v>
      </c>
      <c r="C314" s="4" t="s">
        <v>21</v>
      </c>
      <c r="D314">
        <v>35</v>
      </c>
      <c r="E314" s="4" t="s">
        <v>386</v>
      </c>
      <c r="F314" s="4" t="s">
        <v>36</v>
      </c>
      <c r="G314" s="1">
        <v>45440</v>
      </c>
      <c r="H314" s="4" t="s">
        <v>759</v>
      </c>
      <c r="I314" s="4" t="s">
        <v>93</v>
      </c>
      <c r="J314">
        <v>-6501917919</v>
      </c>
      <c r="K314" s="4" t="s">
        <v>19</v>
      </c>
      <c r="L314" t="b">
        <v>1</v>
      </c>
    </row>
    <row r="315" spans="1:12" x14ac:dyDescent="0.25">
      <c r="A315" s="4" t="s">
        <v>760</v>
      </c>
      <c r="B315" s="4" t="s">
        <v>80</v>
      </c>
      <c r="C315" s="4" t="s">
        <v>14</v>
      </c>
      <c r="D315">
        <v>30</v>
      </c>
      <c r="E315" s="4" t="s">
        <v>251</v>
      </c>
      <c r="F315" s="4" t="s">
        <v>16</v>
      </c>
      <c r="G315" s="1">
        <v>45376</v>
      </c>
      <c r="H315" s="4" t="s">
        <v>761</v>
      </c>
      <c r="I315" s="4" t="s">
        <v>276</v>
      </c>
      <c r="J315">
        <v>-2521310961</v>
      </c>
      <c r="K315" s="4" t="s">
        <v>45</v>
      </c>
      <c r="L315" t="b">
        <v>0</v>
      </c>
    </row>
    <row r="316" spans="1:12" x14ac:dyDescent="0.25">
      <c r="A316" s="4" t="s">
        <v>762</v>
      </c>
      <c r="B316" s="4" t="s">
        <v>67</v>
      </c>
      <c r="C316" s="4" t="s">
        <v>41</v>
      </c>
      <c r="D316">
        <v>35</v>
      </c>
      <c r="E316" s="4" t="s">
        <v>63</v>
      </c>
      <c r="F316" s="4" t="s">
        <v>36</v>
      </c>
      <c r="G316" s="1">
        <v>43949</v>
      </c>
      <c r="H316" s="4" t="s">
        <v>763</v>
      </c>
      <c r="I316" s="4" t="s">
        <v>70</v>
      </c>
      <c r="J316">
        <v>-2728476569</v>
      </c>
      <c r="K316" s="4" t="s">
        <v>45</v>
      </c>
      <c r="L316" t="b">
        <v>0</v>
      </c>
    </row>
    <row r="317" spans="1:12" x14ac:dyDescent="0.25">
      <c r="A317" s="4" t="s">
        <v>764</v>
      </c>
      <c r="B317" s="4" t="s">
        <v>61</v>
      </c>
      <c r="C317" s="4" t="s">
        <v>47</v>
      </c>
      <c r="D317">
        <v>40</v>
      </c>
      <c r="E317" s="4" t="s">
        <v>138</v>
      </c>
      <c r="F317" s="4" t="s">
        <v>16</v>
      </c>
      <c r="G317" s="1">
        <v>44507</v>
      </c>
      <c r="H317" s="4" t="s">
        <v>765</v>
      </c>
      <c r="I317" s="4" t="s">
        <v>100</v>
      </c>
      <c r="J317">
        <v>-4120092819</v>
      </c>
      <c r="K317" s="4" t="s">
        <v>33</v>
      </c>
      <c r="L317" t="b">
        <v>1</v>
      </c>
    </row>
    <row r="318" spans="1:12" x14ac:dyDescent="0.25">
      <c r="A318" s="4" t="s">
        <v>766</v>
      </c>
      <c r="B318" s="4" t="s">
        <v>40</v>
      </c>
      <c r="C318" s="4" t="s">
        <v>41</v>
      </c>
      <c r="D318">
        <v>25</v>
      </c>
      <c r="E318" s="4" t="s">
        <v>259</v>
      </c>
      <c r="F318" s="4" t="s">
        <v>16</v>
      </c>
      <c r="G318" s="1">
        <v>43936</v>
      </c>
      <c r="H318" s="4" t="s">
        <v>767</v>
      </c>
      <c r="I318" s="4" t="s">
        <v>44</v>
      </c>
      <c r="J318">
        <v>-6678498435</v>
      </c>
      <c r="K318" s="4" t="s">
        <v>19</v>
      </c>
      <c r="L318" t="b">
        <v>0</v>
      </c>
    </row>
    <row r="319" spans="1:12" x14ac:dyDescent="0.25">
      <c r="A319" s="4" t="s">
        <v>768</v>
      </c>
      <c r="B319" s="4" t="s">
        <v>27</v>
      </c>
      <c r="C319" s="4" t="s">
        <v>142</v>
      </c>
      <c r="D319">
        <v>25</v>
      </c>
      <c r="E319" s="4" t="s">
        <v>102</v>
      </c>
      <c r="F319" s="4" t="s">
        <v>30</v>
      </c>
      <c r="G319" s="1">
        <v>45206</v>
      </c>
      <c r="H319" s="4" t="s">
        <v>769</v>
      </c>
      <c r="I319" s="4" t="s">
        <v>217</v>
      </c>
      <c r="J319">
        <v>-2418623689</v>
      </c>
      <c r="K319" s="4" t="s">
        <v>33</v>
      </c>
      <c r="L319" t="b">
        <v>1</v>
      </c>
    </row>
    <row r="320" spans="1:12" x14ac:dyDescent="0.25">
      <c r="A320" s="4" t="s">
        <v>770</v>
      </c>
      <c r="B320" s="4" t="s">
        <v>40</v>
      </c>
      <c r="C320" s="4" t="s">
        <v>14</v>
      </c>
      <c r="D320">
        <v>35</v>
      </c>
      <c r="E320" s="4" t="s">
        <v>68</v>
      </c>
      <c r="F320" s="4" t="s">
        <v>16</v>
      </c>
      <c r="G320" s="1">
        <v>45349</v>
      </c>
      <c r="H320" s="4" t="s">
        <v>771</v>
      </c>
      <c r="I320" s="4" t="s">
        <v>59</v>
      </c>
      <c r="J320">
        <v>-3628917755</v>
      </c>
      <c r="K320" s="4" t="s">
        <v>33</v>
      </c>
      <c r="L320" t="b">
        <v>0</v>
      </c>
    </row>
    <row r="321" spans="1:12" x14ac:dyDescent="0.25">
      <c r="A321" s="4" t="s">
        <v>772</v>
      </c>
      <c r="B321" s="4" t="s">
        <v>75</v>
      </c>
      <c r="C321" s="4" t="s">
        <v>106</v>
      </c>
      <c r="D321">
        <v>30</v>
      </c>
      <c r="E321" s="4" t="s">
        <v>91</v>
      </c>
      <c r="F321" s="4" t="s">
        <v>30</v>
      </c>
      <c r="G321" s="1">
        <v>44249</v>
      </c>
      <c r="H321" s="4" t="s">
        <v>773</v>
      </c>
      <c r="I321" s="4" t="s">
        <v>153</v>
      </c>
      <c r="J321">
        <v>-6205634110</v>
      </c>
      <c r="K321" s="4" t="s">
        <v>33</v>
      </c>
      <c r="L321" t="b">
        <v>1</v>
      </c>
    </row>
    <row r="322" spans="1:12" x14ac:dyDescent="0.25">
      <c r="A322" s="4" t="s">
        <v>774</v>
      </c>
      <c r="B322" s="4" t="s">
        <v>40</v>
      </c>
      <c r="C322" s="4" t="s">
        <v>47</v>
      </c>
      <c r="D322">
        <v>35</v>
      </c>
      <c r="E322" s="4" t="s">
        <v>130</v>
      </c>
      <c r="F322" s="4" t="s">
        <v>30</v>
      </c>
      <c r="G322" s="1">
        <v>45159</v>
      </c>
      <c r="H322" s="4" t="s">
        <v>775</v>
      </c>
      <c r="I322" s="4" t="s">
        <v>214</v>
      </c>
      <c r="J322">
        <v>-5950342810</v>
      </c>
      <c r="K322" s="4" t="s">
        <v>19</v>
      </c>
      <c r="L322" t="b">
        <v>0</v>
      </c>
    </row>
    <row r="323" spans="1:12" x14ac:dyDescent="0.25">
      <c r="A323" s="4" t="s">
        <v>776</v>
      </c>
      <c r="B323" s="4" t="s">
        <v>75</v>
      </c>
      <c r="C323" s="4" t="s">
        <v>28</v>
      </c>
      <c r="D323">
        <v>40</v>
      </c>
      <c r="E323" s="4" t="s">
        <v>98</v>
      </c>
      <c r="F323" s="4" t="s">
        <v>36</v>
      </c>
      <c r="G323" s="1">
        <v>45390</v>
      </c>
      <c r="H323" s="4" t="s">
        <v>777</v>
      </c>
      <c r="I323" s="4" t="s">
        <v>375</v>
      </c>
      <c r="J323">
        <v>-3904383033</v>
      </c>
      <c r="K323" s="4" t="s">
        <v>45</v>
      </c>
      <c r="L323" t="b">
        <v>0</v>
      </c>
    </row>
    <row r="324" spans="1:12" x14ac:dyDescent="0.25">
      <c r="A324" s="4" t="s">
        <v>778</v>
      </c>
      <c r="B324" s="4" t="s">
        <v>40</v>
      </c>
      <c r="C324" s="4" t="s">
        <v>21</v>
      </c>
      <c r="D324">
        <v>35</v>
      </c>
      <c r="E324" s="4" t="s">
        <v>22</v>
      </c>
      <c r="F324" s="4" t="s">
        <v>30</v>
      </c>
      <c r="G324" s="1">
        <v>45600</v>
      </c>
      <c r="H324" s="4" t="s">
        <v>779</v>
      </c>
      <c r="I324" s="4" t="s">
        <v>280</v>
      </c>
      <c r="J324">
        <v>-1990970050</v>
      </c>
      <c r="K324" s="4" t="s">
        <v>19</v>
      </c>
      <c r="L324" t="b">
        <v>1</v>
      </c>
    </row>
    <row r="325" spans="1:12" x14ac:dyDescent="0.25">
      <c r="A325" s="4" t="s">
        <v>780</v>
      </c>
      <c r="B325" s="4" t="s">
        <v>35</v>
      </c>
      <c r="C325" s="4" t="s">
        <v>62</v>
      </c>
      <c r="E325" s="4" t="s">
        <v>113</v>
      </c>
      <c r="F325" s="4" t="s">
        <v>30</v>
      </c>
      <c r="G325" s="1">
        <v>44686</v>
      </c>
      <c r="H325" s="4" t="s">
        <v>781</v>
      </c>
      <c r="I325" s="4" t="s">
        <v>380</v>
      </c>
      <c r="J325">
        <v>-4054683564</v>
      </c>
      <c r="K325" s="4" t="s">
        <v>25</v>
      </c>
      <c r="L325" t="b">
        <v>0</v>
      </c>
    </row>
    <row r="326" spans="1:12" x14ac:dyDescent="0.25">
      <c r="A326" s="4" t="s">
        <v>782</v>
      </c>
      <c r="B326" s="4" t="s">
        <v>67</v>
      </c>
      <c r="C326" s="4" t="s">
        <v>106</v>
      </c>
      <c r="D326">
        <v>40</v>
      </c>
      <c r="E326" s="4" t="s">
        <v>126</v>
      </c>
      <c r="F326" s="4" t="s">
        <v>36</v>
      </c>
      <c r="G326" s="1">
        <v>44958</v>
      </c>
      <c r="H326" s="4" t="s">
        <v>783</v>
      </c>
      <c r="I326" s="4" t="s">
        <v>124</v>
      </c>
      <c r="J326">
        <v>-2156818208</v>
      </c>
      <c r="K326" s="4" t="s">
        <v>19</v>
      </c>
      <c r="L326" t="b">
        <v>0</v>
      </c>
    </row>
    <row r="327" spans="1:12" x14ac:dyDescent="0.25">
      <c r="A327" s="4" t="s">
        <v>784</v>
      </c>
      <c r="B327" s="4" t="s">
        <v>35</v>
      </c>
      <c r="C327" s="4" t="s">
        <v>106</v>
      </c>
      <c r="D327">
        <v>40</v>
      </c>
      <c r="E327" s="4" t="s">
        <v>386</v>
      </c>
      <c r="F327" s="4" t="s">
        <v>30</v>
      </c>
      <c r="G327" s="1">
        <v>44835</v>
      </c>
      <c r="H327" s="4" t="s">
        <v>785</v>
      </c>
      <c r="I327" s="4" t="s">
        <v>307</v>
      </c>
      <c r="J327">
        <v>-6790422710</v>
      </c>
      <c r="K327" s="4" t="s">
        <v>19</v>
      </c>
      <c r="L327" t="b">
        <v>1</v>
      </c>
    </row>
    <row r="328" spans="1:12" x14ac:dyDescent="0.25">
      <c r="A328" s="4" t="s">
        <v>786</v>
      </c>
      <c r="B328" s="4" t="s">
        <v>40</v>
      </c>
      <c r="C328" s="4" t="s">
        <v>41</v>
      </c>
      <c r="D328">
        <v>30</v>
      </c>
      <c r="E328" s="4" t="s">
        <v>29</v>
      </c>
      <c r="F328" s="4" t="s">
        <v>30</v>
      </c>
      <c r="G328" s="1">
        <v>44831</v>
      </c>
      <c r="H328" s="4" t="s">
        <v>787</v>
      </c>
      <c r="I328" s="4" t="s">
        <v>44</v>
      </c>
      <c r="J328">
        <v>-3322889856</v>
      </c>
      <c r="K328" s="4" t="s">
        <v>19</v>
      </c>
      <c r="L328" t="b">
        <v>0</v>
      </c>
    </row>
    <row r="329" spans="1:12" x14ac:dyDescent="0.25">
      <c r="A329" s="4" t="s">
        <v>788</v>
      </c>
      <c r="B329" s="4" t="s">
        <v>27</v>
      </c>
      <c r="C329" s="4" t="s">
        <v>14</v>
      </c>
      <c r="E329" s="4" t="s">
        <v>187</v>
      </c>
      <c r="F329" s="4" t="s">
        <v>30</v>
      </c>
      <c r="G329" s="1">
        <v>43930</v>
      </c>
      <c r="H329" s="4" t="s">
        <v>789</v>
      </c>
      <c r="I329" s="4" t="s">
        <v>191</v>
      </c>
      <c r="J329">
        <v>-2545960632</v>
      </c>
      <c r="K329" s="4" t="s">
        <v>19</v>
      </c>
      <c r="L329" t="b">
        <v>1</v>
      </c>
    </row>
    <row r="330" spans="1:12" x14ac:dyDescent="0.25">
      <c r="A330" s="4" t="s">
        <v>790</v>
      </c>
      <c r="B330" s="4" t="s">
        <v>67</v>
      </c>
      <c r="C330" s="4" t="s">
        <v>47</v>
      </c>
      <c r="D330">
        <v>25</v>
      </c>
      <c r="E330" s="4" t="s">
        <v>63</v>
      </c>
      <c r="F330" s="4" t="s">
        <v>16</v>
      </c>
      <c r="G330" s="1">
        <v>44278</v>
      </c>
      <c r="H330" s="4" t="s">
        <v>791</v>
      </c>
      <c r="I330" s="4" t="s">
        <v>118</v>
      </c>
      <c r="J330">
        <v>-9912971023</v>
      </c>
      <c r="K330" s="4" t="s">
        <v>45</v>
      </c>
      <c r="L330" t="b">
        <v>1</v>
      </c>
    </row>
    <row r="331" spans="1:12" x14ac:dyDescent="0.25">
      <c r="A331" s="4" t="s">
        <v>792</v>
      </c>
      <c r="B331" s="4" t="s">
        <v>75</v>
      </c>
      <c r="C331" s="4" t="s">
        <v>47</v>
      </c>
      <c r="D331">
        <v>40</v>
      </c>
      <c r="E331" s="4" t="s">
        <v>187</v>
      </c>
      <c r="F331" s="4" t="s">
        <v>30</v>
      </c>
      <c r="G331" s="1">
        <v>44960</v>
      </c>
      <c r="H331" s="4" t="s">
        <v>322</v>
      </c>
      <c r="I331" s="4" t="s">
        <v>300</v>
      </c>
      <c r="J331">
        <v>-8171752420</v>
      </c>
      <c r="K331" s="4" t="s">
        <v>25</v>
      </c>
      <c r="L331" t="b">
        <v>0</v>
      </c>
    </row>
    <row r="332" spans="1:12" x14ac:dyDescent="0.25">
      <c r="A332" s="4" t="s">
        <v>793</v>
      </c>
      <c r="B332" s="4" t="s">
        <v>35</v>
      </c>
      <c r="C332" s="4" t="s">
        <v>142</v>
      </c>
      <c r="E332" s="4" t="s">
        <v>165</v>
      </c>
      <c r="F332" s="4" t="s">
        <v>30</v>
      </c>
      <c r="G332" s="1">
        <v>45496</v>
      </c>
      <c r="H332" s="4" t="s">
        <v>794</v>
      </c>
      <c r="I332" s="4" t="s">
        <v>632</v>
      </c>
      <c r="J332">
        <v>-4955112746</v>
      </c>
      <c r="K332" s="4" t="s">
        <v>45</v>
      </c>
      <c r="L332" t="b">
        <v>0</v>
      </c>
    </row>
    <row r="333" spans="1:12" x14ac:dyDescent="0.25">
      <c r="A333" s="4" t="s">
        <v>795</v>
      </c>
      <c r="B333" s="4" t="s">
        <v>61</v>
      </c>
      <c r="C333" s="4" t="s">
        <v>142</v>
      </c>
      <c r="D333">
        <v>25</v>
      </c>
      <c r="E333" s="4" t="s">
        <v>110</v>
      </c>
      <c r="F333" s="4" t="s">
        <v>16</v>
      </c>
      <c r="G333" s="1">
        <v>44324</v>
      </c>
      <c r="H333" s="4" t="s">
        <v>796</v>
      </c>
      <c r="I333" s="4" t="s">
        <v>231</v>
      </c>
      <c r="J333">
        <v>-4721970545</v>
      </c>
      <c r="K333" s="4" t="s">
        <v>45</v>
      </c>
      <c r="L333" t="b">
        <v>0</v>
      </c>
    </row>
    <row r="334" spans="1:12" x14ac:dyDescent="0.25">
      <c r="A334" s="4" t="s">
        <v>797</v>
      </c>
      <c r="B334" s="4" t="s">
        <v>40</v>
      </c>
      <c r="C334" s="4" t="s">
        <v>21</v>
      </c>
      <c r="D334">
        <v>35</v>
      </c>
      <c r="E334" s="4" t="s">
        <v>22</v>
      </c>
      <c r="F334" s="4" t="s">
        <v>36</v>
      </c>
      <c r="G334" s="1">
        <v>44662</v>
      </c>
      <c r="H334" s="4" t="s">
        <v>798</v>
      </c>
      <c r="I334" s="4" t="s">
        <v>280</v>
      </c>
      <c r="J334">
        <v>-6927589550</v>
      </c>
      <c r="K334" s="4" t="s">
        <v>19</v>
      </c>
      <c r="L334" t="b">
        <v>0</v>
      </c>
    </row>
    <row r="335" spans="1:12" x14ac:dyDescent="0.25">
      <c r="A335" s="4" t="s">
        <v>799</v>
      </c>
      <c r="B335" s="4" t="s">
        <v>67</v>
      </c>
      <c r="C335" s="4" t="s">
        <v>41</v>
      </c>
      <c r="D335">
        <v>35</v>
      </c>
      <c r="E335" s="4" t="s">
        <v>278</v>
      </c>
      <c r="F335" s="4" t="s">
        <v>30</v>
      </c>
      <c r="G335" s="1">
        <v>45588</v>
      </c>
      <c r="H335" s="4" t="s">
        <v>800</v>
      </c>
      <c r="I335" s="4" t="s">
        <v>70</v>
      </c>
      <c r="J335">
        <v>-6874090379</v>
      </c>
      <c r="K335" s="4" t="s">
        <v>33</v>
      </c>
      <c r="L335" t="b">
        <v>0</v>
      </c>
    </row>
    <row r="336" spans="1:12" x14ac:dyDescent="0.25">
      <c r="A336" s="4" t="s">
        <v>801</v>
      </c>
      <c r="B336" s="4" t="s">
        <v>80</v>
      </c>
      <c r="C336" s="4" t="s">
        <v>106</v>
      </c>
      <c r="D336">
        <v>40</v>
      </c>
      <c r="E336" s="4" t="s">
        <v>309</v>
      </c>
      <c r="F336" s="4" t="s">
        <v>36</v>
      </c>
      <c r="G336" s="1">
        <v>43945</v>
      </c>
      <c r="H336" s="4" t="s">
        <v>802</v>
      </c>
      <c r="I336" s="4" t="s">
        <v>197</v>
      </c>
      <c r="J336">
        <v>-2146296135</v>
      </c>
      <c r="K336" s="4" t="s">
        <v>33</v>
      </c>
      <c r="L336" t="b">
        <v>0</v>
      </c>
    </row>
    <row r="337" spans="1:12" x14ac:dyDescent="0.25">
      <c r="A337" s="4" t="s">
        <v>803</v>
      </c>
      <c r="B337" s="4" t="s">
        <v>13</v>
      </c>
      <c r="C337" s="4" t="s">
        <v>47</v>
      </c>
      <c r="D337">
        <v>40</v>
      </c>
      <c r="E337" s="4" t="s">
        <v>116</v>
      </c>
      <c r="F337" s="4" t="s">
        <v>36</v>
      </c>
      <c r="G337" s="1">
        <v>44989</v>
      </c>
      <c r="H337" s="4" t="s">
        <v>804</v>
      </c>
      <c r="I337" s="4" t="s">
        <v>180</v>
      </c>
      <c r="J337">
        <v>-7157787111</v>
      </c>
      <c r="K337" s="4" t="s">
        <v>45</v>
      </c>
      <c r="L337" t="b">
        <v>0</v>
      </c>
    </row>
    <row r="338" spans="1:12" x14ac:dyDescent="0.25">
      <c r="A338" s="4" t="s">
        <v>805</v>
      </c>
      <c r="B338" s="4" t="s">
        <v>27</v>
      </c>
      <c r="C338" s="4" t="s">
        <v>28</v>
      </c>
      <c r="D338">
        <v>30</v>
      </c>
      <c r="E338" s="4" t="s">
        <v>29</v>
      </c>
      <c r="F338" s="4" t="s">
        <v>30</v>
      </c>
      <c r="G338" s="1">
        <v>44804</v>
      </c>
      <c r="H338" s="4" t="s">
        <v>806</v>
      </c>
      <c r="I338" s="4" t="s">
        <v>32</v>
      </c>
      <c r="J338">
        <v>-1663651558</v>
      </c>
      <c r="K338" s="4" t="s">
        <v>45</v>
      </c>
      <c r="L338" t="b">
        <v>1</v>
      </c>
    </row>
    <row r="339" spans="1:12" x14ac:dyDescent="0.25">
      <c r="A339" s="4" t="s">
        <v>807</v>
      </c>
      <c r="B339" s="4" t="s">
        <v>35</v>
      </c>
      <c r="C339" s="4" t="s">
        <v>41</v>
      </c>
      <c r="E339" s="4" t="s">
        <v>259</v>
      </c>
      <c r="F339" s="4" t="s">
        <v>16</v>
      </c>
      <c r="G339" s="1">
        <v>44198</v>
      </c>
      <c r="H339" s="4" t="s">
        <v>808</v>
      </c>
      <c r="I339" s="4" t="s">
        <v>167</v>
      </c>
      <c r="J339">
        <v>-7371470826</v>
      </c>
      <c r="K339" s="4" t="s">
        <v>19</v>
      </c>
      <c r="L339" t="b">
        <v>0</v>
      </c>
    </row>
    <row r="340" spans="1:12" x14ac:dyDescent="0.25">
      <c r="A340" s="4" t="s">
        <v>809</v>
      </c>
      <c r="B340" s="4" t="s">
        <v>67</v>
      </c>
      <c r="C340" s="4" t="s">
        <v>21</v>
      </c>
      <c r="E340" s="4" t="s">
        <v>29</v>
      </c>
      <c r="F340" s="4" t="s">
        <v>36</v>
      </c>
      <c r="G340" s="1">
        <v>43988</v>
      </c>
      <c r="H340" s="4" t="s">
        <v>810</v>
      </c>
      <c r="I340" s="4" t="s">
        <v>265</v>
      </c>
      <c r="J340">
        <v>-2359096055</v>
      </c>
      <c r="K340" s="4" t="s">
        <v>45</v>
      </c>
      <c r="L340" t="b">
        <v>1</v>
      </c>
    </row>
    <row r="341" spans="1:12" x14ac:dyDescent="0.25">
      <c r="A341" s="4" t="s">
        <v>811</v>
      </c>
      <c r="B341" s="4" t="s">
        <v>80</v>
      </c>
      <c r="C341" s="4" t="s">
        <v>21</v>
      </c>
      <c r="E341" s="4" t="s">
        <v>251</v>
      </c>
      <c r="F341" s="4" t="s">
        <v>30</v>
      </c>
      <c r="G341" s="1">
        <v>44117</v>
      </c>
      <c r="H341" s="4" t="s">
        <v>812</v>
      </c>
      <c r="I341" s="4" t="s">
        <v>240</v>
      </c>
      <c r="J341">
        <v>-7303064420</v>
      </c>
      <c r="K341" s="4" t="s">
        <v>19</v>
      </c>
      <c r="L341" t="b">
        <v>0</v>
      </c>
    </row>
    <row r="342" spans="1:12" x14ac:dyDescent="0.25">
      <c r="A342" s="4" t="s">
        <v>813</v>
      </c>
      <c r="B342" s="4" t="s">
        <v>13</v>
      </c>
      <c r="C342" s="4" t="s">
        <v>41</v>
      </c>
      <c r="E342" s="4" t="s">
        <v>15</v>
      </c>
      <c r="F342" s="4" t="s">
        <v>16</v>
      </c>
      <c r="G342" s="1">
        <v>44031</v>
      </c>
      <c r="H342" s="4" t="s">
        <v>814</v>
      </c>
      <c r="I342" s="4" t="s">
        <v>170</v>
      </c>
      <c r="J342">
        <v>-2146147682</v>
      </c>
      <c r="K342" s="4" t="s">
        <v>33</v>
      </c>
      <c r="L342" t="b">
        <v>0</v>
      </c>
    </row>
    <row r="343" spans="1:12" x14ac:dyDescent="0.25">
      <c r="A343" s="4" t="s">
        <v>815</v>
      </c>
      <c r="B343" s="4" t="s">
        <v>40</v>
      </c>
      <c r="C343" s="4" t="s">
        <v>21</v>
      </c>
      <c r="E343" s="4" t="s">
        <v>113</v>
      </c>
      <c r="F343" s="4" t="s">
        <v>36</v>
      </c>
      <c r="G343" s="1">
        <v>45415</v>
      </c>
      <c r="H343" s="4" t="s">
        <v>816</v>
      </c>
      <c r="I343" s="4" t="s">
        <v>280</v>
      </c>
      <c r="J343">
        <v>-4201654234</v>
      </c>
      <c r="K343" s="4" t="s">
        <v>33</v>
      </c>
      <c r="L343" t="b">
        <v>1</v>
      </c>
    </row>
    <row r="344" spans="1:12" x14ac:dyDescent="0.25">
      <c r="A344" s="4" t="s">
        <v>817</v>
      </c>
      <c r="B344" s="4" t="s">
        <v>75</v>
      </c>
      <c r="C344" s="4" t="s">
        <v>41</v>
      </c>
      <c r="D344">
        <v>40</v>
      </c>
      <c r="E344" s="4" t="s">
        <v>138</v>
      </c>
      <c r="F344" s="4" t="s">
        <v>30</v>
      </c>
      <c r="G344" s="1">
        <v>44599</v>
      </c>
      <c r="H344" s="4" t="s">
        <v>818</v>
      </c>
      <c r="I344" s="4" t="s">
        <v>78</v>
      </c>
      <c r="J344">
        <v>-6778265959</v>
      </c>
      <c r="K344" s="4" t="s">
        <v>25</v>
      </c>
      <c r="L344" t="b">
        <v>0</v>
      </c>
    </row>
    <row r="345" spans="1:12" x14ac:dyDescent="0.25">
      <c r="A345" s="4" t="s">
        <v>819</v>
      </c>
      <c r="B345" s="4" t="s">
        <v>80</v>
      </c>
      <c r="C345" s="4" t="s">
        <v>62</v>
      </c>
      <c r="D345">
        <v>25</v>
      </c>
      <c r="E345" s="4" t="s">
        <v>210</v>
      </c>
      <c r="F345" s="4" t="s">
        <v>16</v>
      </c>
      <c r="G345" s="1">
        <v>45291</v>
      </c>
      <c r="H345" s="4" t="s">
        <v>820</v>
      </c>
      <c r="I345" s="4" t="s">
        <v>150</v>
      </c>
      <c r="J345">
        <v>-8931992549</v>
      </c>
      <c r="K345" s="4" t="s">
        <v>33</v>
      </c>
      <c r="L345" t="b">
        <v>0</v>
      </c>
    </row>
    <row r="346" spans="1:12" x14ac:dyDescent="0.25">
      <c r="A346" s="4" t="s">
        <v>821</v>
      </c>
      <c r="B346" s="4" t="s">
        <v>80</v>
      </c>
      <c r="C346" s="4" t="s">
        <v>41</v>
      </c>
      <c r="D346">
        <v>30</v>
      </c>
      <c r="E346" s="4" t="s">
        <v>270</v>
      </c>
      <c r="F346" s="4" t="s">
        <v>36</v>
      </c>
      <c r="G346" s="1">
        <v>44569</v>
      </c>
      <c r="H346" s="4" t="s">
        <v>322</v>
      </c>
      <c r="I346" s="4" t="s">
        <v>83</v>
      </c>
      <c r="J346">
        <v>-2727516479</v>
      </c>
      <c r="K346" s="4" t="s">
        <v>45</v>
      </c>
      <c r="L346" t="b">
        <v>1</v>
      </c>
    </row>
    <row r="347" spans="1:12" x14ac:dyDescent="0.25">
      <c r="A347" s="4" t="s">
        <v>822</v>
      </c>
      <c r="B347" s="4" t="s">
        <v>35</v>
      </c>
      <c r="C347" s="4" t="s">
        <v>14</v>
      </c>
      <c r="D347">
        <v>40</v>
      </c>
      <c r="E347" s="4" t="s">
        <v>172</v>
      </c>
      <c r="F347" s="4" t="s">
        <v>16</v>
      </c>
      <c r="G347" s="1">
        <v>44102</v>
      </c>
      <c r="H347" s="4" t="s">
        <v>823</v>
      </c>
      <c r="I347" s="4" t="s">
        <v>38</v>
      </c>
      <c r="J347">
        <v>-7279103367</v>
      </c>
      <c r="K347" s="4" t="s">
        <v>33</v>
      </c>
      <c r="L347" t="b">
        <v>0</v>
      </c>
    </row>
    <row r="348" spans="1:12" x14ac:dyDescent="0.25">
      <c r="A348" s="4" t="s">
        <v>824</v>
      </c>
      <c r="B348" s="4" t="s">
        <v>80</v>
      </c>
      <c r="C348" s="4" t="s">
        <v>41</v>
      </c>
      <c r="D348">
        <v>25</v>
      </c>
      <c r="E348" s="4" t="s">
        <v>187</v>
      </c>
      <c r="F348" s="4" t="s">
        <v>36</v>
      </c>
      <c r="G348" s="1">
        <v>44966</v>
      </c>
      <c r="H348" s="4" t="s">
        <v>825</v>
      </c>
      <c r="I348" s="4" t="s">
        <v>83</v>
      </c>
      <c r="J348">
        <v>-2963533904</v>
      </c>
      <c r="K348" s="4" t="s">
        <v>19</v>
      </c>
      <c r="L348" t="b">
        <v>0</v>
      </c>
    </row>
    <row r="349" spans="1:12" x14ac:dyDescent="0.25">
      <c r="A349" s="4" t="s">
        <v>826</v>
      </c>
      <c r="B349" s="4" t="s">
        <v>40</v>
      </c>
      <c r="C349" s="4" t="s">
        <v>21</v>
      </c>
      <c r="D349">
        <v>40</v>
      </c>
      <c r="E349" s="4" t="s">
        <v>312</v>
      </c>
      <c r="F349" s="4" t="s">
        <v>36</v>
      </c>
      <c r="G349" s="1">
        <v>44625</v>
      </c>
      <c r="H349" s="4" t="s">
        <v>827</v>
      </c>
      <c r="I349" s="4" t="s">
        <v>280</v>
      </c>
      <c r="J349">
        <v>-5044817765</v>
      </c>
      <c r="K349" s="4" t="s">
        <v>33</v>
      </c>
      <c r="L349" t="b">
        <v>0</v>
      </c>
    </row>
    <row r="350" spans="1:12" x14ac:dyDescent="0.25">
      <c r="A350" s="4" t="s">
        <v>828</v>
      </c>
      <c r="B350" s="4" t="s">
        <v>67</v>
      </c>
      <c r="C350" s="4" t="s">
        <v>47</v>
      </c>
      <c r="E350" s="4" t="s">
        <v>126</v>
      </c>
      <c r="F350" s="4" t="s">
        <v>30</v>
      </c>
      <c r="G350" s="1">
        <v>44610</v>
      </c>
      <c r="H350" s="4" t="s">
        <v>829</v>
      </c>
      <c r="I350" s="4" t="s">
        <v>118</v>
      </c>
      <c r="J350">
        <v>-5586851275</v>
      </c>
      <c r="K350" s="4" t="s">
        <v>25</v>
      </c>
      <c r="L350" t="b">
        <v>1</v>
      </c>
    </row>
    <row r="351" spans="1:12" x14ac:dyDescent="0.25">
      <c r="A351" s="4" t="s">
        <v>830</v>
      </c>
      <c r="B351" s="4" t="s">
        <v>35</v>
      </c>
      <c r="C351" s="4" t="s">
        <v>14</v>
      </c>
      <c r="D351">
        <v>40</v>
      </c>
      <c r="E351" s="4" t="s">
        <v>120</v>
      </c>
      <c r="F351" s="4" t="s">
        <v>16</v>
      </c>
      <c r="G351" s="1">
        <v>44721</v>
      </c>
      <c r="H351" s="4" t="s">
        <v>831</v>
      </c>
      <c r="I351" s="4" t="s">
        <v>38</v>
      </c>
      <c r="J351">
        <v>-5289286645</v>
      </c>
      <c r="K351" s="4" t="s">
        <v>33</v>
      </c>
      <c r="L351" t="b">
        <v>0</v>
      </c>
    </row>
    <row r="352" spans="1:12" x14ac:dyDescent="0.25">
      <c r="A352" s="4" t="s">
        <v>832</v>
      </c>
      <c r="B352" s="4" t="s">
        <v>13</v>
      </c>
      <c r="C352" s="4" t="s">
        <v>21</v>
      </c>
      <c r="D352">
        <v>35</v>
      </c>
      <c r="E352" s="4" t="s">
        <v>76</v>
      </c>
      <c r="F352" s="4" t="s">
        <v>30</v>
      </c>
      <c r="G352" s="1">
        <v>45111</v>
      </c>
      <c r="H352" s="4" t="s">
        <v>833</v>
      </c>
      <c r="I352" s="4" t="s">
        <v>24</v>
      </c>
      <c r="J352">
        <v>-4911110960</v>
      </c>
      <c r="K352" s="4" t="s">
        <v>19</v>
      </c>
      <c r="L352" t="b">
        <v>0</v>
      </c>
    </row>
    <row r="353" spans="1:12" x14ac:dyDescent="0.25">
      <c r="A353" s="4" t="s">
        <v>834</v>
      </c>
      <c r="B353" s="4" t="s">
        <v>75</v>
      </c>
      <c r="C353" s="4" t="s">
        <v>142</v>
      </c>
      <c r="D353">
        <v>25</v>
      </c>
      <c r="E353" s="4" t="s">
        <v>138</v>
      </c>
      <c r="F353" s="4" t="s">
        <v>16</v>
      </c>
      <c r="G353" s="1">
        <v>44641</v>
      </c>
      <c r="H353" s="4" t="s">
        <v>835</v>
      </c>
      <c r="I353" s="4" t="s">
        <v>436</v>
      </c>
      <c r="J353">
        <v>-7981789045</v>
      </c>
      <c r="K353" s="4" t="s">
        <v>19</v>
      </c>
      <c r="L353" t="b">
        <v>0</v>
      </c>
    </row>
    <row r="354" spans="1:12" x14ac:dyDescent="0.25">
      <c r="A354" s="4" t="s">
        <v>836</v>
      </c>
      <c r="B354" s="4" t="s">
        <v>40</v>
      </c>
      <c r="C354" s="4" t="s">
        <v>142</v>
      </c>
      <c r="D354">
        <v>40</v>
      </c>
      <c r="E354" s="4" t="s">
        <v>251</v>
      </c>
      <c r="F354" s="4" t="s">
        <v>30</v>
      </c>
      <c r="G354" s="1">
        <v>45048</v>
      </c>
      <c r="H354" s="4" t="s">
        <v>837</v>
      </c>
      <c r="I354" s="4" t="s">
        <v>163</v>
      </c>
      <c r="J354">
        <v>-3378613714</v>
      </c>
      <c r="K354" s="4" t="s">
        <v>45</v>
      </c>
      <c r="L354" t="b">
        <v>0</v>
      </c>
    </row>
    <row r="355" spans="1:12" x14ac:dyDescent="0.25">
      <c r="A355" s="4" t="s">
        <v>838</v>
      </c>
      <c r="B355" s="4" t="s">
        <v>67</v>
      </c>
      <c r="C355" s="4" t="s">
        <v>47</v>
      </c>
      <c r="D355">
        <v>40</v>
      </c>
      <c r="E355" s="4" t="s">
        <v>76</v>
      </c>
      <c r="F355" s="4" t="s">
        <v>36</v>
      </c>
      <c r="G355" s="1">
        <v>44484</v>
      </c>
      <c r="H355" s="4" t="s">
        <v>839</v>
      </c>
      <c r="I355" s="4" t="s">
        <v>118</v>
      </c>
      <c r="J355">
        <v>-7660538443</v>
      </c>
      <c r="K355" s="4" t="s">
        <v>33</v>
      </c>
      <c r="L355" t="b">
        <v>1</v>
      </c>
    </row>
    <row r="356" spans="1:12" x14ac:dyDescent="0.25">
      <c r="A356" s="4" t="s">
        <v>840</v>
      </c>
      <c r="B356" s="4" t="s">
        <v>75</v>
      </c>
      <c r="C356" s="4" t="s">
        <v>47</v>
      </c>
      <c r="E356" s="4" t="s">
        <v>138</v>
      </c>
      <c r="F356" s="4" t="s">
        <v>36</v>
      </c>
      <c r="G356" s="1">
        <v>44405</v>
      </c>
      <c r="H356" s="4" t="s">
        <v>841</v>
      </c>
      <c r="I356" s="4" t="s">
        <v>300</v>
      </c>
      <c r="J356">
        <v>-4630600024</v>
      </c>
      <c r="K356" s="4" t="s">
        <v>19</v>
      </c>
      <c r="L356" t="b">
        <v>1</v>
      </c>
    </row>
    <row r="357" spans="1:12" x14ac:dyDescent="0.25">
      <c r="A357" s="4" t="s">
        <v>842</v>
      </c>
      <c r="B357" s="4" t="s">
        <v>13</v>
      </c>
      <c r="C357" s="4" t="s">
        <v>14</v>
      </c>
      <c r="E357" s="4" t="s">
        <v>102</v>
      </c>
      <c r="F357" s="4" t="s">
        <v>30</v>
      </c>
      <c r="G357" s="1">
        <v>44199</v>
      </c>
      <c r="H357" s="4" t="s">
        <v>843</v>
      </c>
      <c r="I357" s="4" t="s">
        <v>18</v>
      </c>
      <c r="J357">
        <v>-8955296385</v>
      </c>
      <c r="K357" s="4" t="s">
        <v>25</v>
      </c>
      <c r="L357" t="b">
        <v>0</v>
      </c>
    </row>
    <row r="358" spans="1:12" x14ac:dyDescent="0.25">
      <c r="A358" s="4" t="s">
        <v>844</v>
      </c>
      <c r="B358" s="4" t="s">
        <v>75</v>
      </c>
      <c r="C358" s="4" t="s">
        <v>62</v>
      </c>
      <c r="D358">
        <v>30</v>
      </c>
      <c r="E358" s="4" t="s">
        <v>81</v>
      </c>
      <c r="F358" s="4" t="s">
        <v>30</v>
      </c>
      <c r="G358" s="1">
        <v>43972</v>
      </c>
      <c r="H358" s="4" t="s">
        <v>845</v>
      </c>
      <c r="I358" s="4" t="s">
        <v>132</v>
      </c>
      <c r="J358">
        <v>-3960962625</v>
      </c>
      <c r="K358" s="4" t="s">
        <v>45</v>
      </c>
      <c r="L358" t="b">
        <v>0</v>
      </c>
    </row>
    <row r="359" spans="1:12" x14ac:dyDescent="0.25">
      <c r="A359" s="4" t="s">
        <v>846</v>
      </c>
      <c r="B359" s="4" t="s">
        <v>80</v>
      </c>
      <c r="C359" s="4" t="s">
        <v>47</v>
      </c>
      <c r="D359">
        <v>40</v>
      </c>
      <c r="E359" s="4" t="s">
        <v>29</v>
      </c>
      <c r="F359" s="4" t="s">
        <v>36</v>
      </c>
      <c r="G359" s="1">
        <v>44326</v>
      </c>
      <c r="H359" s="4" t="s">
        <v>847</v>
      </c>
      <c r="I359" s="4" t="s">
        <v>96</v>
      </c>
      <c r="J359">
        <v>-5826312818</v>
      </c>
      <c r="K359" s="4" t="s">
        <v>25</v>
      </c>
      <c r="L359" t="b">
        <v>1</v>
      </c>
    </row>
    <row r="360" spans="1:12" x14ac:dyDescent="0.25">
      <c r="A360" s="4" t="s">
        <v>848</v>
      </c>
      <c r="B360" s="4" t="s">
        <v>80</v>
      </c>
      <c r="C360" s="4" t="s">
        <v>142</v>
      </c>
      <c r="D360">
        <v>40</v>
      </c>
      <c r="E360" s="4" t="s">
        <v>42</v>
      </c>
      <c r="F360" s="4" t="s">
        <v>30</v>
      </c>
      <c r="G360" s="1">
        <v>44812</v>
      </c>
      <c r="H360" s="4" t="s">
        <v>849</v>
      </c>
      <c r="I360" s="4" t="s">
        <v>160</v>
      </c>
      <c r="J360">
        <v>-6482531105</v>
      </c>
      <c r="K360" s="4" t="s">
        <v>33</v>
      </c>
      <c r="L360" t="b">
        <v>1</v>
      </c>
    </row>
    <row r="361" spans="1:12" x14ac:dyDescent="0.25">
      <c r="A361" s="4" t="s">
        <v>850</v>
      </c>
      <c r="B361" s="4" t="s">
        <v>80</v>
      </c>
      <c r="C361" s="4" t="s">
        <v>41</v>
      </c>
      <c r="E361" s="4" t="s">
        <v>312</v>
      </c>
      <c r="F361" s="4" t="s">
        <v>30</v>
      </c>
      <c r="G361" s="1">
        <v>45494</v>
      </c>
      <c r="H361" s="4" t="s">
        <v>851</v>
      </c>
      <c r="I361" s="4" t="s">
        <v>83</v>
      </c>
      <c r="J361">
        <v>-920981959</v>
      </c>
      <c r="K361" s="4" t="s">
        <v>33</v>
      </c>
      <c r="L361" t="b">
        <v>0</v>
      </c>
    </row>
    <row r="362" spans="1:12" x14ac:dyDescent="0.25">
      <c r="A362" s="4" t="s">
        <v>852</v>
      </c>
      <c r="B362" s="4" t="s">
        <v>13</v>
      </c>
      <c r="C362" s="4" t="s">
        <v>21</v>
      </c>
      <c r="D362">
        <v>25</v>
      </c>
      <c r="E362" s="4" t="s">
        <v>29</v>
      </c>
      <c r="F362" s="4" t="s">
        <v>30</v>
      </c>
      <c r="G362" s="1">
        <v>44558</v>
      </c>
      <c r="H362" s="4" t="s">
        <v>853</v>
      </c>
      <c r="I362" s="4" t="s">
        <v>24</v>
      </c>
      <c r="J362">
        <v>-2752334382</v>
      </c>
      <c r="K362" s="4" t="s">
        <v>33</v>
      </c>
      <c r="L362" t="b">
        <v>1</v>
      </c>
    </row>
    <row r="363" spans="1:12" x14ac:dyDescent="0.25">
      <c r="A363" s="4" t="s">
        <v>854</v>
      </c>
      <c r="B363" s="4" t="s">
        <v>80</v>
      </c>
      <c r="C363" s="4" t="s">
        <v>142</v>
      </c>
      <c r="D363">
        <v>35</v>
      </c>
      <c r="E363" s="4" t="s">
        <v>22</v>
      </c>
      <c r="F363" s="4" t="s">
        <v>16</v>
      </c>
      <c r="G363" s="1">
        <v>44032</v>
      </c>
      <c r="H363" s="4" t="s">
        <v>855</v>
      </c>
      <c r="I363" s="4" t="s">
        <v>160</v>
      </c>
      <c r="J363">
        <v>-6404120910</v>
      </c>
      <c r="K363" s="4" t="s">
        <v>45</v>
      </c>
      <c r="L363" t="b">
        <v>0</v>
      </c>
    </row>
    <row r="364" spans="1:12" x14ac:dyDescent="0.25">
      <c r="A364" s="4" t="s">
        <v>856</v>
      </c>
      <c r="B364" s="4" t="s">
        <v>67</v>
      </c>
      <c r="C364" s="4" t="s">
        <v>142</v>
      </c>
      <c r="D364">
        <v>40</v>
      </c>
      <c r="E364" s="4" t="s">
        <v>251</v>
      </c>
      <c r="F364" s="4" t="s">
        <v>36</v>
      </c>
      <c r="G364" s="1">
        <v>45412</v>
      </c>
      <c r="H364" s="4" t="s">
        <v>857</v>
      </c>
      <c r="I364" s="4" t="s">
        <v>402</v>
      </c>
      <c r="J364">
        <v>-7911244210</v>
      </c>
      <c r="K364" s="4" t="s">
        <v>19</v>
      </c>
      <c r="L364" t="b">
        <v>1</v>
      </c>
    </row>
    <row r="365" spans="1:12" x14ac:dyDescent="0.25">
      <c r="A365" s="4" t="s">
        <v>858</v>
      </c>
      <c r="B365" s="4" t="s">
        <v>61</v>
      </c>
      <c r="C365" s="4" t="s">
        <v>62</v>
      </c>
      <c r="D365">
        <v>35</v>
      </c>
      <c r="E365" s="4" t="s">
        <v>42</v>
      </c>
      <c r="F365" s="4" t="s">
        <v>16</v>
      </c>
      <c r="G365" s="1">
        <v>44436</v>
      </c>
      <c r="H365" s="4" t="s">
        <v>859</v>
      </c>
      <c r="I365" s="4" t="s">
        <v>65</v>
      </c>
      <c r="J365">
        <v>-7536170616</v>
      </c>
      <c r="K365" s="4" t="s">
        <v>45</v>
      </c>
      <c r="L365" t="b">
        <v>1</v>
      </c>
    </row>
    <row r="366" spans="1:12" x14ac:dyDescent="0.25">
      <c r="A366" s="4" t="s">
        <v>860</v>
      </c>
      <c r="B366" s="4" t="s">
        <v>13</v>
      </c>
      <c r="C366" s="4" t="s">
        <v>14</v>
      </c>
      <c r="D366">
        <v>30</v>
      </c>
      <c r="E366" s="4" t="s">
        <v>172</v>
      </c>
      <c r="F366" s="4" t="s">
        <v>36</v>
      </c>
      <c r="G366" s="1">
        <v>44763</v>
      </c>
      <c r="H366" s="4" t="s">
        <v>861</v>
      </c>
      <c r="I366" s="4" t="s">
        <v>18</v>
      </c>
      <c r="J366">
        <v>-1366572239</v>
      </c>
      <c r="K366" s="4" t="s">
        <v>25</v>
      </c>
      <c r="L366" t="b">
        <v>1</v>
      </c>
    </row>
    <row r="367" spans="1:12" x14ac:dyDescent="0.25">
      <c r="A367" s="4" t="s">
        <v>862</v>
      </c>
      <c r="B367" s="4" t="s">
        <v>40</v>
      </c>
      <c r="C367" s="4" t="s">
        <v>14</v>
      </c>
      <c r="D367">
        <v>40</v>
      </c>
      <c r="E367" s="4" t="s">
        <v>42</v>
      </c>
      <c r="F367" s="4" t="s">
        <v>30</v>
      </c>
      <c r="G367" s="1">
        <v>45257</v>
      </c>
      <c r="H367" s="4" t="s">
        <v>863</v>
      </c>
      <c r="I367" s="4" t="s">
        <v>59</v>
      </c>
      <c r="J367">
        <v>-2990155798</v>
      </c>
      <c r="K367" s="4" t="s">
        <v>45</v>
      </c>
      <c r="L367" t="b">
        <v>1</v>
      </c>
    </row>
    <row r="368" spans="1:12" x14ac:dyDescent="0.25">
      <c r="A368" s="4" t="s">
        <v>864</v>
      </c>
      <c r="B368" s="4" t="s">
        <v>27</v>
      </c>
      <c r="C368" s="4" t="s">
        <v>106</v>
      </c>
      <c r="D368">
        <v>25</v>
      </c>
      <c r="E368" s="4" t="s">
        <v>312</v>
      </c>
      <c r="F368" s="4" t="s">
        <v>30</v>
      </c>
      <c r="G368" s="1">
        <v>44054</v>
      </c>
      <c r="H368" s="4" t="s">
        <v>865</v>
      </c>
      <c r="I368" s="4" t="s">
        <v>194</v>
      </c>
      <c r="J368">
        <v>-8028413907</v>
      </c>
      <c r="K368" s="4" t="s">
        <v>25</v>
      </c>
      <c r="L368" t="b">
        <v>0</v>
      </c>
    </row>
    <row r="369" spans="1:12" x14ac:dyDescent="0.25">
      <c r="A369" s="4" t="s">
        <v>866</v>
      </c>
      <c r="B369" s="4" t="s">
        <v>67</v>
      </c>
      <c r="C369" s="4" t="s">
        <v>62</v>
      </c>
      <c r="E369" s="4" t="s">
        <v>102</v>
      </c>
      <c r="F369" s="4" t="s">
        <v>16</v>
      </c>
      <c r="G369" s="1">
        <v>44508</v>
      </c>
      <c r="H369" s="4" t="s">
        <v>867</v>
      </c>
      <c r="I369" s="4" t="s">
        <v>257</v>
      </c>
      <c r="J369">
        <v>-882351304</v>
      </c>
      <c r="K369" s="4" t="s">
        <v>45</v>
      </c>
      <c r="L369" t="b">
        <v>1</v>
      </c>
    </row>
    <row r="370" spans="1:12" x14ac:dyDescent="0.25">
      <c r="A370" s="4" t="s">
        <v>868</v>
      </c>
      <c r="B370" s="4" t="s">
        <v>67</v>
      </c>
      <c r="C370" s="4" t="s">
        <v>41</v>
      </c>
      <c r="D370">
        <v>40</v>
      </c>
      <c r="E370" s="4" t="s">
        <v>63</v>
      </c>
      <c r="F370" s="4" t="s">
        <v>16</v>
      </c>
      <c r="G370" s="1">
        <v>45142</v>
      </c>
      <c r="H370" s="4" t="s">
        <v>869</v>
      </c>
      <c r="I370" s="4" t="s">
        <v>70</v>
      </c>
      <c r="J370">
        <v>-2312447314</v>
      </c>
      <c r="K370" s="4" t="s">
        <v>19</v>
      </c>
      <c r="L370" t="b">
        <v>1</v>
      </c>
    </row>
    <row r="371" spans="1:12" x14ac:dyDescent="0.25">
      <c r="A371" s="4" t="s">
        <v>870</v>
      </c>
      <c r="B371" s="4" t="s">
        <v>67</v>
      </c>
      <c r="C371" s="4" t="s">
        <v>14</v>
      </c>
      <c r="D371">
        <v>40</v>
      </c>
      <c r="E371" s="4" t="s">
        <v>87</v>
      </c>
      <c r="F371" s="4" t="s">
        <v>36</v>
      </c>
      <c r="G371" s="1">
        <v>43840</v>
      </c>
      <c r="H371" s="4" t="s">
        <v>871</v>
      </c>
      <c r="I371" s="4" t="s">
        <v>73</v>
      </c>
      <c r="J371">
        <v>-8477686341</v>
      </c>
      <c r="K371" s="4" t="s">
        <v>25</v>
      </c>
      <c r="L371" t="b">
        <v>0</v>
      </c>
    </row>
    <row r="372" spans="1:12" x14ac:dyDescent="0.25">
      <c r="A372" s="4" t="s">
        <v>872</v>
      </c>
      <c r="B372" s="4" t="s">
        <v>13</v>
      </c>
      <c r="C372" s="4" t="s">
        <v>21</v>
      </c>
      <c r="E372" s="4" t="s">
        <v>110</v>
      </c>
      <c r="F372" s="4" t="s">
        <v>16</v>
      </c>
      <c r="G372" s="1">
        <v>44580</v>
      </c>
      <c r="H372" s="4" t="s">
        <v>873</v>
      </c>
      <c r="I372" s="4" t="s">
        <v>24</v>
      </c>
      <c r="J372">
        <v>-3461994236</v>
      </c>
      <c r="K372" s="4" t="s">
        <v>33</v>
      </c>
      <c r="L372" t="b">
        <v>1</v>
      </c>
    </row>
    <row r="373" spans="1:12" x14ac:dyDescent="0.25">
      <c r="A373" s="4" t="s">
        <v>874</v>
      </c>
      <c r="B373" s="4" t="s">
        <v>35</v>
      </c>
      <c r="C373" s="4" t="s">
        <v>47</v>
      </c>
      <c r="D373">
        <v>40</v>
      </c>
      <c r="E373" s="4" t="s">
        <v>259</v>
      </c>
      <c r="F373" s="4" t="s">
        <v>36</v>
      </c>
      <c r="G373" s="1">
        <v>45053</v>
      </c>
      <c r="H373" s="4" t="s">
        <v>875</v>
      </c>
      <c r="I373" s="4" t="s">
        <v>346</v>
      </c>
      <c r="J373">
        <v>-6769459195</v>
      </c>
      <c r="K373" s="4" t="s">
        <v>33</v>
      </c>
      <c r="L373" t="b">
        <v>1</v>
      </c>
    </row>
    <row r="374" spans="1:12" x14ac:dyDescent="0.25">
      <c r="A374" s="4" t="s">
        <v>876</v>
      </c>
      <c r="B374" s="4" t="s">
        <v>13</v>
      </c>
      <c r="C374" s="4" t="s">
        <v>62</v>
      </c>
      <c r="D374">
        <v>35</v>
      </c>
      <c r="E374" s="4" t="s">
        <v>251</v>
      </c>
      <c r="F374" s="4" t="s">
        <v>30</v>
      </c>
      <c r="G374" s="1">
        <v>44184</v>
      </c>
      <c r="H374" s="4" t="s">
        <v>877</v>
      </c>
      <c r="I374" s="4" t="s">
        <v>237</v>
      </c>
      <c r="J374">
        <v>-6395517207</v>
      </c>
      <c r="K374" s="4" t="s">
        <v>45</v>
      </c>
      <c r="L374" t="b">
        <v>0</v>
      </c>
    </row>
    <row r="375" spans="1:12" x14ac:dyDescent="0.25">
      <c r="A375" s="4" t="s">
        <v>878</v>
      </c>
      <c r="B375" s="4" t="s">
        <v>35</v>
      </c>
      <c r="C375" s="4" t="s">
        <v>47</v>
      </c>
      <c r="E375" s="4" t="s">
        <v>48</v>
      </c>
      <c r="F375" s="4" t="s">
        <v>30</v>
      </c>
      <c r="G375" s="1">
        <v>44105</v>
      </c>
      <c r="H375" s="4" t="s">
        <v>879</v>
      </c>
      <c r="I375" s="4" t="s">
        <v>346</v>
      </c>
      <c r="J375">
        <v>-4964985600</v>
      </c>
      <c r="K375" s="4" t="s">
        <v>33</v>
      </c>
      <c r="L375" t="b">
        <v>1</v>
      </c>
    </row>
    <row r="376" spans="1:12" x14ac:dyDescent="0.25">
      <c r="A376" s="4" t="s">
        <v>880</v>
      </c>
      <c r="B376" s="4" t="s">
        <v>13</v>
      </c>
      <c r="C376" s="4" t="s">
        <v>142</v>
      </c>
      <c r="D376">
        <v>30</v>
      </c>
      <c r="E376" s="4" t="s">
        <v>175</v>
      </c>
      <c r="F376" s="4" t="s">
        <v>16</v>
      </c>
      <c r="G376" s="1">
        <v>44877</v>
      </c>
      <c r="H376" s="4" t="s">
        <v>881</v>
      </c>
      <c r="I376" s="4" t="s">
        <v>144</v>
      </c>
      <c r="J376">
        <v>-2562531354</v>
      </c>
      <c r="K376" s="4" t="s">
        <v>25</v>
      </c>
      <c r="L376" t="b">
        <v>0</v>
      </c>
    </row>
    <row r="377" spans="1:12" x14ac:dyDescent="0.25">
      <c r="A377" s="4" t="s">
        <v>882</v>
      </c>
      <c r="B377" s="4" t="s">
        <v>80</v>
      </c>
      <c r="C377" s="4" t="s">
        <v>21</v>
      </c>
      <c r="D377">
        <v>40</v>
      </c>
      <c r="E377" s="4" t="s">
        <v>244</v>
      </c>
      <c r="F377" s="4" t="s">
        <v>30</v>
      </c>
      <c r="G377" s="1">
        <v>44931</v>
      </c>
      <c r="H377" s="4" t="s">
        <v>883</v>
      </c>
      <c r="I377" s="4" t="s">
        <v>240</v>
      </c>
      <c r="J377">
        <v>-2510505378</v>
      </c>
      <c r="K377" s="4" t="s">
        <v>33</v>
      </c>
      <c r="L377" t="b">
        <v>0</v>
      </c>
    </row>
    <row r="378" spans="1:12" x14ac:dyDescent="0.25">
      <c r="A378" s="4" t="s">
        <v>884</v>
      </c>
      <c r="B378" s="4" t="s">
        <v>61</v>
      </c>
      <c r="C378" s="4" t="s">
        <v>21</v>
      </c>
      <c r="E378" s="4" t="s">
        <v>244</v>
      </c>
      <c r="F378" s="4" t="s">
        <v>36</v>
      </c>
      <c r="G378" s="1">
        <v>44118</v>
      </c>
      <c r="H378" s="4" t="s">
        <v>885</v>
      </c>
      <c r="I378" s="4" t="s">
        <v>147</v>
      </c>
      <c r="J378">
        <v>-5381649382</v>
      </c>
      <c r="K378" s="4" t="s">
        <v>19</v>
      </c>
      <c r="L378" t="b">
        <v>0</v>
      </c>
    </row>
    <row r="379" spans="1:12" x14ac:dyDescent="0.25">
      <c r="A379" s="4" t="s">
        <v>886</v>
      </c>
      <c r="B379" s="4" t="s">
        <v>27</v>
      </c>
      <c r="C379" s="4" t="s">
        <v>142</v>
      </c>
      <c r="D379">
        <v>35</v>
      </c>
      <c r="E379" s="4" t="s">
        <v>42</v>
      </c>
      <c r="F379" s="4" t="s">
        <v>16</v>
      </c>
      <c r="G379" s="1">
        <v>44230</v>
      </c>
      <c r="H379" s="4" t="s">
        <v>887</v>
      </c>
      <c r="I379" s="4" t="s">
        <v>217</v>
      </c>
      <c r="J379">
        <v>-1849196654</v>
      </c>
      <c r="K379" s="4" t="s">
        <v>19</v>
      </c>
      <c r="L379" t="b">
        <v>0</v>
      </c>
    </row>
    <row r="380" spans="1:12" x14ac:dyDescent="0.25">
      <c r="A380" s="4" t="s">
        <v>888</v>
      </c>
      <c r="B380" s="4" t="s">
        <v>75</v>
      </c>
      <c r="C380" s="4" t="s">
        <v>62</v>
      </c>
      <c r="D380">
        <v>40</v>
      </c>
      <c r="E380" s="4" t="s">
        <v>270</v>
      </c>
      <c r="F380" s="4" t="s">
        <v>36</v>
      </c>
      <c r="G380" s="1">
        <v>45285</v>
      </c>
      <c r="H380" s="4" t="s">
        <v>889</v>
      </c>
      <c r="I380" s="4" t="s">
        <v>132</v>
      </c>
      <c r="J380">
        <v>-3307704610</v>
      </c>
      <c r="K380" s="4" t="s">
        <v>45</v>
      </c>
      <c r="L380" t="b">
        <v>1</v>
      </c>
    </row>
    <row r="381" spans="1:12" x14ac:dyDescent="0.25">
      <c r="A381" s="4" t="s">
        <v>890</v>
      </c>
      <c r="B381" s="4" t="s">
        <v>13</v>
      </c>
      <c r="C381" s="4" t="s">
        <v>142</v>
      </c>
      <c r="E381" s="4" t="s">
        <v>68</v>
      </c>
      <c r="F381" s="4" t="s">
        <v>36</v>
      </c>
      <c r="G381" s="1">
        <v>43897</v>
      </c>
      <c r="H381" s="4" t="s">
        <v>891</v>
      </c>
      <c r="I381" s="4" t="s">
        <v>144</v>
      </c>
      <c r="J381">
        <v>-7295963903</v>
      </c>
      <c r="K381" s="4" t="s">
        <v>25</v>
      </c>
      <c r="L381" t="b">
        <v>0</v>
      </c>
    </row>
    <row r="382" spans="1:12" x14ac:dyDescent="0.25">
      <c r="A382" s="4" t="s">
        <v>892</v>
      </c>
      <c r="B382" s="4" t="s">
        <v>61</v>
      </c>
      <c r="C382" s="4" t="s">
        <v>47</v>
      </c>
      <c r="D382">
        <v>40</v>
      </c>
      <c r="E382" s="4" t="s">
        <v>259</v>
      </c>
      <c r="F382" s="4" t="s">
        <v>36</v>
      </c>
      <c r="G382" s="1">
        <v>44956</v>
      </c>
      <c r="H382" s="4" t="s">
        <v>893</v>
      </c>
      <c r="I382" s="4" t="s">
        <v>100</v>
      </c>
      <c r="J382">
        <v>-907426087</v>
      </c>
      <c r="K382" s="4" t="s">
        <v>19</v>
      </c>
      <c r="L382" t="b">
        <v>1</v>
      </c>
    </row>
    <row r="383" spans="1:12" x14ac:dyDescent="0.25">
      <c r="A383" s="4" t="s">
        <v>894</v>
      </c>
      <c r="B383" s="4" t="s">
        <v>35</v>
      </c>
      <c r="C383" s="4" t="s">
        <v>106</v>
      </c>
      <c r="E383" s="4" t="s">
        <v>229</v>
      </c>
      <c r="F383" s="4" t="s">
        <v>16</v>
      </c>
      <c r="G383" s="1">
        <v>45387</v>
      </c>
      <c r="H383" s="4" t="s">
        <v>895</v>
      </c>
      <c r="I383" s="4" t="s">
        <v>307</v>
      </c>
      <c r="J383">
        <v>-501716444</v>
      </c>
      <c r="K383" s="4" t="s">
        <v>19</v>
      </c>
      <c r="L383" t="b">
        <v>1</v>
      </c>
    </row>
    <row r="384" spans="1:12" x14ac:dyDescent="0.25">
      <c r="A384" s="4" t="s">
        <v>896</v>
      </c>
      <c r="B384" s="4" t="s">
        <v>80</v>
      </c>
      <c r="C384" s="4" t="s">
        <v>21</v>
      </c>
      <c r="D384">
        <v>25</v>
      </c>
      <c r="E384" s="4" t="s">
        <v>386</v>
      </c>
      <c r="F384" s="4" t="s">
        <v>16</v>
      </c>
      <c r="G384" s="1">
        <v>44440</v>
      </c>
      <c r="H384" s="4" t="s">
        <v>897</v>
      </c>
      <c r="I384" s="4" t="s">
        <v>240</v>
      </c>
      <c r="J384">
        <v>-5618579063</v>
      </c>
      <c r="K384" s="4" t="s">
        <v>25</v>
      </c>
      <c r="L384" t="b">
        <v>1</v>
      </c>
    </row>
    <row r="385" spans="1:12" x14ac:dyDescent="0.25">
      <c r="A385" s="4" t="s">
        <v>898</v>
      </c>
      <c r="B385" s="4" t="s">
        <v>35</v>
      </c>
      <c r="C385" s="4" t="s">
        <v>28</v>
      </c>
      <c r="D385">
        <v>35</v>
      </c>
      <c r="E385" s="4" t="s">
        <v>42</v>
      </c>
      <c r="F385" s="4" t="s">
        <v>16</v>
      </c>
      <c r="G385" s="1">
        <v>45419</v>
      </c>
      <c r="H385" s="4" t="s">
        <v>899</v>
      </c>
      <c r="I385" s="4" t="s">
        <v>323</v>
      </c>
      <c r="J385">
        <v>-7715910299</v>
      </c>
      <c r="K385" s="4" t="s">
        <v>33</v>
      </c>
      <c r="L385" t="b">
        <v>1</v>
      </c>
    </row>
    <row r="386" spans="1:12" x14ac:dyDescent="0.25">
      <c r="A386" s="4" t="s">
        <v>900</v>
      </c>
      <c r="B386" s="4" t="s">
        <v>40</v>
      </c>
      <c r="C386" s="4" t="s">
        <v>28</v>
      </c>
      <c r="E386" s="4" t="s">
        <v>270</v>
      </c>
      <c r="F386" s="4" t="s">
        <v>16</v>
      </c>
      <c r="G386" s="1">
        <v>45092</v>
      </c>
      <c r="H386" s="4" t="s">
        <v>901</v>
      </c>
      <c r="I386" s="4" t="s">
        <v>53</v>
      </c>
      <c r="J386">
        <v>-2156321357</v>
      </c>
      <c r="K386" s="4" t="s">
        <v>33</v>
      </c>
      <c r="L386" t="b">
        <v>1</v>
      </c>
    </row>
    <row r="387" spans="1:12" x14ac:dyDescent="0.25">
      <c r="A387" s="4" t="s">
        <v>902</v>
      </c>
      <c r="B387" s="4" t="s">
        <v>67</v>
      </c>
      <c r="C387" s="4" t="s">
        <v>47</v>
      </c>
      <c r="D387">
        <v>25</v>
      </c>
      <c r="E387" s="4" t="s">
        <v>210</v>
      </c>
      <c r="F387" s="4" t="s">
        <v>30</v>
      </c>
      <c r="G387" s="1">
        <v>44406</v>
      </c>
      <c r="H387" s="4" t="s">
        <v>903</v>
      </c>
      <c r="I387" s="4" t="s">
        <v>118</v>
      </c>
      <c r="J387">
        <v>-40104144</v>
      </c>
      <c r="K387" s="4" t="s">
        <v>45</v>
      </c>
      <c r="L387" t="b">
        <v>1</v>
      </c>
    </row>
    <row r="388" spans="1:12" x14ac:dyDescent="0.25">
      <c r="A388" s="4" t="s">
        <v>904</v>
      </c>
      <c r="B388" s="4" t="s">
        <v>35</v>
      </c>
      <c r="C388" s="4" t="s">
        <v>41</v>
      </c>
      <c r="D388">
        <v>35</v>
      </c>
      <c r="E388" s="4" t="s">
        <v>210</v>
      </c>
      <c r="F388" s="4" t="s">
        <v>30</v>
      </c>
      <c r="G388" s="1">
        <v>45222</v>
      </c>
      <c r="H388" s="4" t="s">
        <v>905</v>
      </c>
      <c r="I388" s="4" t="s">
        <v>167</v>
      </c>
      <c r="J388">
        <v>-9642297124</v>
      </c>
      <c r="K388" s="4" t="s">
        <v>33</v>
      </c>
      <c r="L388" t="b">
        <v>1</v>
      </c>
    </row>
    <row r="389" spans="1:12" x14ac:dyDescent="0.25">
      <c r="A389" s="4" t="s">
        <v>906</v>
      </c>
      <c r="B389" s="4" t="s">
        <v>80</v>
      </c>
      <c r="C389" s="4" t="s">
        <v>14</v>
      </c>
      <c r="D389">
        <v>25</v>
      </c>
      <c r="E389" s="4" t="s">
        <v>175</v>
      </c>
      <c r="F389" s="4" t="s">
        <v>16</v>
      </c>
      <c r="G389" s="1">
        <v>45267</v>
      </c>
      <c r="H389" s="4" t="s">
        <v>907</v>
      </c>
      <c r="I389" s="4" t="s">
        <v>276</v>
      </c>
      <c r="J389">
        <v>-2967188396</v>
      </c>
      <c r="K389" s="4" t="s">
        <v>25</v>
      </c>
      <c r="L389" t="b">
        <v>1</v>
      </c>
    </row>
    <row r="390" spans="1:12" x14ac:dyDescent="0.25">
      <c r="A390" s="4" t="s">
        <v>908</v>
      </c>
      <c r="B390" s="4" t="s">
        <v>40</v>
      </c>
      <c r="C390" s="4" t="s">
        <v>142</v>
      </c>
      <c r="D390">
        <v>30</v>
      </c>
      <c r="E390" s="4" t="s">
        <v>270</v>
      </c>
      <c r="F390" s="4" t="s">
        <v>36</v>
      </c>
      <c r="G390" s="1">
        <v>44122</v>
      </c>
      <c r="H390" s="4" t="s">
        <v>909</v>
      </c>
      <c r="I390" s="4" t="s">
        <v>163</v>
      </c>
      <c r="J390">
        <v>-7457314414</v>
      </c>
      <c r="K390" s="4" t="s">
        <v>19</v>
      </c>
      <c r="L390" t="b">
        <v>1</v>
      </c>
    </row>
    <row r="391" spans="1:12" x14ac:dyDescent="0.25">
      <c r="A391" s="4" t="s">
        <v>910</v>
      </c>
      <c r="B391" s="4" t="s">
        <v>80</v>
      </c>
      <c r="C391" s="4" t="s">
        <v>142</v>
      </c>
      <c r="D391">
        <v>40</v>
      </c>
      <c r="E391" s="4" t="s">
        <v>22</v>
      </c>
      <c r="F391" s="4" t="s">
        <v>30</v>
      </c>
      <c r="G391" s="1">
        <v>45458</v>
      </c>
      <c r="H391" s="4" t="s">
        <v>911</v>
      </c>
      <c r="I391" s="4" t="s">
        <v>160</v>
      </c>
      <c r="J391">
        <v>-8331170302</v>
      </c>
      <c r="K391" s="4" t="s">
        <v>33</v>
      </c>
      <c r="L391" t="b">
        <v>1</v>
      </c>
    </row>
    <row r="392" spans="1:12" x14ac:dyDescent="0.25">
      <c r="A392" s="4" t="s">
        <v>912</v>
      </c>
      <c r="B392" s="4" t="s">
        <v>35</v>
      </c>
      <c r="C392" s="4" t="s">
        <v>41</v>
      </c>
      <c r="D392">
        <v>35</v>
      </c>
      <c r="E392" s="4" t="s">
        <v>130</v>
      </c>
      <c r="F392" s="4" t="s">
        <v>36</v>
      </c>
      <c r="G392" s="1">
        <v>45022</v>
      </c>
      <c r="H392" s="4" t="s">
        <v>913</v>
      </c>
      <c r="I392" s="4" t="s">
        <v>167</v>
      </c>
      <c r="J392">
        <v>-7637153987</v>
      </c>
      <c r="K392" s="4" t="s">
        <v>45</v>
      </c>
      <c r="L392" t="b">
        <v>0</v>
      </c>
    </row>
    <row r="393" spans="1:12" x14ac:dyDescent="0.25">
      <c r="A393" s="4" t="s">
        <v>914</v>
      </c>
      <c r="B393" s="4" t="s">
        <v>13</v>
      </c>
      <c r="C393" s="4" t="s">
        <v>41</v>
      </c>
      <c r="D393">
        <v>40</v>
      </c>
      <c r="E393" s="4" t="s">
        <v>386</v>
      </c>
      <c r="F393" s="4" t="s">
        <v>30</v>
      </c>
      <c r="G393" s="1">
        <v>44564</v>
      </c>
      <c r="H393" s="4" t="s">
        <v>915</v>
      </c>
      <c r="I393" s="4" t="s">
        <v>170</v>
      </c>
      <c r="J393">
        <v>-5472812355</v>
      </c>
      <c r="K393" s="4" t="s">
        <v>33</v>
      </c>
      <c r="L393" t="b">
        <v>0</v>
      </c>
    </row>
    <row r="394" spans="1:12" x14ac:dyDescent="0.25">
      <c r="A394" s="4" t="s">
        <v>916</v>
      </c>
      <c r="B394" s="4" t="s">
        <v>80</v>
      </c>
      <c r="C394" s="4" t="s">
        <v>47</v>
      </c>
      <c r="D394">
        <v>30</v>
      </c>
      <c r="E394" s="4" t="s">
        <v>267</v>
      </c>
      <c r="F394" s="4" t="s">
        <v>36</v>
      </c>
      <c r="G394" s="1">
        <v>44380</v>
      </c>
      <c r="H394" s="4" t="s">
        <v>917</v>
      </c>
      <c r="I394" s="4" t="s">
        <v>96</v>
      </c>
      <c r="J394">
        <v>-7983631461</v>
      </c>
      <c r="K394" s="4" t="s">
        <v>25</v>
      </c>
      <c r="L394" t="b">
        <v>0</v>
      </c>
    </row>
    <row r="395" spans="1:12" x14ac:dyDescent="0.25">
      <c r="A395" s="4" t="s">
        <v>918</v>
      </c>
      <c r="B395" s="4" t="s">
        <v>61</v>
      </c>
      <c r="C395" s="4" t="s">
        <v>47</v>
      </c>
      <c r="E395" s="4" t="s">
        <v>81</v>
      </c>
      <c r="F395" s="4" t="s">
        <v>30</v>
      </c>
      <c r="G395" s="1">
        <v>45392</v>
      </c>
      <c r="H395" s="4" t="s">
        <v>919</v>
      </c>
      <c r="I395" s="4" t="s">
        <v>100</v>
      </c>
      <c r="J395">
        <v>-4912711306</v>
      </c>
      <c r="K395" s="4" t="s">
        <v>45</v>
      </c>
      <c r="L395" t="b">
        <v>1</v>
      </c>
    </row>
    <row r="396" spans="1:12" x14ac:dyDescent="0.25">
      <c r="A396" s="4" t="s">
        <v>920</v>
      </c>
      <c r="B396" s="4" t="s">
        <v>75</v>
      </c>
      <c r="C396" s="4" t="s">
        <v>41</v>
      </c>
      <c r="D396">
        <v>25</v>
      </c>
      <c r="E396" s="4" t="s">
        <v>68</v>
      </c>
      <c r="F396" s="4" t="s">
        <v>36</v>
      </c>
      <c r="G396" s="1">
        <v>44765</v>
      </c>
      <c r="H396" s="4" t="s">
        <v>921</v>
      </c>
      <c r="I396" s="4" t="s">
        <v>78</v>
      </c>
      <c r="J396">
        <v>-2407875417</v>
      </c>
      <c r="K396" s="4" t="s">
        <v>33</v>
      </c>
      <c r="L396" t="b">
        <v>0</v>
      </c>
    </row>
    <row r="397" spans="1:12" x14ac:dyDescent="0.25">
      <c r="A397" s="4" t="s">
        <v>922</v>
      </c>
      <c r="B397" s="4" t="s">
        <v>67</v>
      </c>
      <c r="C397" s="4" t="s">
        <v>21</v>
      </c>
      <c r="D397">
        <v>30</v>
      </c>
      <c r="E397" s="4" t="s">
        <v>15</v>
      </c>
      <c r="F397" s="4" t="s">
        <v>16</v>
      </c>
      <c r="G397" s="1">
        <v>45621</v>
      </c>
      <c r="H397" s="4" t="s">
        <v>923</v>
      </c>
      <c r="I397" s="4" t="s">
        <v>265</v>
      </c>
      <c r="J397">
        <v>-1563268684</v>
      </c>
      <c r="K397" s="4" t="s">
        <v>45</v>
      </c>
      <c r="L397" t="b">
        <v>0</v>
      </c>
    </row>
    <row r="398" spans="1:12" x14ac:dyDescent="0.25">
      <c r="A398" s="4" t="s">
        <v>924</v>
      </c>
      <c r="B398" s="4" t="s">
        <v>40</v>
      </c>
      <c r="C398" s="4" t="s">
        <v>47</v>
      </c>
      <c r="D398">
        <v>35</v>
      </c>
      <c r="E398" s="4" t="s">
        <v>312</v>
      </c>
      <c r="F398" s="4" t="s">
        <v>30</v>
      </c>
      <c r="G398" s="1">
        <v>45159</v>
      </c>
      <c r="H398" s="4" t="s">
        <v>925</v>
      </c>
      <c r="I398" s="4" t="s">
        <v>214</v>
      </c>
      <c r="J398">
        <v>-745106633</v>
      </c>
      <c r="K398" s="4" t="s">
        <v>25</v>
      </c>
      <c r="L398" t="b">
        <v>0</v>
      </c>
    </row>
    <row r="399" spans="1:12" x14ac:dyDescent="0.25">
      <c r="A399" s="4" t="s">
        <v>926</v>
      </c>
      <c r="B399" s="4" t="s">
        <v>35</v>
      </c>
      <c r="C399" s="4" t="s">
        <v>106</v>
      </c>
      <c r="D399">
        <v>30</v>
      </c>
      <c r="E399" s="4" t="s">
        <v>116</v>
      </c>
      <c r="F399" s="4" t="s">
        <v>16</v>
      </c>
      <c r="G399" s="1">
        <v>45272</v>
      </c>
      <c r="H399" s="4" t="s">
        <v>927</v>
      </c>
      <c r="I399" s="4" t="s">
        <v>307</v>
      </c>
      <c r="J399">
        <v>-3629489785</v>
      </c>
      <c r="K399" s="4" t="s">
        <v>19</v>
      </c>
      <c r="L399" t="b">
        <v>1</v>
      </c>
    </row>
    <row r="400" spans="1:12" x14ac:dyDescent="0.25">
      <c r="A400" s="4" t="s">
        <v>928</v>
      </c>
      <c r="B400" s="4" t="s">
        <v>13</v>
      </c>
      <c r="C400" s="4" t="s">
        <v>47</v>
      </c>
      <c r="D400">
        <v>30</v>
      </c>
      <c r="E400" s="4" t="s">
        <v>126</v>
      </c>
      <c r="F400" s="4" t="s">
        <v>30</v>
      </c>
      <c r="G400" s="1">
        <v>45223</v>
      </c>
      <c r="H400" s="4" t="s">
        <v>322</v>
      </c>
      <c r="I400" s="4" t="s">
        <v>180</v>
      </c>
      <c r="J400">
        <v>-1031310093</v>
      </c>
      <c r="K400" s="4" t="s">
        <v>25</v>
      </c>
      <c r="L400" t="b">
        <v>1</v>
      </c>
    </row>
    <row r="401" spans="1:12" x14ac:dyDescent="0.25">
      <c r="A401" s="4" t="s">
        <v>929</v>
      </c>
      <c r="B401" s="4" t="s">
        <v>40</v>
      </c>
      <c r="C401" s="4" t="s">
        <v>142</v>
      </c>
      <c r="D401">
        <v>25</v>
      </c>
      <c r="E401" s="4" t="s">
        <v>116</v>
      </c>
      <c r="F401" s="4" t="s">
        <v>16</v>
      </c>
      <c r="G401" s="1">
        <v>44809</v>
      </c>
      <c r="H401" s="4" t="s">
        <v>930</v>
      </c>
      <c r="I401" s="4" t="s">
        <v>163</v>
      </c>
      <c r="J401">
        <v>-3181439665</v>
      </c>
      <c r="K401" s="4" t="s">
        <v>25</v>
      </c>
      <c r="L401" t="b">
        <v>1</v>
      </c>
    </row>
    <row r="402" spans="1:12" x14ac:dyDescent="0.25">
      <c r="A402" s="4" t="s">
        <v>931</v>
      </c>
      <c r="B402" s="4" t="s">
        <v>13</v>
      </c>
      <c r="C402" s="4" t="s">
        <v>47</v>
      </c>
      <c r="D402">
        <v>25</v>
      </c>
      <c r="E402" s="4" t="s">
        <v>172</v>
      </c>
      <c r="F402" s="4" t="s">
        <v>36</v>
      </c>
      <c r="G402" s="1">
        <v>44111</v>
      </c>
      <c r="H402" s="4" t="s">
        <v>932</v>
      </c>
      <c r="I402" s="4" t="s">
        <v>180</v>
      </c>
      <c r="J402">
        <v>-1347323548</v>
      </c>
      <c r="K402" s="4" t="s">
        <v>25</v>
      </c>
      <c r="L402" t="b">
        <v>1</v>
      </c>
    </row>
    <row r="403" spans="1:12" x14ac:dyDescent="0.25">
      <c r="A403" s="4" t="s">
        <v>933</v>
      </c>
      <c r="B403" s="4" t="s">
        <v>61</v>
      </c>
      <c r="C403" s="4" t="s">
        <v>21</v>
      </c>
      <c r="D403">
        <v>30</v>
      </c>
      <c r="E403" s="4" t="s">
        <v>110</v>
      </c>
      <c r="F403" s="4" t="s">
        <v>30</v>
      </c>
      <c r="G403" s="1">
        <v>43848</v>
      </c>
      <c r="H403" s="4" t="s">
        <v>934</v>
      </c>
      <c r="I403" s="4" t="s">
        <v>147</v>
      </c>
      <c r="J403">
        <v>-4012897431</v>
      </c>
      <c r="K403" s="4" t="s">
        <v>25</v>
      </c>
      <c r="L403" t="b">
        <v>0</v>
      </c>
    </row>
    <row r="404" spans="1:12" x14ac:dyDescent="0.25">
      <c r="A404" s="4" t="s">
        <v>935</v>
      </c>
      <c r="B404" s="4" t="s">
        <v>40</v>
      </c>
      <c r="C404" s="4" t="s">
        <v>41</v>
      </c>
      <c r="D404">
        <v>30</v>
      </c>
      <c r="E404" s="4" t="s">
        <v>386</v>
      </c>
      <c r="F404" s="4" t="s">
        <v>16</v>
      </c>
      <c r="G404" s="1">
        <v>44674</v>
      </c>
      <c r="H404" s="4" t="s">
        <v>936</v>
      </c>
      <c r="I404" s="4" t="s">
        <v>44</v>
      </c>
      <c r="J404">
        <v>-5122572075</v>
      </c>
      <c r="K404" s="4" t="s">
        <v>19</v>
      </c>
      <c r="L404" t="b">
        <v>0</v>
      </c>
    </row>
    <row r="405" spans="1:12" x14ac:dyDescent="0.25">
      <c r="A405" s="4" t="s">
        <v>937</v>
      </c>
      <c r="B405" s="4" t="s">
        <v>67</v>
      </c>
      <c r="C405" s="4" t="s">
        <v>142</v>
      </c>
      <c r="D405">
        <v>25</v>
      </c>
      <c r="E405" s="4" t="s">
        <v>68</v>
      </c>
      <c r="F405" s="4" t="s">
        <v>16</v>
      </c>
      <c r="G405" s="1">
        <v>45038</v>
      </c>
      <c r="H405" s="4" t="s">
        <v>938</v>
      </c>
      <c r="I405" s="4" t="s">
        <v>402</v>
      </c>
      <c r="J405">
        <v>-5024120956</v>
      </c>
      <c r="K405" s="4" t="s">
        <v>19</v>
      </c>
      <c r="L405" t="b">
        <v>0</v>
      </c>
    </row>
    <row r="406" spans="1:12" x14ac:dyDescent="0.25">
      <c r="A406" s="4" t="s">
        <v>939</v>
      </c>
      <c r="B406" s="4" t="s">
        <v>80</v>
      </c>
      <c r="C406" s="4" t="s">
        <v>47</v>
      </c>
      <c r="D406">
        <v>35</v>
      </c>
      <c r="E406" s="4" t="s">
        <v>233</v>
      </c>
      <c r="F406" s="4" t="s">
        <v>36</v>
      </c>
      <c r="G406" s="1">
        <v>45151</v>
      </c>
      <c r="H406" s="4" t="s">
        <v>940</v>
      </c>
      <c r="I406" s="4" t="s">
        <v>96</v>
      </c>
      <c r="J406">
        <v>-9073710093</v>
      </c>
      <c r="K406" s="4" t="s">
        <v>45</v>
      </c>
      <c r="L406" t="b">
        <v>0</v>
      </c>
    </row>
    <row r="407" spans="1:12" x14ac:dyDescent="0.25">
      <c r="A407" s="4" t="s">
        <v>941</v>
      </c>
      <c r="B407" s="4" t="s">
        <v>35</v>
      </c>
      <c r="C407" s="4" t="s">
        <v>21</v>
      </c>
      <c r="D407">
        <v>25</v>
      </c>
      <c r="E407" s="4" t="s">
        <v>15</v>
      </c>
      <c r="F407" s="4" t="s">
        <v>16</v>
      </c>
      <c r="G407" s="1">
        <v>44891</v>
      </c>
      <c r="H407" s="4" t="s">
        <v>942</v>
      </c>
      <c r="I407" s="4" t="s">
        <v>183</v>
      </c>
      <c r="J407">
        <v>-3882211456</v>
      </c>
      <c r="K407" s="4" t="s">
        <v>33</v>
      </c>
      <c r="L407" t="b">
        <v>1</v>
      </c>
    </row>
    <row r="408" spans="1:12" x14ac:dyDescent="0.25">
      <c r="A408" s="4" t="s">
        <v>943</v>
      </c>
      <c r="B408" s="4" t="s">
        <v>80</v>
      </c>
      <c r="C408" s="4" t="s">
        <v>106</v>
      </c>
      <c r="D408">
        <v>35</v>
      </c>
      <c r="E408" s="4" t="s">
        <v>278</v>
      </c>
      <c r="F408" s="4" t="s">
        <v>16</v>
      </c>
      <c r="G408" s="1">
        <v>44844</v>
      </c>
      <c r="H408" s="4" t="s">
        <v>944</v>
      </c>
      <c r="I408" s="4" t="s">
        <v>197</v>
      </c>
      <c r="J408">
        <v>-7584745704</v>
      </c>
      <c r="K408" s="4" t="s">
        <v>19</v>
      </c>
      <c r="L408" t="b">
        <v>1</v>
      </c>
    </row>
    <row r="409" spans="1:12" x14ac:dyDescent="0.25">
      <c r="A409" s="4" t="s">
        <v>945</v>
      </c>
      <c r="B409" s="4" t="s">
        <v>13</v>
      </c>
      <c r="C409" s="4" t="s">
        <v>47</v>
      </c>
      <c r="E409" s="4" t="s">
        <v>312</v>
      </c>
      <c r="F409" s="4" t="s">
        <v>36</v>
      </c>
      <c r="G409" s="1">
        <v>44101</v>
      </c>
      <c r="H409" s="4" t="s">
        <v>946</v>
      </c>
      <c r="I409" s="4" t="s">
        <v>180</v>
      </c>
      <c r="J409">
        <v>-4589714801</v>
      </c>
      <c r="K409" s="4" t="s">
        <v>19</v>
      </c>
      <c r="L409" t="b">
        <v>1</v>
      </c>
    </row>
    <row r="410" spans="1:12" x14ac:dyDescent="0.25">
      <c r="A410" s="4" t="s">
        <v>947</v>
      </c>
      <c r="B410" s="4" t="s">
        <v>80</v>
      </c>
      <c r="C410" s="4" t="s">
        <v>21</v>
      </c>
      <c r="D410">
        <v>35</v>
      </c>
      <c r="E410" s="4" t="s">
        <v>259</v>
      </c>
      <c r="F410" s="4" t="s">
        <v>16</v>
      </c>
      <c r="G410" s="1">
        <v>45393</v>
      </c>
      <c r="H410" s="4" t="s">
        <v>948</v>
      </c>
      <c r="I410" s="4" t="s">
        <v>240</v>
      </c>
      <c r="J410">
        <v>-6325703964</v>
      </c>
      <c r="K410" s="4" t="s">
        <v>33</v>
      </c>
      <c r="L410" t="b">
        <v>0</v>
      </c>
    </row>
    <row r="411" spans="1:12" x14ac:dyDescent="0.25">
      <c r="A411" s="4" t="s">
        <v>949</v>
      </c>
      <c r="B411" s="4" t="s">
        <v>13</v>
      </c>
      <c r="C411" s="4" t="s">
        <v>106</v>
      </c>
      <c r="D411">
        <v>25</v>
      </c>
      <c r="E411" s="4" t="s">
        <v>48</v>
      </c>
      <c r="F411" s="4" t="s">
        <v>16</v>
      </c>
      <c r="G411" s="1">
        <v>44367</v>
      </c>
      <c r="H411" s="4" t="s">
        <v>950</v>
      </c>
      <c r="I411" s="4" t="s">
        <v>108</v>
      </c>
      <c r="J411">
        <v>-3136148781</v>
      </c>
      <c r="K411" s="4" t="s">
        <v>19</v>
      </c>
      <c r="L411" t="b">
        <v>1</v>
      </c>
    </row>
    <row r="412" spans="1:12" x14ac:dyDescent="0.25">
      <c r="A412" s="4" t="s">
        <v>951</v>
      </c>
      <c r="B412" s="4" t="s">
        <v>80</v>
      </c>
      <c r="C412" s="4" t="s">
        <v>41</v>
      </c>
      <c r="E412" s="4" t="s">
        <v>175</v>
      </c>
      <c r="F412" s="4" t="s">
        <v>30</v>
      </c>
      <c r="G412" s="1">
        <v>44857</v>
      </c>
      <c r="H412" s="4" t="s">
        <v>952</v>
      </c>
      <c r="I412" s="4" t="s">
        <v>83</v>
      </c>
      <c r="J412">
        <v>-4556964429</v>
      </c>
      <c r="K412" s="4" t="s">
        <v>25</v>
      </c>
      <c r="L412" t="b">
        <v>1</v>
      </c>
    </row>
    <row r="413" spans="1:12" x14ac:dyDescent="0.25">
      <c r="A413" s="4" t="s">
        <v>953</v>
      </c>
      <c r="B413" s="4" t="s">
        <v>80</v>
      </c>
      <c r="C413" s="4" t="s">
        <v>47</v>
      </c>
      <c r="D413">
        <v>25</v>
      </c>
      <c r="E413" s="4" t="s">
        <v>91</v>
      </c>
      <c r="F413" s="4" t="s">
        <v>30</v>
      </c>
      <c r="G413" s="1">
        <v>45092</v>
      </c>
      <c r="H413" s="4" t="s">
        <v>954</v>
      </c>
      <c r="I413" s="4" t="s">
        <v>96</v>
      </c>
      <c r="J413">
        <v>-9859167953</v>
      </c>
      <c r="K413" s="4" t="s">
        <v>25</v>
      </c>
      <c r="L413" t="b">
        <v>0</v>
      </c>
    </row>
    <row r="414" spans="1:12" x14ac:dyDescent="0.25">
      <c r="A414" s="4" t="s">
        <v>955</v>
      </c>
      <c r="B414" s="4" t="s">
        <v>13</v>
      </c>
      <c r="C414" s="4" t="s">
        <v>106</v>
      </c>
      <c r="E414" s="4" t="s">
        <v>233</v>
      </c>
      <c r="F414" s="4" t="s">
        <v>30</v>
      </c>
      <c r="G414" s="1">
        <v>44500</v>
      </c>
      <c r="H414" s="4" t="s">
        <v>956</v>
      </c>
      <c r="I414" s="4" t="s">
        <v>108</v>
      </c>
      <c r="J414">
        <v>-1072728497</v>
      </c>
      <c r="K414" s="4" t="s">
        <v>33</v>
      </c>
      <c r="L414" t="b">
        <v>0</v>
      </c>
    </row>
    <row r="415" spans="1:12" x14ac:dyDescent="0.25">
      <c r="A415" s="4" t="s">
        <v>957</v>
      </c>
      <c r="B415" s="4" t="s">
        <v>13</v>
      </c>
      <c r="C415" s="4" t="s">
        <v>142</v>
      </c>
      <c r="D415">
        <v>35</v>
      </c>
      <c r="E415" s="4" t="s">
        <v>270</v>
      </c>
      <c r="F415" s="4" t="s">
        <v>30</v>
      </c>
      <c r="G415" s="1">
        <v>45564</v>
      </c>
      <c r="H415" s="4" t="s">
        <v>958</v>
      </c>
      <c r="I415" s="4" t="s">
        <v>144</v>
      </c>
      <c r="J415">
        <v>-2474140702</v>
      </c>
      <c r="K415" s="4" t="s">
        <v>45</v>
      </c>
      <c r="L415" t="b">
        <v>1</v>
      </c>
    </row>
    <row r="416" spans="1:12" x14ac:dyDescent="0.25">
      <c r="A416" s="4" t="s">
        <v>959</v>
      </c>
      <c r="B416" s="4" t="s">
        <v>80</v>
      </c>
      <c r="C416" s="4" t="s">
        <v>41</v>
      </c>
      <c r="D416">
        <v>25</v>
      </c>
      <c r="E416" s="4" t="s">
        <v>309</v>
      </c>
      <c r="F416" s="4" t="s">
        <v>30</v>
      </c>
      <c r="G416" s="1">
        <v>43943</v>
      </c>
      <c r="H416" s="4" t="s">
        <v>960</v>
      </c>
      <c r="I416" s="4" t="s">
        <v>83</v>
      </c>
      <c r="J416">
        <v>-4910740649</v>
      </c>
      <c r="K416" s="4" t="s">
        <v>45</v>
      </c>
      <c r="L416" t="b">
        <v>1</v>
      </c>
    </row>
    <row r="417" spans="1:12" x14ac:dyDescent="0.25">
      <c r="A417" s="4" t="s">
        <v>961</v>
      </c>
      <c r="B417" s="4" t="s">
        <v>61</v>
      </c>
      <c r="C417" s="4" t="s">
        <v>142</v>
      </c>
      <c r="D417">
        <v>25</v>
      </c>
      <c r="E417" s="4" t="s">
        <v>98</v>
      </c>
      <c r="F417" s="4" t="s">
        <v>16</v>
      </c>
      <c r="G417" s="1">
        <v>45267</v>
      </c>
      <c r="H417" s="4" t="s">
        <v>962</v>
      </c>
      <c r="I417" s="4" t="s">
        <v>231</v>
      </c>
      <c r="J417">
        <v>-425488213</v>
      </c>
      <c r="K417" s="4" t="s">
        <v>33</v>
      </c>
      <c r="L417" t="b">
        <v>1</v>
      </c>
    </row>
    <row r="418" spans="1:12" x14ac:dyDescent="0.25">
      <c r="A418" s="4" t="s">
        <v>963</v>
      </c>
      <c r="B418" s="4" t="s">
        <v>40</v>
      </c>
      <c r="C418" s="4" t="s">
        <v>28</v>
      </c>
      <c r="E418" s="4" t="s">
        <v>259</v>
      </c>
      <c r="F418" s="4" t="s">
        <v>36</v>
      </c>
      <c r="G418" s="1">
        <v>44172</v>
      </c>
      <c r="H418" s="4" t="s">
        <v>964</v>
      </c>
      <c r="I418" s="4" t="s">
        <v>53</v>
      </c>
      <c r="J418">
        <v>-2369143074</v>
      </c>
      <c r="K418" s="4" t="s">
        <v>33</v>
      </c>
      <c r="L418" t="b">
        <v>1</v>
      </c>
    </row>
    <row r="419" spans="1:12" x14ac:dyDescent="0.25">
      <c r="A419" s="4" t="s">
        <v>965</v>
      </c>
      <c r="B419" s="4" t="s">
        <v>35</v>
      </c>
      <c r="C419" s="4" t="s">
        <v>62</v>
      </c>
      <c r="D419">
        <v>25</v>
      </c>
      <c r="E419" s="4" t="s">
        <v>312</v>
      </c>
      <c r="F419" s="4" t="s">
        <v>36</v>
      </c>
      <c r="G419" s="1">
        <v>44388</v>
      </c>
      <c r="H419" s="4" t="s">
        <v>966</v>
      </c>
      <c r="I419" s="4" t="s">
        <v>380</v>
      </c>
      <c r="J419">
        <v>-3666144941</v>
      </c>
      <c r="K419" s="4" t="s">
        <v>25</v>
      </c>
      <c r="L419" t="b">
        <v>1</v>
      </c>
    </row>
    <row r="420" spans="1:12" x14ac:dyDescent="0.25">
      <c r="A420" s="4" t="s">
        <v>967</v>
      </c>
      <c r="B420" s="4" t="s">
        <v>13</v>
      </c>
      <c r="C420" s="4" t="s">
        <v>47</v>
      </c>
      <c r="D420">
        <v>40</v>
      </c>
      <c r="E420" s="4" t="s">
        <v>309</v>
      </c>
      <c r="F420" s="4" t="s">
        <v>36</v>
      </c>
      <c r="G420" s="1">
        <v>43944</v>
      </c>
      <c r="H420" s="4" t="s">
        <v>968</v>
      </c>
      <c r="I420" s="4" t="s">
        <v>180</v>
      </c>
      <c r="J420">
        <v>-9659234267</v>
      </c>
      <c r="K420" s="4" t="s">
        <v>45</v>
      </c>
      <c r="L420" t="b">
        <v>1</v>
      </c>
    </row>
    <row r="421" spans="1:12" x14ac:dyDescent="0.25">
      <c r="A421" s="4" t="s">
        <v>969</v>
      </c>
      <c r="B421" s="4" t="s">
        <v>40</v>
      </c>
      <c r="C421" s="4" t="s">
        <v>106</v>
      </c>
      <c r="D421">
        <v>30</v>
      </c>
      <c r="E421" s="4" t="s">
        <v>165</v>
      </c>
      <c r="F421" s="4" t="s">
        <v>30</v>
      </c>
      <c r="G421" s="1">
        <v>45211</v>
      </c>
      <c r="H421" s="4" t="s">
        <v>970</v>
      </c>
      <c r="I421" s="4" t="s">
        <v>128</v>
      </c>
      <c r="J421">
        <v>-3441497825</v>
      </c>
      <c r="K421" s="4" t="s">
        <v>19</v>
      </c>
      <c r="L421" t="b">
        <v>0</v>
      </c>
    </row>
    <row r="422" spans="1:12" x14ac:dyDescent="0.25">
      <c r="A422" s="4" t="s">
        <v>971</v>
      </c>
      <c r="B422" s="4" t="s">
        <v>27</v>
      </c>
      <c r="C422" s="4" t="s">
        <v>62</v>
      </c>
      <c r="D422">
        <v>25</v>
      </c>
      <c r="E422" s="4" t="s">
        <v>68</v>
      </c>
      <c r="F422" s="4" t="s">
        <v>16</v>
      </c>
      <c r="G422" s="1">
        <v>44797</v>
      </c>
      <c r="H422" s="4" t="s">
        <v>972</v>
      </c>
      <c r="I422" s="4" t="s">
        <v>177</v>
      </c>
      <c r="J422">
        <v>-6128758574</v>
      </c>
      <c r="K422" s="4" t="s">
        <v>25</v>
      </c>
      <c r="L422" t="b">
        <v>0</v>
      </c>
    </row>
    <row r="423" spans="1:12" x14ac:dyDescent="0.25">
      <c r="A423" s="4" t="s">
        <v>973</v>
      </c>
      <c r="B423" s="4" t="s">
        <v>61</v>
      </c>
      <c r="C423" s="4" t="s">
        <v>62</v>
      </c>
      <c r="D423">
        <v>25</v>
      </c>
      <c r="E423" s="4" t="s">
        <v>259</v>
      </c>
      <c r="F423" s="4" t="s">
        <v>30</v>
      </c>
      <c r="G423" s="1">
        <v>45173</v>
      </c>
      <c r="H423" s="4" t="s">
        <v>974</v>
      </c>
      <c r="I423" s="4" t="s">
        <v>65</v>
      </c>
      <c r="J423">
        <v>-6766708060</v>
      </c>
      <c r="K423" s="4" t="s">
        <v>33</v>
      </c>
      <c r="L423" t="b">
        <v>0</v>
      </c>
    </row>
    <row r="424" spans="1:12" x14ac:dyDescent="0.25">
      <c r="A424" s="4" t="s">
        <v>975</v>
      </c>
      <c r="B424" s="4" t="s">
        <v>80</v>
      </c>
      <c r="C424" s="4" t="s">
        <v>106</v>
      </c>
      <c r="D424">
        <v>35</v>
      </c>
      <c r="E424" s="4" t="s">
        <v>165</v>
      </c>
      <c r="F424" s="4" t="s">
        <v>30</v>
      </c>
      <c r="G424" s="1">
        <v>44594</v>
      </c>
      <c r="H424" s="4" t="s">
        <v>976</v>
      </c>
      <c r="I424" s="4" t="s">
        <v>197</v>
      </c>
      <c r="J424">
        <v>-2943985297</v>
      </c>
      <c r="K424" s="4" t="s">
        <v>45</v>
      </c>
      <c r="L424" t="b">
        <v>1</v>
      </c>
    </row>
    <row r="425" spans="1:12" x14ac:dyDescent="0.25">
      <c r="A425" s="4" t="s">
        <v>977</v>
      </c>
      <c r="B425" s="4" t="s">
        <v>27</v>
      </c>
      <c r="C425" s="4" t="s">
        <v>41</v>
      </c>
      <c r="D425">
        <v>30</v>
      </c>
      <c r="E425" s="4" t="s">
        <v>102</v>
      </c>
      <c r="F425" s="4" t="s">
        <v>16</v>
      </c>
      <c r="G425" s="1">
        <v>44652</v>
      </c>
      <c r="H425" s="4" t="s">
        <v>978</v>
      </c>
      <c r="I425" s="4" t="s">
        <v>431</v>
      </c>
      <c r="J425">
        <v>-9406260786</v>
      </c>
      <c r="K425" s="4" t="s">
        <v>19</v>
      </c>
      <c r="L425" t="b">
        <v>0</v>
      </c>
    </row>
    <row r="426" spans="1:12" x14ac:dyDescent="0.25">
      <c r="A426" s="4" t="s">
        <v>979</v>
      </c>
      <c r="B426" s="4" t="s">
        <v>35</v>
      </c>
      <c r="C426" s="4" t="s">
        <v>47</v>
      </c>
      <c r="D426">
        <v>35</v>
      </c>
      <c r="E426" s="4" t="s">
        <v>165</v>
      </c>
      <c r="F426" s="4" t="s">
        <v>30</v>
      </c>
      <c r="G426" s="1">
        <v>44766</v>
      </c>
      <c r="H426" s="4" t="s">
        <v>980</v>
      </c>
      <c r="I426" s="4" t="s">
        <v>346</v>
      </c>
      <c r="J426">
        <v>-104159148</v>
      </c>
      <c r="K426" s="4" t="s">
        <v>19</v>
      </c>
      <c r="L426" t="b">
        <v>1</v>
      </c>
    </row>
    <row r="427" spans="1:12" x14ac:dyDescent="0.25">
      <c r="A427" s="4" t="s">
        <v>981</v>
      </c>
      <c r="B427" s="4" t="s">
        <v>35</v>
      </c>
      <c r="C427" s="4" t="s">
        <v>28</v>
      </c>
      <c r="E427" s="4" t="s">
        <v>244</v>
      </c>
      <c r="F427" s="4" t="s">
        <v>36</v>
      </c>
      <c r="G427" s="1">
        <v>45042</v>
      </c>
      <c r="H427" s="4" t="s">
        <v>982</v>
      </c>
      <c r="I427" s="4" t="s">
        <v>323</v>
      </c>
      <c r="J427">
        <v>-7501980381</v>
      </c>
      <c r="K427" s="4" t="s">
        <v>25</v>
      </c>
      <c r="L427" t="b">
        <v>1</v>
      </c>
    </row>
    <row r="428" spans="1:12" x14ac:dyDescent="0.25">
      <c r="A428" s="4" t="s">
        <v>983</v>
      </c>
      <c r="B428" s="4" t="s">
        <v>67</v>
      </c>
      <c r="C428" s="4" t="s">
        <v>142</v>
      </c>
      <c r="E428" s="4" t="s">
        <v>233</v>
      </c>
      <c r="F428" s="4" t="s">
        <v>16</v>
      </c>
      <c r="G428" s="1">
        <v>44670</v>
      </c>
      <c r="H428" s="4" t="s">
        <v>984</v>
      </c>
      <c r="I428" s="4" t="s">
        <v>402</v>
      </c>
      <c r="J428">
        <v>-8723244078</v>
      </c>
      <c r="K428" s="4" t="s">
        <v>45</v>
      </c>
      <c r="L428" t="b">
        <v>0</v>
      </c>
    </row>
    <row r="429" spans="1:12" x14ac:dyDescent="0.25">
      <c r="A429" s="4" t="s">
        <v>985</v>
      </c>
      <c r="B429" s="4" t="s">
        <v>27</v>
      </c>
      <c r="C429" s="4" t="s">
        <v>21</v>
      </c>
      <c r="D429">
        <v>35</v>
      </c>
      <c r="E429" s="4" t="s">
        <v>98</v>
      </c>
      <c r="F429" s="4" t="s">
        <v>36</v>
      </c>
      <c r="G429" s="1">
        <v>45569</v>
      </c>
      <c r="H429" s="4" t="s">
        <v>986</v>
      </c>
      <c r="I429" s="4" t="s">
        <v>93</v>
      </c>
      <c r="J429">
        <v>-3110291812</v>
      </c>
      <c r="K429" s="4" t="s">
        <v>45</v>
      </c>
      <c r="L429" t="b">
        <v>1</v>
      </c>
    </row>
    <row r="430" spans="1:12" x14ac:dyDescent="0.25">
      <c r="A430" s="4" t="s">
        <v>987</v>
      </c>
      <c r="B430" s="4" t="s">
        <v>67</v>
      </c>
      <c r="C430" s="4" t="s">
        <v>142</v>
      </c>
      <c r="E430" s="4" t="s">
        <v>244</v>
      </c>
      <c r="F430" s="4" t="s">
        <v>36</v>
      </c>
      <c r="G430" s="1">
        <v>43953</v>
      </c>
      <c r="H430" s="4" t="s">
        <v>988</v>
      </c>
      <c r="I430" s="4" t="s">
        <v>402</v>
      </c>
      <c r="J430">
        <v>-3170876013</v>
      </c>
      <c r="K430" s="4" t="s">
        <v>33</v>
      </c>
      <c r="L430" t="b">
        <v>1</v>
      </c>
    </row>
    <row r="431" spans="1:12" x14ac:dyDescent="0.25">
      <c r="A431" s="4" t="s">
        <v>989</v>
      </c>
      <c r="B431" s="4" t="s">
        <v>35</v>
      </c>
      <c r="C431" s="4" t="s">
        <v>21</v>
      </c>
      <c r="D431">
        <v>25</v>
      </c>
      <c r="E431" s="4" t="s">
        <v>68</v>
      </c>
      <c r="F431" s="4" t="s">
        <v>30</v>
      </c>
      <c r="G431" s="1">
        <v>44676</v>
      </c>
      <c r="H431" s="4" t="s">
        <v>990</v>
      </c>
      <c r="I431" s="4" t="s">
        <v>183</v>
      </c>
      <c r="J431">
        <v>-6723849790</v>
      </c>
      <c r="K431" s="4" t="s">
        <v>45</v>
      </c>
      <c r="L431" t="b">
        <v>0</v>
      </c>
    </row>
    <row r="432" spans="1:12" x14ac:dyDescent="0.25">
      <c r="A432" s="4" t="s">
        <v>991</v>
      </c>
      <c r="B432" s="4" t="s">
        <v>13</v>
      </c>
      <c r="C432" s="4" t="s">
        <v>142</v>
      </c>
      <c r="E432" s="4" t="s">
        <v>110</v>
      </c>
      <c r="F432" s="4" t="s">
        <v>16</v>
      </c>
      <c r="G432" s="1">
        <v>45136</v>
      </c>
      <c r="H432" s="4" t="s">
        <v>992</v>
      </c>
      <c r="I432" s="4" t="s">
        <v>144</v>
      </c>
      <c r="J432">
        <v>-6202232882</v>
      </c>
      <c r="K432" s="4" t="s">
        <v>45</v>
      </c>
      <c r="L432" t="b">
        <v>0</v>
      </c>
    </row>
    <row r="433" spans="1:12" x14ac:dyDescent="0.25">
      <c r="A433" s="4" t="s">
        <v>993</v>
      </c>
      <c r="B433" s="4" t="s">
        <v>27</v>
      </c>
      <c r="C433" s="4" t="s">
        <v>106</v>
      </c>
      <c r="D433">
        <v>40</v>
      </c>
      <c r="E433" s="4" t="s">
        <v>63</v>
      </c>
      <c r="F433" s="4" t="s">
        <v>16</v>
      </c>
      <c r="G433" s="1">
        <v>44428</v>
      </c>
      <c r="H433" s="4" t="s">
        <v>994</v>
      </c>
      <c r="I433" s="4" t="s">
        <v>194</v>
      </c>
      <c r="J433">
        <v>-7744197545</v>
      </c>
      <c r="K433" s="4" t="s">
        <v>25</v>
      </c>
      <c r="L433" t="b">
        <v>0</v>
      </c>
    </row>
    <row r="434" spans="1:12" x14ac:dyDescent="0.25">
      <c r="A434" s="4" t="s">
        <v>995</v>
      </c>
      <c r="B434" s="4" t="s">
        <v>80</v>
      </c>
      <c r="C434" s="4" t="s">
        <v>28</v>
      </c>
      <c r="D434">
        <v>35</v>
      </c>
      <c r="E434" s="4" t="s">
        <v>251</v>
      </c>
      <c r="F434" s="4" t="s">
        <v>36</v>
      </c>
      <c r="G434" s="1">
        <v>44309</v>
      </c>
      <c r="H434" s="4" t="s">
        <v>996</v>
      </c>
      <c r="I434" s="4" t="s">
        <v>89</v>
      </c>
      <c r="J434">
        <v>-6176620470</v>
      </c>
      <c r="K434" s="4" t="s">
        <v>45</v>
      </c>
      <c r="L434" t="b">
        <v>1</v>
      </c>
    </row>
    <row r="435" spans="1:12" x14ac:dyDescent="0.25">
      <c r="A435" s="4" t="s">
        <v>997</v>
      </c>
      <c r="B435" s="4" t="s">
        <v>13</v>
      </c>
      <c r="C435" s="4" t="s">
        <v>47</v>
      </c>
      <c r="D435">
        <v>30</v>
      </c>
      <c r="E435" s="4" t="s">
        <v>68</v>
      </c>
      <c r="F435" s="4" t="s">
        <v>36</v>
      </c>
      <c r="G435" s="1">
        <v>44785</v>
      </c>
      <c r="H435" s="4" t="s">
        <v>998</v>
      </c>
      <c r="I435" s="4" t="s">
        <v>180</v>
      </c>
      <c r="J435">
        <v>-9609409704</v>
      </c>
      <c r="K435" s="4" t="s">
        <v>19</v>
      </c>
      <c r="L435" t="b">
        <v>0</v>
      </c>
    </row>
    <row r="436" spans="1:12" x14ac:dyDescent="0.25">
      <c r="A436" s="4" t="s">
        <v>999</v>
      </c>
      <c r="B436" s="4" t="s">
        <v>40</v>
      </c>
      <c r="C436" s="4" t="s">
        <v>21</v>
      </c>
      <c r="D436">
        <v>30</v>
      </c>
      <c r="E436" s="4" t="s">
        <v>81</v>
      </c>
      <c r="F436" s="4" t="s">
        <v>36</v>
      </c>
      <c r="G436" s="1">
        <v>44373</v>
      </c>
      <c r="H436" s="4" t="s">
        <v>1000</v>
      </c>
      <c r="I436" s="4" t="s">
        <v>280</v>
      </c>
      <c r="J436">
        <v>-2774025882</v>
      </c>
      <c r="K436" s="4" t="s">
        <v>25</v>
      </c>
      <c r="L436" t="b">
        <v>0</v>
      </c>
    </row>
    <row r="437" spans="1:12" x14ac:dyDescent="0.25">
      <c r="A437" s="4" t="s">
        <v>1001</v>
      </c>
      <c r="B437" s="4" t="s">
        <v>35</v>
      </c>
      <c r="C437" s="4" t="s">
        <v>47</v>
      </c>
      <c r="E437" s="4" t="s">
        <v>68</v>
      </c>
      <c r="F437" s="4" t="s">
        <v>36</v>
      </c>
      <c r="G437" s="1">
        <v>44134</v>
      </c>
      <c r="H437" s="4" t="s">
        <v>1002</v>
      </c>
      <c r="I437" s="4" t="s">
        <v>346</v>
      </c>
      <c r="J437">
        <v>-5868122594</v>
      </c>
      <c r="K437" s="4" t="s">
        <v>25</v>
      </c>
      <c r="L437" t="b">
        <v>1</v>
      </c>
    </row>
    <row r="438" spans="1:12" x14ac:dyDescent="0.25">
      <c r="A438" s="4" t="s">
        <v>1003</v>
      </c>
      <c r="B438" s="4" t="s">
        <v>40</v>
      </c>
      <c r="C438" s="4" t="s">
        <v>47</v>
      </c>
      <c r="D438">
        <v>40</v>
      </c>
      <c r="E438" s="4" t="s">
        <v>48</v>
      </c>
      <c r="F438" s="4" t="s">
        <v>30</v>
      </c>
      <c r="G438" s="1">
        <v>44443</v>
      </c>
      <c r="H438" s="4" t="s">
        <v>1004</v>
      </c>
      <c r="I438" s="4" t="s">
        <v>214</v>
      </c>
      <c r="J438">
        <v>-7244617678</v>
      </c>
      <c r="K438" s="4" t="s">
        <v>33</v>
      </c>
      <c r="L438" t="b">
        <v>0</v>
      </c>
    </row>
    <row r="439" spans="1:12" x14ac:dyDescent="0.25">
      <c r="A439" s="4" t="s">
        <v>1005</v>
      </c>
      <c r="B439" s="4" t="s">
        <v>27</v>
      </c>
      <c r="C439" s="4" t="s">
        <v>47</v>
      </c>
      <c r="D439">
        <v>40</v>
      </c>
      <c r="E439" s="4" t="s">
        <v>309</v>
      </c>
      <c r="F439" s="4" t="s">
        <v>30</v>
      </c>
      <c r="G439" s="1">
        <v>44957</v>
      </c>
      <c r="H439" s="4" t="s">
        <v>1006</v>
      </c>
      <c r="I439" s="4" t="s">
        <v>50</v>
      </c>
      <c r="J439">
        <v>-2988425994</v>
      </c>
      <c r="K439" s="4" t="s">
        <v>45</v>
      </c>
      <c r="L439" t="b">
        <v>0</v>
      </c>
    </row>
    <row r="440" spans="1:12" x14ac:dyDescent="0.25">
      <c r="A440" s="4" t="s">
        <v>1007</v>
      </c>
      <c r="B440" s="4" t="s">
        <v>61</v>
      </c>
      <c r="C440" s="4" t="s">
        <v>14</v>
      </c>
      <c r="D440">
        <v>25</v>
      </c>
      <c r="E440" s="4" t="s">
        <v>187</v>
      </c>
      <c r="F440" s="4" t="s">
        <v>16</v>
      </c>
      <c r="G440" s="1">
        <v>44098</v>
      </c>
      <c r="H440" s="4" t="s">
        <v>1008</v>
      </c>
      <c r="I440" s="4" t="s">
        <v>200</v>
      </c>
      <c r="J440">
        <v>-9961002310</v>
      </c>
      <c r="K440" s="4" t="s">
        <v>33</v>
      </c>
      <c r="L440" t="b">
        <v>0</v>
      </c>
    </row>
    <row r="441" spans="1:12" x14ac:dyDescent="0.25">
      <c r="A441" s="4" t="s">
        <v>1009</v>
      </c>
      <c r="B441" s="4" t="s">
        <v>13</v>
      </c>
      <c r="C441" s="4" t="s">
        <v>41</v>
      </c>
      <c r="E441" s="4" t="s">
        <v>210</v>
      </c>
      <c r="F441" s="4" t="s">
        <v>16</v>
      </c>
      <c r="G441" s="1">
        <v>43875</v>
      </c>
      <c r="H441" s="4" t="s">
        <v>1010</v>
      </c>
      <c r="I441" s="4" t="s">
        <v>170</v>
      </c>
      <c r="J441">
        <v>-7753312660</v>
      </c>
      <c r="K441" s="4" t="s">
        <v>19</v>
      </c>
      <c r="L441" t="b">
        <v>1</v>
      </c>
    </row>
    <row r="442" spans="1:12" x14ac:dyDescent="0.25">
      <c r="A442" s="4" t="s">
        <v>1011</v>
      </c>
      <c r="B442" s="4" t="s">
        <v>75</v>
      </c>
      <c r="C442" s="4" t="s">
        <v>142</v>
      </c>
      <c r="D442">
        <v>30</v>
      </c>
      <c r="E442" s="4" t="s">
        <v>312</v>
      </c>
      <c r="F442" s="4" t="s">
        <v>16</v>
      </c>
      <c r="G442" s="1">
        <v>43918</v>
      </c>
      <c r="H442" s="4" t="s">
        <v>1012</v>
      </c>
      <c r="I442" s="4" t="s">
        <v>436</v>
      </c>
      <c r="J442">
        <v>-941017589</v>
      </c>
      <c r="K442" s="4" t="s">
        <v>25</v>
      </c>
      <c r="L442" t="b">
        <v>1</v>
      </c>
    </row>
    <row r="443" spans="1:12" x14ac:dyDescent="0.25">
      <c r="A443" s="4" t="s">
        <v>1013</v>
      </c>
      <c r="B443" s="4" t="s">
        <v>80</v>
      </c>
      <c r="C443" s="4" t="s">
        <v>47</v>
      </c>
      <c r="D443">
        <v>40</v>
      </c>
      <c r="E443" s="4" t="s">
        <v>22</v>
      </c>
      <c r="F443" s="4" t="s">
        <v>36</v>
      </c>
      <c r="G443" s="1">
        <v>45230</v>
      </c>
      <c r="H443" s="4" t="s">
        <v>1014</v>
      </c>
      <c r="I443" s="4" t="s">
        <v>96</v>
      </c>
      <c r="J443">
        <v>-2517629832</v>
      </c>
      <c r="K443" s="4" t="s">
        <v>25</v>
      </c>
      <c r="L443" t="b">
        <v>1</v>
      </c>
    </row>
    <row r="444" spans="1:12" x14ac:dyDescent="0.25">
      <c r="A444" s="4" t="s">
        <v>1015</v>
      </c>
      <c r="B444" s="4" t="s">
        <v>61</v>
      </c>
      <c r="C444" s="4" t="s">
        <v>142</v>
      </c>
      <c r="D444">
        <v>35</v>
      </c>
      <c r="E444" s="4" t="s">
        <v>251</v>
      </c>
      <c r="F444" s="4" t="s">
        <v>16</v>
      </c>
      <c r="G444" s="1">
        <v>43901</v>
      </c>
      <c r="H444" s="4" t="s">
        <v>1016</v>
      </c>
      <c r="I444" s="4" t="s">
        <v>231</v>
      </c>
      <c r="J444">
        <v>-4774332682</v>
      </c>
      <c r="K444" s="4" t="s">
        <v>25</v>
      </c>
      <c r="L444" t="b">
        <v>1</v>
      </c>
    </row>
    <row r="445" spans="1:12" x14ac:dyDescent="0.25">
      <c r="A445" s="4" t="s">
        <v>1017</v>
      </c>
      <c r="B445" s="4" t="s">
        <v>35</v>
      </c>
      <c r="C445" s="4" t="s">
        <v>47</v>
      </c>
      <c r="D445">
        <v>40</v>
      </c>
      <c r="E445" s="4" t="s">
        <v>309</v>
      </c>
      <c r="F445" s="4" t="s">
        <v>36</v>
      </c>
      <c r="G445" s="1">
        <v>43955</v>
      </c>
      <c r="H445" s="4" t="s">
        <v>1018</v>
      </c>
      <c r="I445" s="4" t="s">
        <v>346</v>
      </c>
      <c r="J445">
        <v>-1901302055</v>
      </c>
      <c r="K445" s="4" t="s">
        <v>19</v>
      </c>
      <c r="L445" t="b">
        <v>0</v>
      </c>
    </row>
    <row r="446" spans="1:12" x14ac:dyDescent="0.25">
      <c r="A446" s="4" t="s">
        <v>1019</v>
      </c>
      <c r="B446" s="4" t="s">
        <v>80</v>
      </c>
      <c r="C446" s="4" t="s">
        <v>21</v>
      </c>
      <c r="D446">
        <v>30</v>
      </c>
      <c r="E446" s="4" t="s">
        <v>91</v>
      </c>
      <c r="F446" s="4" t="s">
        <v>16</v>
      </c>
      <c r="G446" s="1">
        <v>45122</v>
      </c>
      <c r="H446" s="4" t="s">
        <v>1020</v>
      </c>
      <c r="I446" s="4" t="s">
        <v>240</v>
      </c>
      <c r="J446">
        <v>-9815287338</v>
      </c>
      <c r="K446" s="4" t="s">
        <v>19</v>
      </c>
      <c r="L446" t="b">
        <v>1</v>
      </c>
    </row>
    <row r="447" spans="1:12" x14ac:dyDescent="0.25">
      <c r="A447" s="4" t="s">
        <v>1021</v>
      </c>
      <c r="B447" s="4" t="s">
        <v>27</v>
      </c>
      <c r="C447" s="4" t="s">
        <v>41</v>
      </c>
      <c r="D447">
        <v>40</v>
      </c>
      <c r="E447" s="4" t="s">
        <v>15</v>
      </c>
      <c r="F447" s="4" t="s">
        <v>36</v>
      </c>
      <c r="G447" s="1">
        <v>44946</v>
      </c>
      <c r="H447" s="4" t="s">
        <v>1022</v>
      </c>
      <c r="I447" s="4" t="s">
        <v>431</v>
      </c>
      <c r="J447">
        <v>-7855982175</v>
      </c>
      <c r="K447" s="4" t="s">
        <v>33</v>
      </c>
      <c r="L447" t="b">
        <v>1</v>
      </c>
    </row>
    <row r="448" spans="1:12" x14ac:dyDescent="0.25">
      <c r="A448" s="4" t="s">
        <v>1023</v>
      </c>
      <c r="B448" s="4" t="s">
        <v>40</v>
      </c>
      <c r="C448" s="4" t="s">
        <v>41</v>
      </c>
      <c r="D448">
        <v>40</v>
      </c>
      <c r="E448" s="4" t="s">
        <v>76</v>
      </c>
      <c r="F448" s="4" t="s">
        <v>16</v>
      </c>
      <c r="G448" s="1">
        <v>44484</v>
      </c>
      <c r="H448" s="4" t="s">
        <v>1024</v>
      </c>
      <c r="I448" s="4" t="s">
        <v>44</v>
      </c>
      <c r="J448">
        <v>-6191284116</v>
      </c>
      <c r="K448" s="4" t="s">
        <v>33</v>
      </c>
      <c r="L448" t="b">
        <v>0</v>
      </c>
    </row>
    <row r="449" spans="1:12" x14ac:dyDescent="0.25">
      <c r="A449" s="4" t="s">
        <v>1025</v>
      </c>
      <c r="B449" s="4" t="s">
        <v>35</v>
      </c>
      <c r="C449" s="4" t="s">
        <v>106</v>
      </c>
      <c r="D449">
        <v>25</v>
      </c>
      <c r="E449" s="4" t="s">
        <v>309</v>
      </c>
      <c r="F449" s="4" t="s">
        <v>36</v>
      </c>
      <c r="G449" s="1">
        <v>45401</v>
      </c>
      <c r="H449" s="4" t="s">
        <v>1026</v>
      </c>
      <c r="I449" s="4" t="s">
        <v>307</v>
      </c>
      <c r="J449">
        <v>-3098503445</v>
      </c>
      <c r="K449" s="4" t="s">
        <v>33</v>
      </c>
      <c r="L449" t="b">
        <v>0</v>
      </c>
    </row>
    <row r="450" spans="1:12" x14ac:dyDescent="0.25">
      <c r="A450" s="4" t="s">
        <v>1027</v>
      </c>
      <c r="B450" s="4" t="s">
        <v>61</v>
      </c>
      <c r="C450" s="4" t="s">
        <v>14</v>
      </c>
      <c r="D450">
        <v>25</v>
      </c>
      <c r="E450" s="4" t="s">
        <v>29</v>
      </c>
      <c r="F450" s="4" t="s">
        <v>16</v>
      </c>
      <c r="G450" s="1">
        <v>44376</v>
      </c>
      <c r="H450" s="4" t="s">
        <v>1028</v>
      </c>
      <c r="I450" s="4" t="s">
        <v>200</v>
      </c>
      <c r="J450">
        <v>-5124189388</v>
      </c>
      <c r="K450" s="4" t="s">
        <v>45</v>
      </c>
      <c r="L450" t="b">
        <v>0</v>
      </c>
    </row>
    <row r="451" spans="1:12" x14ac:dyDescent="0.25">
      <c r="A451" s="4" t="s">
        <v>1029</v>
      </c>
      <c r="B451" s="4" t="s">
        <v>27</v>
      </c>
      <c r="C451" s="4" t="s">
        <v>106</v>
      </c>
      <c r="D451">
        <v>30</v>
      </c>
      <c r="E451" s="4" t="s">
        <v>87</v>
      </c>
      <c r="F451" s="4" t="s">
        <v>36</v>
      </c>
      <c r="G451" s="1">
        <v>45549</v>
      </c>
      <c r="H451" s="4" t="s">
        <v>1030</v>
      </c>
      <c r="I451" s="4" t="s">
        <v>194</v>
      </c>
      <c r="J451">
        <v>-8469081973</v>
      </c>
      <c r="K451" s="4" t="s">
        <v>25</v>
      </c>
      <c r="L451" t="b">
        <v>1</v>
      </c>
    </row>
    <row r="452" spans="1:12" x14ac:dyDescent="0.25">
      <c r="A452" s="4" t="s">
        <v>1031</v>
      </c>
      <c r="B452" s="4" t="s">
        <v>67</v>
      </c>
      <c r="C452" s="4" t="s">
        <v>106</v>
      </c>
      <c r="E452" s="4" t="s">
        <v>175</v>
      </c>
      <c r="F452" s="4" t="s">
        <v>30</v>
      </c>
      <c r="G452" s="1">
        <v>44565</v>
      </c>
      <c r="H452" s="4" t="s">
        <v>1032</v>
      </c>
      <c r="I452" s="4" t="s">
        <v>124</v>
      </c>
      <c r="J452">
        <v>-56435022</v>
      </c>
      <c r="K452" s="4" t="s">
        <v>25</v>
      </c>
      <c r="L452" t="b">
        <v>1</v>
      </c>
    </row>
    <row r="453" spans="1:12" x14ac:dyDescent="0.25">
      <c r="A453" s="4" t="s">
        <v>1033</v>
      </c>
      <c r="B453" s="4" t="s">
        <v>40</v>
      </c>
      <c r="C453" s="4" t="s">
        <v>106</v>
      </c>
      <c r="E453" s="4" t="s">
        <v>126</v>
      </c>
      <c r="F453" s="4" t="s">
        <v>30</v>
      </c>
      <c r="G453" s="1">
        <v>44216</v>
      </c>
      <c r="H453" s="4" t="s">
        <v>1034</v>
      </c>
      <c r="I453" s="4" t="s">
        <v>128</v>
      </c>
      <c r="J453">
        <v>-8503719904</v>
      </c>
      <c r="K453" s="4" t="s">
        <v>33</v>
      </c>
      <c r="L453" t="b">
        <v>1</v>
      </c>
    </row>
    <row r="454" spans="1:12" x14ac:dyDescent="0.25">
      <c r="A454" s="4" t="s">
        <v>1035</v>
      </c>
      <c r="B454" s="4" t="s">
        <v>75</v>
      </c>
      <c r="C454" s="4" t="s">
        <v>106</v>
      </c>
      <c r="E454" s="4" t="s">
        <v>76</v>
      </c>
      <c r="F454" s="4" t="s">
        <v>36</v>
      </c>
      <c r="G454" s="1">
        <v>43908</v>
      </c>
      <c r="H454" s="4" t="s">
        <v>1036</v>
      </c>
      <c r="I454" s="4" t="s">
        <v>153</v>
      </c>
      <c r="J454">
        <v>-1699187239</v>
      </c>
      <c r="K454" s="4" t="s">
        <v>25</v>
      </c>
      <c r="L454" t="b">
        <v>0</v>
      </c>
    </row>
    <row r="455" spans="1:12" x14ac:dyDescent="0.25">
      <c r="A455" s="4" t="s">
        <v>1037</v>
      </c>
      <c r="B455" s="4" t="s">
        <v>67</v>
      </c>
      <c r="C455" s="4" t="s">
        <v>106</v>
      </c>
      <c r="D455">
        <v>25</v>
      </c>
      <c r="E455" s="4" t="s">
        <v>87</v>
      </c>
      <c r="F455" s="4" t="s">
        <v>16</v>
      </c>
      <c r="G455" s="1">
        <v>44510</v>
      </c>
      <c r="H455" s="4" t="s">
        <v>1038</v>
      </c>
      <c r="I455" s="4" t="s">
        <v>124</v>
      </c>
      <c r="J455">
        <v>-1078356742</v>
      </c>
      <c r="K455" s="4" t="s">
        <v>33</v>
      </c>
      <c r="L455" t="b">
        <v>0</v>
      </c>
    </row>
    <row r="456" spans="1:12" x14ac:dyDescent="0.25">
      <c r="A456" s="4" t="s">
        <v>1039</v>
      </c>
      <c r="B456" s="4" t="s">
        <v>61</v>
      </c>
      <c r="C456" s="4" t="s">
        <v>28</v>
      </c>
      <c r="D456">
        <v>35</v>
      </c>
      <c r="E456" s="4" t="s">
        <v>63</v>
      </c>
      <c r="F456" s="4" t="s">
        <v>36</v>
      </c>
      <c r="G456" s="1">
        <v>43952</v>
      </c>
      <c r="H456" s="4" t="s">
        <v>1040</v>
      </c>
      <c r="I456" s="4" t="s">
        <v>140</v>
      </c>
      <c r="J456">
        <v>-3896086</v>
      </c>
      <c r="K456" s="4" t="s">
        <v>45</v>
      </c>
      <c r="L456" t="b">
        <v>1</v>
      </c>
    </row>
    <row r="457" spans="1:12" x14ac:dyDescent="0.25">
      <c r="A457" s="4" t="s">
        <v>1041</v>
      </c>
      <c r="B457" s="4" t="s">
        <v>61</v>
      </c>
      <c r="C457" s="4" t="s">
        <v>41</v>
      </c>
      <c r="D457">
        <v>25</v>
      </c>
      <c r="E457" s="4" t="s">
        <v>210</v>
      </c>
      <c r="F457" s="4" t="s">
        <v>16</v>
      </c>
      <c r="G457" s="1">
        <v>44596</v>
      </c>
      <c r="H457" s="4" t="s">
        <v>1042</v>
      </c>
      <c r="I457" s="4" t="s">
        <v>104</v>
      </c>
      <c r="J457">
        <v>-662668216</v>
      </c>
      <c r="K457" s="4" t="s">
        <v>45</v>
      </c>
      <c r="L457" t="b">
        <v>0</v>
      </c>
    </row>
    <row r="458" spans="1:12" x14ac:dyDescent="0.25">
      <c r="A458" s="4" t="s">
        <v>1043</v>
      </c>
      <c r="B458" s="4" t="s">
        <v>13</v>
      </c>
      <c r="C458" s="4" t="s">
        <v>106</v>
      </c>
      <c r="D458">
        <v>35</v>
      </c>
      <c r="E458" s="4" t="s">
        <v>172</v>
      </c>
      <c r="F458" s="4" t="s">
        <v>16</v>
      </c>
      <c r="G458" s="1">
        <v>44153</v>
      </c>
      <c r="H458" s="4" t="s">
        <v>1044</v>
      </c>
      <c r="I458" s="4" t="s">
        <v>108</v>
      </c>
      <c r="J458">
        <v>-1955356032</v>
      </c>
      <c r="K458" s="4" t="s">
        <v>19</v>
      </c>
      <c r="L458" t="b">
        <v>0</v>
      </c>
    </row>
    <row r="459" spans="1:12" x14ac:dyDescent="0.25">
      <c r="A459" s="4" t="s">
        <v>1045</v>
      </c>
      <c r="B459" s="4" t="s">
        <v>75</v>
      </c>
      <c r="C459" s="4" t="s">
        <v>47</v>
      </c>
      <c r="D459">
        <v>35</v>
      </c>
      <c r="E459" s="4" t="s">
        <v>29</v>
      </c>
      <c r="F459" s="4" t="s">
        <v>30</v>
      </c>
      <c r="G459" s="1">
        <v>45251</v>
      </c>
      <c r="H459" s="4" t="s">
        <v>1046</v>
      </c>
      <c r="I459" s="4" t="s">
        <v>300</v>
      </c>
      <c r="J459">
        <v>-1903689002</v>
      </c>
      <c r="K459" s="4" t="s">
        <v>45</v>
      </c>
      <c r="L459" t="b">
        <v>0</v>
      </c>
    </row>
    <row r="460" spans="1:12" x14ac:dyDescent="0.25">
      <c r="A460" s="4" t="s">
        <v>1047</v>
      </c>
      <c r="B460" s="4" t="s">
        <v>40</v>
      </c>
      <c r="C460" s="4" t="s">
        <v>41</v>
      </c>
      <c r="D460">
        <v>30</v>
      </c>
      <c r="E460" s="4" t="s">
        <v>91</v>
      </c>
      <c r="F460" s="4" t="s">
        <v>16</v>
      </c>
      <c r="G460" s="1">
        <v>44605</v>
      </c>
      <c r="H460" s="4" t="s">
        <v>1048</v>
      </c>
      <c r="I460" s="4" t="s">
        <v>44</v>
      </c>
      <c r="J460">
        <v>-102724054</v>
      </c>
      <c r="K460" s="4" t="s">
        <v>33</v>
      </c>
      <c r="L460" t="b">
        <v>1</v>
      </c>
    </row>
    <row r="461" spans="1:12" x14ac:dyDescent="0.25">
      <c r="A461" s="4" t="s">
        <v>1049</v>
      </c>
      <c r="B461" s="4" t="s">
        <v>61</v>
      </c>
      <c r="C461" s="4" t="s">
        <v>41</v>
      </c>
      <c r="D461">
        <v>30</v>
      </c>
      <c r="E461" s="4" t="s">
        <v>278</v>
      </c>
      <c r="F461" s="4" t="s">
        <v>30</v>
      </c>
      <c r="G461" s="1">
        <v>45004</v>
      </c>
      <c r="H461" s="4" t="s">
        <v>1050</v>
      </c>
      <c r="I461" s="4" t="s">
        <v>104</v>
      </c>
      <c r="J461">
        <v>-9342967110</v>
      </c>
      <c r="K461" s="4" t="s">
        <v>45</v>
      </c>
      <c r="L461" t="b">
        <v>0</v>
      </c>
    </row>
    <row r="462" spans="1:12" x14ac:dyDescent="0.25">
      <c r="A462" s="4" t="s">
        <v>1051</v>
      </c>
      <c r="B462" s="4" t="s">
        <v>27</v>
      </c>
      <c r="C462" s="4" t="s">
        <v>62</v>
      </c>
      <c r="D462">
        <v>30</v>
      </c>
      <c r="E462" s="4" t="s">
        <v>210</v>
      </c>
      <c r="F462" s="4" t="s">
        <v>30</v>
      </c>
      <c r="G462" s="1">
        <v>44283</v>
      </c>
      <c r="H462" s="4" t="s">
        <v>1052</v>
      </c>
      <c r="I462" s="4" t="s">
        <v>177</v>
      </c>
      <c r="J462">
        <v>-4837537457</v>
      </c>
      <c r="K462" s="4" t="s">
        <v>19</v>
      </c>
      <c r="L462" t="b">
        <v>0</v>
      </c>
    </row>
    <row r="463" spans="1:12" x14ac:dyDescent="0.25">
      <c r="A463" s="4" t="s">
        <v>1053</v>
      </c>
      <c r="B463" s="4" t="s">
        <v>75</v>
      </c>
      <c r="C463" s="4" t="s">
        <v>28</v>
      </c>
      <c r="D463">
        <v>30</v>
      </c>
      <c r="E463" s="4" t="s">
        <v>175</v>
      </c>
      <c r="F463" s="4" t="s">
        <v>16</v>
      </c>
      <c r="G463" s="1">
        <v>44318</v>
      </c>
      <c r="H463" s="4" t="s">
        <v>1054</v>
      </c>
      <c r="I463" s="4" t="s">
        <v>375</v>
      </c>
      <c r="J463">
        <v>-4384588104</v>
      </c>
      <c r="K463" s="4" t="s">
        <v>25</v>
      </c>
      <c r="L463" t="b">
        <v>1</v>
      </c>
    </row>
    <row r="464" spans="1:12" x14ac:dyDescent="0.25">
      <c r="A464" s="4" t="s">
        <v>1055</v>
      </c>
      <c r="B464" s="4" t="s">
        <v>13</v>
      </c>
      <c r="C464" s="4" t="s">
        <v>106</v>
      </c>
      <c r="D464">
        <v>35</v>
      </c>
      <c r="E464" s="4" t="s">
        <v>22</v>
      </c>
      <c r="F464" s="4" t="s">
        <v>36</v>
      </c>
      <c r="G464" s="1">
        <v>44260</v>
      </c>
      <c r="H464" s="4" t="s">
        <v>1056</v>
      </c>
      <c r="I464" s="4" t="s">
        <v>108</v>
      </c>
      <c r="J464">
        <v>-6974132833</v>
      </c>
      <c r="K464" s="4" t="s">
        <v>33</v>
      </c>
      <c r="L464" t="b">
        <v>1</v>
      </c>
    </row>
    <row r="465" spans="1:12" x14ac:dyDescent="0.25">
      <c r="A465" s="4" t="s">
        <v>1057</v>
      </c>
      <c r="B465" s="4" t="s">
        <v>35</v>
      </c>
      <c r="C465" s="4" t="s">
        <v>142</v>
      </c>
      <c r="D465">
        <v>25</v>
      </c>
      <c r="E465" s="4" t="s">
        <v>278</v>
      </c>
      <c r="F465" s="4" t="s">
        <v>16</v>
      </c>
      <c r="G465" s="1">
        <v>44621</v>
      </c>
      <c r="H465" s="4" t="s">
        <v>1058</v>
      </c>
      <c r="I465" s="4" t="s">
        <v>632</v>
      </c>
      <c r="J465">
        <v>-8315203770</v>
      </c>
      <c r="K465" s="4" t="s">
        <v>25</v>
      </c>
      <c r="L465" t="b">
        <v>0</v>
      </c>
    </row>
    <row r="466" spans="1:12" x14ac:dyDescent="0.25">
      <c r="A466" s="4" t="s">
        <v>1059</v>
      </c>
      <c r="B466" s="4" t="s">
        <v>61</v>
      </c>
      <c r="C466" s="4" t="s">
        <v>21</v>
      </c>
      <c r="D466">
        <v>40</v>
      </c>
      <c r="E466" s="4" t="s">
        <v>130</v>
      </c>
      <c r="F466" s="4" t="s">
        <v>36</v>
      </c>
      <c r="G466" s="1">
        <v>44949</v>
      </c>
      <c r="H466" s="4" t="s">
        <v>1060</v>
      </c>
      <c r="I466" s="4" t="s">
        <v>147</v>
      </c>
      <c r="J466">
        <v>-704496409</v>
      </c>
      <c r="K466" s="4" t="s">
        <v>19</v>
      </c>
      <c r="L466" t="b">
        <v>0</v>
      </c>
    </row>
    <row r="467" spans="1:12" x14ac:dyDescent="0.25">
      <c r="A467" s="4" t="s">
        <v>1061</v>
      </c>
      <c r="B467" s="4" t="s">
        <v>67</v>
      </c>
      <c r="C467" s="4" t="s">
        <v>14</v>
      </c>
      <c r="D467">
        <v>30</v>
      </c>
      <c r="E467" s="4" t="s">
        <v>22</v>
      </c>
      <c r="F467" s="4" t="s">
        <v>16</v>
      </c>
      <c r="G467" s="1">
        <v>44434</v>
      </c>
      <c r="H467" s="4" t="s">
        <v>1062</v>
      </c>
      <c r="I467" s="4" t="s">
        <v>73</v>
      </c>
      <c r="J467">
        <v>-4967066702</v>
      </c>
      <c r="K467" s="4" t="s">
        <v>19</v>
      </c>
      <c r="L467" t="b">
        <v>1</v>
      </c>
    </row>
    <row r="468" spans="1:12" x14ac:dyDescent="0.25">
      <c r="A468" s="4" t="s">
        <v>1063</v>
      </c>
      <c r="B468" s="4" t="s">
        <v>13</v>
      </c>
      <c r="C468" s="4" t="s">
        <v>47</v>
      </c>
      <c r="D468">
        <v>25</v>
      </c>
      <c r="E468" s="4" t="s">
        <v>76</v>
      </c>
      <c r="F468" s="4" t="s">
        <v>36</v>
      </c>
      <c r="G468" s="1">
        <v>44160</v>
      </c>
      <c r="H468" s="4" t="s">
        <v>1064</v>
      </c>
      <c r="I468" s="4" t="s">
        <v>180</v>
      </c>
      <c r="J468">
        <v>-3626804084</v>
      </c>
      <c r="K468" s="4" t="s">
        <v>19</v>
      </c>
      <c r="L468" t="b">
        <v>1</v>
      </c>
    </row>
    <row r="469" spans="1:12" x14ac:dyDescent="0.25">
      <c r="A469" s="4" t="s">
        <v>1065</v>
      </c>
      <c r="B469" s="4" t="s">
        <v>13</v>
      </c>
      <c r="C469" s="4" t="s">
        <v>142</v>
      </c>
      <c r="D469">
        <v>35</v>
      </c>
      <c r="E469" s="4" t="s">
        <v>113</v>
      </c>
      <c r="F469" s="4" t="s">
        <v>36</v>
      </c>
      <c r="G469" s="1">
        <v>45273</v>
      </c>
      <c r="H469" s="4" t="s">
        <v>1066</v>
      </c>
      <c r="I469" s="4" t="s">
        <v>144</v>
      </c>
      <c r="J469">
        <v>-954930595</v>
      </c>
      <c r="K469" s="4" t="s">
        <v>25</v>
      </c>
      <c r="L469" t="b">
        <v>0</v>
      </c>
    </row>
    <row r="470" spans="1:12" x14ac:dyDescent="0.25">
      <c r="A470" s="4" t="s">
        <v>1067</v>
      </c>
      <c r="B470" s="4" t="s">
        <v>61</v>
      </c>
      <c r="C470" s="4" t="s">
        <v>28</v>
      </c>
      <c r="E470" s="4" t="s">
        <v>267</v>
      </c>
      <c r="F470" s="4" t="s">
        <v>16</v>
      </c>
      <c r="G470" s="1">
        <v>44038</v>
      </c>
      <c r="H470" s="4" t="s">
        <v>1068</v>
      </c>
      <c r="I470" s="4" t="s">
        <v>140</v>
      </c>
      <c r="J470">
        <v>-6018648768</v>
      </c>
      <c r="K470" s="4" t="s">
        <v>25</v>
      </c>
      <c r="L470" t="b">
        <v>0</v>
      </c>
    </row>
    <row r="471" spans="1:12" x14ac:dyDescent="0.25">
      <c r="A471" s="4" t="s">
        <v>1069</v>
      </c>
      <c r="B471" s="4" t="s">
        <v>80</v>
      </c>
      <c r="C471" s="4" t="s">
        <v>21</v>
      </c>
      <c r="E471" s="4" t="s">
        <v>386</v>
      </c>
      <c r="F471" s="4" t="s">
        <v>30</v>
      </c>
      <c r="G471" s="1">
        <v>44374</v>
      </c>
      <c r="H471" s="4" t="s">
        <v>1070</v>
      </c>
      <c r="I471" s="4" t="s">
        <v>240</v>
      </c>
      <c r="J471">
        <v>-9842673203</v>
      </c>
      <c r="K471" s="4" t="s">
        <v>25</v>
      </c>
      <c r="L471" t="b">
        <v>0</v>
      </c>
    </row>
    <row r="472" spans="1:12" x14ac:dyDescent="0.25">
      <c r="A472" s="4" t="s">
        <v>1071</v>
      </c>
      <c r="B472" s="4" t="s">
        <v>13</v>
      </c>
      <c r="C472" s="4" t="s">
        <v>28</v>
      </c>
      <c r="D472">
        <v>25</v>
      </c>
      <c r="E472" s="4" t="s">
        <v>309</v>
      </c>
      <c r="F472" s="4" t="s">
        <v>30</v>
      </c>
      <c r="G472" s="1">
        <v>45551</v>
      </c>
      <c r="H472" s="4" t="s">
        <v>1072</v>
      </c>
      <c r="I472" s="4" t="s">
        <v>56</v>
      </c>
      <c r="J472">
        <v>-4138459608</v>
      </c>
      <c r="K472" s="4" t="s">
        <v>25</v>
      </c>
      <c r="L472" t="b">
        <v>0</v>
      </c>
    </row>
    <row r="473" spans="1:12" x14ac:dyDescent="0.25">
      <c r="A473" s="4" t="s">
        <v>1073</v>
      </c>
      <c r="B473" s="4" t="s">
        <v>27</v>
      </c>
      <c r="C473" s="4" t="s">
        <v>47</v>
      </c>
      <c r="D473">
        <v>40</v>
      </c>
      <c r="E473" s="4" t="s">
        <v>312</v>
      </c>
      <c r="F473" s="4" t="s">
        <v>30</v>
      </c>
      <c r="G473" s="1">
        <v>45111</v>
      </c>
      <c r="H473" s="4" t="s">
        <v>1074</v>
      </c>
      <c r="I473" s="4" t="s">
        <v>50</v>
      </c>
      <c r="J473">
        <v>-4544901494</v>
      </c>
      <c r="K473" s="4" t="s">
        <v>19</v>
      </c>
      <c r="L473" t="b">
        <v>1</v>
      </c>
    </row>
    <row r="474" spans="1:12" x14ac:dyDescent="0.25">
      <c r="A474" s="4" t="s">
        <v>1075</v>
      </c>
      <c r="B474" s="4" t="s">
        <v>27</v>
      </c>
      <c r="C474" s="4" t="s">
        <v>41</v>
      </c>
      <c r="D474">
        <v>30</v>
      </c>
      <c r="E474" s="4" t="s">
        <v>29</v>
      </c>
      <c r="F474" s="4" t="s">
        <v>36</v>
      </c>
      <c r="G474" s="1">
        <v>43998</v>
      </c>
      <c r="H474" s="4" t="s">
        <v>1076</v>
      </c>
      <c r="I474" s="4" t="s">
        <v>431</v>
      </c>
      <c r="J474">
        <v>-4277070704</v>
      </c>
      <c r="K474" s="4" t="s">
        <v>19</v>
      </c>
      <c r="L474" t="b">
        <v>0</v>
      </c>
    </row>
    <row r="475" spans="1:12" x14ac:dyDescent="0.25">
      <c r="A475" s="4" t="s">
        <v>1077</v>
      </c>
      <c r="B475" s="4" t="s">
        <v>80</v>
      </c>
      <c r="C475" s="4" t="s">
        <v>21</v>
      </c>
      <c r="D475">
        <v>40</v>
      </c>
      <c r="E475" s="4" t="s">
        <v>116</v>
      </c>
      <c r="F475" s="4" t="s">
        <v>36</v>
      </c>
      <c r="G475" s="1">
        <v>44017</v>
      </c>
      <c r="H475" s="4" t="s">
        <v>1078</v>
      </c>
      <c r="I475" s="4" t="s">
        <v>240</v>
      </c>
      <c r="J475">
        <v>-7836091497</v>
      </c>
      <c r="K475" s="4" t="s">
        <v>33</v>
      </c>
      <c r="L475" t="b">
        <v>0</v>
      </c>
    </row>
    <row r="476" spans="1:12" x14ac:dyDescent="0.25">
      <c r="A476" s="4" t="s">
        <v>1079</v>
      </c>
      <c r="B476" s="4" t="s">
        <v>40</v>
      </c>
      <c r="C476" s="4" t="s">
        <v>41</v>
      </c>
      <c r="D476">
        <v>40</v>
      </c>
      <c r="E476" s="4" t="s">
        <v>76</v>
      </c>
      <c r="F476" s="4" t="s">
        <v>36</v>
      </c>
      <c r="G476" s="1">
        <v>43922</v>
      </c>
      <c r="H476" s="4" t="s">
        <v>1080</v>
      </c>
      <c r="I476" s="4" t="s">
        <v>44</v>
      </c>
      <c r="J476">
        <v>-5172444722</v>
      </c>
      <c r="K476" s="4" t="s">
        <v>33</v>
      </c>
      <c r="L476" t="b">
        <v>1</v>
      </c>
    </row>
    <row r="477" spans="1:12" x14ac:dyDescent="0.25">
      <c r="A477" s="4" t="s">
        <v>1081</v>
      </c>
      <c r="B477" s="4" t="s">
        <v>67</v>
      </c>
      <c r="C477" s="4" t="s">
        <v>47</v>
      </c>
      <c r="D477">
        <v>35</v>
      </c>
      <c r="E477" s="4" t="s">
        <v>48</v>
      </c>
      <c r="F477" s="4" t="s">
        <v>16</v>
      </c>
      <c r="G477" s="1">
        <v>45371</v>
      </c>
      <c r="H477" s="4" t="s">
        <v>1082</v>
      </c>
      <c r="I477" s="4" t="s">
        <v>118</v>
      </c>
      <c r="J477">
        <v>-2290310286</v>
      </c>
      <c r="K477" s="4" t="s">
        <v>25</v>
      </c>
      <c r="L477" t="b">
        <v>0</v>
      </c>
    </row>
    <row r="478" spans="1:12" x14ac:dyDescent="0.25">
      <c r="A478" s="4" t="s">
        <v>1083</v>
      </c>
      <c r="B478" s="4" t="s">
        <v>40</v>
      </c>
      <c r="C478" s="4" t="s">
        <v>142</v>
      </c>
      <c r="E478" s="4" t="s">
        <v>309</v>
      </c>
      <c r="F478" s="4" t="s">
        <v>16</v>
      </c>
      <c r="G478" s="1">
        <v>44964</v>
      </c>
      <c r="H478" s="4" t="s">
        <v>1084</v>
      </c>
      <c r="I478" s="4" t="s">
        <v>163</v>
      </c>
      <c r="J478">
        <v>-9508304404</v>
      </c>
      <c r="K478" s="4" t="s">
        <v>45</v>
      </c>
      <c r="L478" t="b">
        <v>1</v>
      </c>
    </row>
    <row r="479" spans="1:12" x14ac:dyDescent="0.25">
      <c r="A479" s="4" t="s">
        <v>1085</v>
      </c>
      <c r="B479" s="4" t="s">
        <v>80</v>
      </c>
      <c r="C479" s="4" t="s">
        <v>47</v>
      </c>
      <c r="E479" s="4" t="s">
        <v>270</v>
      </c>
      <c r="F479" s="4" t="s">
        <v>30</v>
      </c>
      <c r="G479" s="1">
        <v>45636</v>
      </c>
      <c r="H479" s="4" t="s">
        <v>1086</v>
      </c>
      <c r="I479" s="4" t="s">
        <v>96</v>
      </c>
      <c r="J479">
        <v>-8093511870</v>
      </c>
      <c r="K479" s="4" t="s">
        <v>45</v>
      </c>
      <c r="L479" t="b">
        <v>0</v>
      </c>
    </row>
    <row r="480" spans="1:12" x14ac:dyDescent="0.25">
      <c r="A480" s="4" t="s">
        <v>1087</v>
      </c>
      <c r="B480" s="4" t="s">
        <v>80</v>
      </c>
      <c r="C480" s="4" t="s">
        <v>142</v>
      </c>
      <c r="D480">
        <v>25</v>
      </c>
      <c r="E480" s="4" t="s">
        <v>113</v>
      </c>
      <c r="F480" s="4" t="s">
        <v>30</v>
      </c>
      <c r="G480" s="1">
        <v>45470</v>
      </c>
      <c r="H480" s="4" t="s">
        <v>1088</v>
      </c>
      <c r="I480" s="4" t="s">
        <v>160</v>
      </c>
      <c r="J480">
        <v>-8133595615</v>
      </c>
      <c r="K480" s="4" t="s">
        <v>19</v>
      </c>
      <c r="L480" t="b">
        <v>0</v>
      </c>
    </row>
    <row r="481" spans="1:12" x14ac:dyDescent="0.25">
      <c r="A481" s="4" t="s">
        <v>1089</v>
      </c>
      <c r="B481" s="4" t="s">
        <v>61</v>
      </c>
      <c r="C481" s="4" t="s">
        <v>21</v>
      </c>
      <c r="D481">
        <v>25</v>
      </c>
      <c r="E481" s="4" t="s">
        <v>267</v>
      </c>
      <c r="F481" s="4" t="s">
        <v>16</v>
      </c>
      <c r="G481" s="1">
        <v>44264</v>
      </c>
      <c r="H481" s="4" t="s">
        <v>1090</v>
      </c>
      <c r="I481" s="4" t="s">
        <v>147</v>
      </c>
      <c r="J481">
        <v>-4205955656</v>
      </c>
      <c r="K481" s="4" t="s">
        <v>19</v>
      </c>
      <c r="L481" t="b">
        <v>1</v>
      </c>
    </row>
    <row r="482" spans="1:12" x14ac:dyDescent="0.25">
      <c r="A482" s="4" t="s">
        <v>1091</v>
      </c>
      <c r="B482" s="4" t="s">
        <v>80</v>
      </c>
      <c r="C482" s="4" t="s">
        <v>21</v>
      </c>
      <c r="D482">
        <v>25</v>
      </c>
      <c r="E482" s="4" t="s">
        <v>270</v>
      </c>
      <c r="F482" s="4" t="s">
        <v>16</v>
      </c>
      <c r="G482" s="1">
        <v>45515</v>
      </c>
      <c r="H482" s="4" t="s">
        <v>1092</v>
      </c>
      <c r="I482" s="4" t="s">
        <v>240</v>
      </c>
      <c r="J482">
        <v>-4902504289</v>
      </c>
      <c r="K482" s="4" t="s">
        <v>19</v>
      </c>
      <c r="L482" t="b">
        <v>1</v>
      </c>
    </row>
    <row r="483" spans="1:12" x14ac:dyDescent="0.25">
      <c r="A483" s="4" t="s">
        <v>1093</v>
      </c>
      <c r="B483" s="4" t="s">
        <v>35</v>
      </c>
      <c r="C483" s="4" t="s">
        <v>106</v>
      </c>
      <c r="D483">
        <v>35</v>
      </c>
      <c r="E483" s="4" t="s">
        <v>278</v>
      </c>
      <c r="F483" s="4" t="s">
        <v>16</v>
      </c>
      <c r="G483" s="1">
        <v>44625</v>
      </c>
      <c r="H483" s="4" t="s">
        <v>1094</v>
      </c>
      <c r="I483" s="4" t="s">
        <v>307</v>
      </c>
      <c r="J483">
        <v>-1935889535</v>
      </c>
      <c r="K483" s="4" t="s">
        <v>33</v>
      </c>
      <c r="L483" t="b">
        <v>0</v>
      </c>
    </row>
    <row r="484" spans="1:12" x14ac:dyDescent="0.25">
      <c r="A484" s="4" t="s">
        <v>1095</v>
      </c>
      <c r="B484" s="4" t="s">
        <v>35</v>
      </c>
      <c r="C484" s="4" t="s">
        <v>28</v>
      </c>
      <c r="E484" s="4" t="s">
        <v>22</v>
      </c>
      <c r="F484" s="4" t="s">
        <v>30</v>
      </c>
      <c r="G484" s="1">
        <v>45107</v>
      </c>
      <c r="H484" s="4" t="s">
        <v>1096</v>
      </c>
      <c r="I484" s="4" t="s">
        <v>323</v>
      </c>
      <c r="J484">
        <v>-9026113988</v>
      </c>
      <c r="K484" s="4" t="s">
        <v>33</v>
      </c>
      <c r="L484" t="b">
        <v>0</v>
      </c>
    </row>
    <row r="485" spans="1:12" x14ac:dyDescent="0.25">
      <c r="A485" s="4" t="s">
        <v>1097</v>
      </c>
      <c r="B485" s="4" t="s">
        <v>13</v>
      </c>
      <c r="C485" s="4" t="s">
        <v>106</v>
      </c>
      <c r="D485">
        <v>40</v>
      </c>
      <c r="E485" s="4" t="s">
        <v>233</v>
      </c>
      <c r="F485" s="4" t="s">
        <v>30</v>
      </c>
      <c r="G485" s="1">
        <v>45035</v>
      </c>
      <c r="H485" s="4" t="s">
        <v>1098</v>
      </c>
      <c r="I485" s="4" t="s">
        <v>108</v>
      </c>
      <c r="J485">
        <v>-8681809787</v>
      </c>
      <c r="K485" s="4" t="s">
        <v>19</v>
      </c>
      <c r="L485" t="b">
        <v>0</v>
      </c>
    </row>
    <row r="486" spans="1:12" x14ac:dyDescent="0.25">
      <c r="A486" s="4" t="s">
        <v>1099</v>
      </c>
      <c r="B486" s="4" t="s">
        <v>13</v>
      </c>
      <c r="C486" s="4" t="s">
        <v>28</v>
      </c>
      <c r="D486">
        <v>25</v>
      </c>
      <c r="E486" s="4" t="s">
        <v>48</v>
      </c>
      <c r="F486" s="4" t="s">
        <v>36</v>
      </c>
      <c r="G486" s="1">
        <v>45607</v>
      </c>
      <c r="H486" s="4" t="s">
        <v>1100</v>
      </c>
      <c r="I486" s="4" t="s">
        <v>56</v>
      </c>
      <c r="J486">
        <v>-7543943534</v>
      </c>
      <c r="K486" s="4" t="s">
        <v>19</v>
      </c>
      <c r="L486" t="b">
        <v>1</v>
      </c>
    </row>
    <row r="487" spans="1:12" x14ac:dyDescent="0.25">
      <c r="A487" s="4" t="s">
        <v>1101</v>
      </c>
      <c r="B487" s="4" t="s">
        <v>80</v>
      </c>
      <c r="C487" s="4" t="s">
        <v>106</v>
      </c>
      <c r="D487">
        <v>35</v>
      </c>
      <c r="E487" s="4" t="s">
        <v>116</v>
      </c>
      <c r="F487" s="4" t="s">
        <v>36</v>
      </c>
      <c r="G487" s="1">
        <v>45002</v>
      </c>
      <c r="H487" s="4" t="s">
        <v>1102</v>
      </c>
      <c r="I487" s="4" t="s">
        <v>197</v>
      </c>
      <c r="J487">
        <v>-3751376514</v>
      </c>
      <c r="K487" s="4" t="s">
        <v>19</v>
      </c>
      <c r="L487" t="b">
        <v>0</v>
      </c>
    </row>
    <row r="488" spans="1:12" x14ac:dyDescent="0.25">
      <c r="A488" s="4" t="s">
        <v>1103</v>
      </c>
      <c r="B488" s="4" t="s">
        <v>35</v>
      </c>
      <c r="C488" s="4" t="s">
        <v>41</v>
      </c>
      <c r="D488">
        <v>40</v>
      </c>
      <c r="E488" s="4" t="s">
        <v>102</v>
      </c>
      <c r="F488" s="4" t="s">
        <v>30</v>
      </c>
      <c r="G488" s="1">
        <v>45225</v>
      </c>
      <c r="H488" s="4" t="s">
        <v>1104</v>
      </c>
      <c r="I488" s="4" t="s">
        <v>167</v>
      </c>
      <c r="J488">
        <v>-8815793762</v>
      </c>
      <c r="K488" s="4" t="s">
        <v>45</v>
      </c>
      <c r="L488" t="b">
        <v>1</v>
      </c>
    </row>
    <row r="489" spans="1:12" x14ac:dyDescent="0.25">
      <c r="A489" s="4" t="s">
        <v>1105</v>
      </c>
      <c r="B489" s="4" t="s">
        <v>40</v>
      </c>
      <c r="C489" s="4" t="s">
        <v>21</v>
      </c>
      <c r="D489">
        <v>30</v>
      </c>
      <c r="E489" s="4" t="s">
        <v>98</v>
      </c>
      <c r="F489" s="4" t="s">
        <v>36</v>
      </c>
      <c r="G489" s="1">
        <v>44381</v>
      </c>
      <c r="H489" s="4" t="s">
        <v>1106</v>
      </c>
      <c r="I489" s="4" t="s">
        <v>280</v>
      </c>
      <c r="J489">
        <v>-9283692943</v>
      </c>
      <c r="K489" s="4" t="s">
        <v>33</v>
      </c>
      <c r="L489" t="b">
        <v>1</v>
      </c>
    </row>
    <row r="490" spans="1:12" x14ac:dyDescent="0.25">
      <c r="A490" s="4" t="s">
        <v>1107</v>
      </c>
      <c r="B490" s="4" t="s">
        <v>35</v>
      </c>
      <c r="C490" s="4" t="s">
        <v>142</v>
      </c>
      <c r="D490">
        <v>35</v>
      </c>
      <c r="E490" s="4" t="s">
        <v>251</v>
      </c>
      <c r="F490" s="4" t="s">
        <v>30</v>
      </c>
      <c r="G490" s="1">
        <v>45233</v>
      </c>
      <c r="H490" s="4" t="s">
        <v>1108</v>
      </c>
      <c r="I490" s="4" t="s">
        <v>632</v>
      </c>
      <c r="J490">
        <v>-5511668296</v>
      </c>
      <c r="K490" s="4" t="s">
        <v>45</v>
      </c>
      <c r="L490" t="b">
        <v>0</v>
      </c>
    </row>
    <row r="491" spans="1:12" x14ac:dyDescent="0.25">
      <c r="A491" s="4" t="s">
        <v>1109</v>
      </c>
      <c r="B491" s="4" t="s">
        <v>61</v>
      </c>
      <c r="C491" s="4" t="s">
        <v>28</v>
      </c>
      <c r="D491">
        <v>35</v>
      </c>
      <c r="E491" s="4" t="s">
        <v>270</v>
      </c>
      <c r="F491" s="4" t="s">
        <v>36</v>
      </c>
      <c r="G491" s="1">
        <v>44382</v>
      </c>
      <c r="H491" s="4" t="s">
        <v>1110</v>
      </c>
      <c r="I491" s="4" t="s">
        <v>140</v>
      </c>
      <c r="J491">
        <v>-3270216486</v>
      </c>
      <c r="K491" s="4" t="s">
        <v>45</v>
      </c>
      <c r="L491" t="b">
        <v>1</v>
      </c>
    </row>
    <row r="492" spans="1:12" x14ac:dyDescent="0.25">
      <c r="A492" s="4" t="s">
        <v>1111</v>
      </c>
      <c r="B492" s="4" t="s">
        <v>13</v>
      </c>
      <c r="C492" s="4" t="s">
        <v>47</v>
      </c>
      <c r="D492">
        <v>30</v>
      </c>
      <c r="E492" s="4" t="s">
        <v>267</v>
      </c>
      <c r="F492" s="4" t="s">
        <v>36</v>
      </c>
      <c r="G492" s="1">
        <v>45348</v>
      </c>
      <c r="H492" s="4" t="s">
        <v>1112</v>
      </c>
      <c r="I492" s="4" t="s">
        <v>180</v>
      </c>
      <c r="J492">
        <v>-1206021287</v>
      </c>
      <c r="K492" s="4" t="s">
        <v>19</v>
      </c>
      <c r="L492" t="b">
        <v>0</v>
      </c>
    </row>
    <row r="493" spans="1:12" x14ac:dyDescent="0.25">
      <c r="A493" s="4" t="s">
        <v>1113</v>
      </c>
      <c r="B493" s="4" t="s">
        <v>40</v>
      </c>
      <c r="C493" s="4" t="s">
        <v>28</v>
      </c>
      <c r="D493">
        <v>25</v>
      </c>
      <c r="E493" s="4" t="s">
        <v>126</v>
      </c>
      <c r="F493" s="4" t="s">
        <v>16</v>
      </c>
      <c r="G493" s="1">
        <v>44468</v>
      </c>
      <c r="H493" s="4" t="s">
        <v>1114</v>
      </c>
      <c r="I493" s="4" t="s">
        <v>53</v>
      </c>
      <c r="J493">
        <v>-6652683414</v>
      </c>
      <c r="K493" s="4" t="s">
        <v>19</v>
      </c>
      <c r="L493" t="b">
        <v>0</v>
      </c>
    </row>
    <row r="494" spans="1:12" x14ac:dyDescent="0.25">
      <c r="A494" s="4" t="s">
        <v>1115</v>
      </c>
      <c r="B494" s="4" t="s">
        <v>27</v>
      </c>
      <c r="C494" s="4" t="s">
        <v>142</v>
      </c>
      <c r="D494">
        <v>30</v>
      </c>
      <c r="E494" s="4" t="s">
        <v>233</v>
      </c>
      <c r="F494" s="4" t="s">
        <v>16</v>
      </c>
      <c r="G494" s="1">
        <v>44341</v>
      </c>
      <c r="H494" s="4" t="s">
        <v>1116</v>
      </c>
      <c r="I494" s="4" t="s">
        <v>217</v>
      </c>
      <c r="J494">
        <v>-5999101575</v>
      </c>
      <c r="K494" s="4" t="s">
        <v>25</v>
      </c>
      <c r="L494" t="b">
        <v>0</v>
      </c>
    </row>
    <row r="495" spans="1:12" x14ac:dyDescent="0.25">
      <c r="A495" s="4" t="s">
        <v>1117</v>
      </c>
      <c r="B495" s="4" t="s">
        <v>40</v>
      </c>
      <c r="C495" s="4" t="s">
        <v>106</v>
      </c>
      <c r="D495">
        <v>30</v>
      </c>
      <c r="E495" s="4" t="s">
        <v>172</v>
      </c>
      <c r="F495" s="4" t="s">
        <v>36</v>
      </c>
      <c r="G495" s="1">
        <v>44865</v>
      </c>
      <c r="H495" s="4" t="s">
        <v>1118</v>
      </c>
      <c r="I495" s="4" t="s">
        <v>128</v>
      </c>
      <c r="J495">
        <v>-7647229811</v>
      </c>
      <c r="K495" s="4" t="s">
        <v>25</v>
      </c>
      <c r="L495" t="b">
        <v>0</v>
      </c>
    </row>
    <row r="496" spans="1:12" x14ac:dyDescent="0.25">
      <c r="A496" s="4" t="s">
        <v>1119</v>
      </c>
      <c r="B496" s="4" t="s">
        <v>27</v>
      </c>
      <c r="C496" s="4" t="s">
        <v>28</v>
      </c>
      <c r="D496">
        <v>30</v>
      </c>
      <c r="E496" s="4" t="s">
        <v>251</v>
      </c>
      <c r="F496" s="4" t="s">
        <v>30</v>
      </c>
      <c r="G496" s="1">
        <v>44744</v>
      </c>
      <c r="H496" s="4" t="s">
        <v>1120</v>
      </c>
      <c r="I496" s="4" t="s">
        <v>32</v>
      </c>
      <c r="J496">
        <v>-995765727</v>
      </c>
      <c r="K496" s="4" t="s">
        <v>45</v>
      </c>
      <c r="L496" t="b">
        <v>0</v>
      </c>
    </row>
    <row r="497" spans="1:12" x14ac:dyDescent="0.25">
      <c r="A497" s="4" t="s">
        <v>1121</v>
      </c>
      <c r="B497" s="4" t="s">
        <v>40</v>
      </c>
      <c r="C497" s="4" t="s">
        <v>14</v>
      </c>
      <c r="D497">
        <v>35</v>
      </c>
      <c r="E497" s="4" t="s">
        <v>138</v>
      </c>
      <c r="F497" s="4" t="s">
        <v>30</v>
      </c>
      <c r="G497" s="1">
        <v>45532</v>
      </c>
      <c r="H497" s="4" t="s">
        <v>1122</v>
      </c>
      <c r="I497" s="4" t="s">
        <v>59</v>
      </c>
      <c r="J497">
        <v>-9413475097</v>
      </c>
      <c r="K497" s="4" t="s">
        <v>33</v>
      </c>
      <c r="L497" t="b">
        <v>1</v>
      </c>
    </row>
    <row r="498" spans="1:12" x14ac:dyDescent="0.25">
      <c r="A498" s="4" t="s">
        <v>1123</v>
      </c>
      <c r="B498" s="4" t="s">
        <v>80</v>
      </c>
      <c r="C498" s="4" t="s">
        <v>41</v>
      </c>
      <c r="D498">
        <v>25</v>
      </c>
      <c r="E498" s="4" t="s">
        <v>102</v>
      </c>
      <c r="F498" s="4" t="s">
        <v>16</v>
      </c>
      <c r="G498" s="1">
        <v>45586</v>
      </c>
      <c r="H498" s="4" t="s">
        <v>1124</v>
      </c>
      <c r="I498" s="4" t="s">
        <v>83</v>
      </c>
      <c r="J498">
        <v>-8986456521</v>
      </c>
      <c r="K498" s="4" t="s">
        <v>19</v>
      </c>
      <c r="L498" t="b">
        <v>1</v>
      </c>
    </row>
    <row r="499" spans="1:12" x14ac:dyDescent="0.25">
      <c r="A499" s="4" t="s">
        <v>1125</v>
      </c>
      <c r="B499" s="4" t="s">
        <v>67</v>
      </c>
      <c r="C499" s="4" t="s">
        <v>21</v>
      </c>
      <c r="D499">
        <v>35</v>
      </c>
      <c r="E499" s="4" t="s">
        <v>270</v>
      </c>
      <c r="F499" s="4" t="s">
        <v>30</v>
      </c>
      <c r="G499" s="1">
        <v>43872</v>
      </c>
      <c r="H499" s="4" t="s">
        <v>1126</v>
      </c>
      <c r="I499" s="4" t="s">
        <v>265</v>
      </c>
      <c r="J499">
        <v>-368499514</v>
      </c>
      <c r="K499" s="4" t="s">
        <v>19</v>
      </c>
      <c r="L499" t="b">
        <v>0</v>
      </c>
    </row>
    <row r="500" spans="1:12" x14ac:dyDescent="0.25">
      <c r="A500" s="4" t="s">
        <v>1127</v>
      </c>
      <c r="B500" s="4" t="s">
        <v>27</v>
      </c>
      <c r="C500" s="4" t="s">
        <v>142</v>
      </c>
      <c r="D500">
        <v>40</v>
      </c>
      <c r="E500" s="4" t="s">
        <v>29</v>
      </c>
      <c r="F500" s="4" t="s">
        <v>16</v>
      </c>
      <c r="G500" s="1">
        <v>45062</v>
      </c>
      <c r="H500" s="4" t="s">
        <v>1128</v>
      </c>
      <c r="I500" s="4" t="s">
        <v>217</v>
      </c>
      <c r="J500">
        <v>-4214477323</v>
      </c>
      <c r="K500" s="4" t="s">
        <v>45</v>
      </c>
      <c r="L500" t="b">
        <v>0</v>
      </c>
    </row>
    <row r="501" spans="1:12" x14ac:dyDescent="0.25">
      <c r="A501" s="4" t="s">
        <v>1129</v>
      </c>
      <c r="B501" s="4" t="s">
        <v>35</v>
      </c>
      <c r="C501" s="4" t="s">
        <v>21</v>
      </c>
      <c r="D501">
        <v>35</v>
      </c>
      <c r="E501" s="4" t="s">
        <v>130</v>
      </c>
      <c r="F501" s="4" t="s">
        <v>36</v>
      </c>
      <c r="G501" s="1">
        <v>44771</v>
      </c>
      <c r="H501" s="4" t="s">
        <v>1130</v>
      </c>
      <c r="I501" s="4" t="s">
        <v>183</v>
      </c>
      <c r="J501">
        <v>-4913421387</v>
      </c>
      <c r="K501" s="4" t="s">
        <v>25</v>
      </c>
      <c r="L501" t="b">
        <v>1</v>
      </c>
    </row>
    <row r="502" spans="1:12" x14ac:dyDescent="0.25">
      <c r="A502" s="4" t="s">
        <v>1131</v>
      </c>
      <c r="B502" s="4" t="s">
        <v>80</v>
      </c>
      <c r="C502" s="4" t="s">
        <v>14</v>
      </c>
      <c r="E502" s="4" t="s">
        <v>187</v>
      </c>
      <c r="F502" s="4" t="s">
        <v>30</v>
      </c>
      <c r="G502" s="1">
        <v>45187</v>
      </c>
      <c r="H502" s="4" t="s">
        <v>1132</v>
      </c>
      <c r="I502" s="4" t="s">
        <v>276</v>
      </c>
      <c r="J502">
        <v>-2090883069</v>
      </c>
      <c r="K502" s="4" t="s">
        <v>33</v>
      </c>
      <c r="L502" t="b">
        <v>1</v>
      </c>
    </row>
    <row r="503" spans="1:12" x14ac:dyDescent="0.25">
      <c r="A503" s="4" t="s">
        <v>1133</v>
      </c>
      <c r="B503" s="4" t="s">
        <v>35</v>
      </c>
      <c r="C503" s="4" t="s">
        <v>28</v>
      </c>
      <c r="D503">
        <v>35</v>
      </c>
      <c r="E503" s="4" t="s">
        <v>278</v>
      </c>
      <c r="F503" s="4" t="s">
        <v>36</v>
      </c>
      <c r="G503" s="1">
        <v>43961</v>
      </c>
      <c r="H503" s="4" t="s">
        <v>1134</v>
      </c>
      <c r="I503" s="4" t="s">
        <v>323</v>
      </c>
      <c r="J503">
        <v>-5349678273</v>
      </c>
      <c r="K503" s="4" t="s">
        <v>25</v>
      </c>
      <c r="L503" t="b">
        <v>1</v>
      </c>
    </row>
    <row r="504" spans="1:12" x14ac:dyDescent="0.25">
      <c r="A504" s="4" t="s">
        <v>1135</v>
      </c>
      <c r="B504" s="4" t="s">
        <v>40</v>
      </c>
      <c r="C504" s="4" t="s">
        <v>28</v>
      </c>
      <c r="D504">
        <v>35</v>
      </c>
      <c r="E504" s="4" t="s">
        <v>175</v>
      </c>
      <c r="F504" s="4" t="s">
        <v>30</v>
      </c>
      <c r="G504" s="1">
        <v>45165</v>
      </c>
      <c r="H504" s="4" t="s">
        <v>1136</v>
      </c>
      <c r="I504" s="4" t="s">
        <v>53</v>
      </c>
      <c r="J504">
        <v>-1176741240</v>
      </c>
      <c r="K504" s="4" t="s">
        <v>25</v>
      </c>
      <c r="L504" t="b">
        <v>1</v>
      </c>
    </row>
    <row r="505" spans="1:12" x14ac:dyDescent="0.25">
      <c r="A505" s="4" t="s">
        <v>1137</v>
      </c>
      <c r="B505" s="4" t="s">
        <v>67</v>
      </c>
      <c r="C505" s="4" t="s">
        <v>47</v>
      </c>
      <c r="D505">
        <v>25</v>
      </c>
      <c r="E505" s="4" t="s">
        <v>87</v>
      </c>
      <c r="F505" s="4" t="s">
        <v>30</v>
      </c>
      <c r="G505" s="1">
        <v>44485</v>
      </c>
      <c r="H505" s="4" t="s">
        <v>1138</v>
      </c>
      <c r="I505" s="4" t="s">
        <v>118</v>
      </c>
      <c r="J505">
        <v>-5131528546</v>
      </c>
      <c r="K505" s="4" t="s">
        <v>25</v>
      </c>
      <c r="L505" t="b">
        <v>0</v>
      </c>
    </row>
    <row r="506" spans="1:12" x14ac:dyDescent="0.25">
      <c r="A506" s="4" t="s">
        <v>1139</v>
      </c>
      <c r="B506" s="4" t="s">
        <v>75</v>
      </c>
      <c r="C506" s="4" t="s">
        <v>14</v>
      </c>
      <c r="D506">
        <v>35</v>
      </c>
      <c r="E506" s="4" t="s">
        <v>251</v>
      </c>
      <c r="F506" s="4" t="s">
        <v>36</v>
      </c>
      <c r="G506" s="1">
        <v>44626</v>
      </c>
      <c r="H506" s="4" t="s">
        <v>1140</v>
      </c>
      <c r="I506" s="4" t="s">
        <v>469</v>
      </c>
      <c r="J506">
        <v>-8150618537</v>
      </c>
      <c r="K506" s="4" t="s">
        <v>25</v>
      </c>
      <c r="L506" t="b">
        <v>0</v>
      </c>
    </row>
    <row r="507" spans="1:12" x14ac:dyDescent="0.25">
      <c r="A507" s="4" t="s">
        <v>1141</v>
      </c>
      <c r="B507" s="4" t="s">
        <v>67</v>
      </c>
      <c r="C507" s="4" t="s">
        <v>142</v>
      </c>
      <c r="D507">
        <v>35</v>
      </c>
      <c r="E507" s="4" t="s">
        <v>386</v>
      </c>
      <c r="F507" s="4" t="s">
        <v>16</v>
      </c>
      <c r="G507" s="1">
        <v>45236</v>
      </c>
      <c r="H507" s="4" t="s">
        <v>1142</v>
      </c>
      <c r="I507" s="4" t="s">
        <v>402</v>
      </c>
      <c r="J507">
        <v>-32963346</v>
      </c>
      <c r="K507" s="4" t="s">
        <v>19</v>
      </c>
      <c r="L507" t="b">
        <v>1</v>
      </c>
    </row>
    <row r="508" spans="1:12" x14ac:dyDescent="0.25">
      <c r="A508" s="4" t="s">
        <v>1143</v>
      </c>
      <c r="B508" s="4" t="s">
        <v>40</v>
      </c>
      <c r="C508" s="4" t="s">
        <v>47</v>
      </c>
      <c r="E508" s="4" t="s">
        <v>76</v>
      </c>
      <c r="F508" s="4" t="s">
        <v>30</v>
      </c>
      <c r="G508" s="1">
        <v>45626</v>
      </c>
      <c r="H508" s="4" t="s">
        <v>1144</v>
      </c>
      <c r="I508" s="4" t="s">
        <v>214</v>
      </c>
      <c r="J508">
        <v>-2727423182</v>
      </c>
      <c r="K508" s="4" t="s">
        <v>19</v>
      </c>
      <c r="L508" t="b">
        <v>0</v>
      </c>
    </row>
    <row r="509" spans="1:12" x14ac:dyDescent="0.25">
      <c r="A509" s="4" t="s">
        <v>1145</v>
      </c>
      <c r="B509" s="4" t="s">
        <v>75</v>
      </c>
      <c r="C509" s="4" t="s">
        <v>41</v>
      </c>
      <c r="D509">
        <v>30</v>
      </c>
      <c r="E509" s="4" t="s">
        <v>15</v>
      </c>
      <c r="F509" s="4" t="s">
        <v>30</v>
      </c>
      <c r="G509" s="1">
        <v>45486</v>
      </c>
      <c r="H509" s="4" t="s">
        <v>1146</v>
      </c>
      <c r="I509" s="4" t="s">
        <v>78</v>
      </c>
      <c r="J509">
        <v>-617893205</v>
      </c>
      <c r="K509" s="4" t="s">
        <v>25</v>
      </c>
      <c r="L509" t="b">
        <v>1</v>
      </c>
    </row>
    <row r="510" spans="1:12" x14ac:dyDescent="0.25">
      <c r="A510" s="4" t="s">
        <v>1147</v>
      </c>
      <c r="B510" s="4" t="s">
        <v>40</v>
      </c>
      <c r="C510" s="4" t="s">
        <v>47</v>
      </c>
      <c r="D510">
        <v>25</v>
      </c>
      <c r="E510" s="4" t="s">
        <v>138</v>
      </c>
      <c r="F510" s="4" t="s">
        <v>16</v>
      </c>
      <c r="G510" s="1">
        <v>45355</v>
      </c>
      <c r="H510" s="4" t="s">
        <v>1148</v>
      </c>
      <c r="I510" s="4" t="s">
        <v>214</v>
      </c>
      <c r="J510">
        <v>-4969357823</v>
      </c>
      <c r="K510" s="4" t="s">
        <v>33</v>
      </c>
      <c r="L510" t="b">
        <v>0</v>
      </c>
    </row>
    <row r="511" spans="1:12" x14ac:dyDescent="0.25">
      <c r="A511" s="4" t="s">
        <v>1149</v>
      </c>
      <c r="B511" s="4" t="s">
        <v>40</v>
      </c>
      <c r="C511" s="4" t="s">
        <v>62</v>
      </c>
      <c r="D511">
        <v>35</v>
      </c>
      <c r="E511" s="4" t="s">
        <v>229</v>
      </c>
      <c r="F511" s="4" t="s">
        <v>36</v>
      </c>
      <c r="G511" s="1">
        <v>44780</v>
      </c>
      <c r="H511" s="4" t="s">
        <v>1150</v>
      </c>
      <c r="I511" s="4" t="s">
        <v>316</v>
      </c>
      <c r="J511">
        <v>-3477695873</v>
      </c>
      <c r="K511" s="4" t="s">
        <v>45</v>
      </c>
      <c r="L511" t="b">
        <v>1</v>
      </c>
    </row>
    <row r="512" spans="1:12" x14ac:dyDescent="0.25">
      <c r="A512" s="4" t="s">
        <v>1151</v>
      </c>
      <c r="B512" s="4" t="s">
        <v>13</v>
      </c>
      <c r="C512" s="4" t="s">
        <v>142</v>
      </c>
      <c r="D512">
        <v>40</v>
      </c>
      <c r="E512" s="4" t="s">
        <v>102</v>
      </c>
      <c r="F512" s="4" t="s">
        <v>16</v>
      </c>
      <c r="G512" s="1">
        <v>45607</v>
      </c>
      <c r="H512" s="4" t="s">
        <v>1152</v>
      </c>
      <c r="I512" s="4" t="s">
        <v>144</v>
      </c>
      <c r="J512">
        <v>-1314675360</v>
      </c>
      <c r="K512" s="4" t="s">
        <v>33</v>
      </c>
      <c r="L512" t="b">
        <v>0</v>
      </c>
    </row>
    <row r="513" spans="1:12" x14ac:dyDescent="0.25">
      <c r="A513" s="4" t="s">
        <v>1153</v>
      </c>
      <c r="B513" s="4" t="s">
        <v>80</v>
      </c>
      <c r="C513" s="4" t="s">
        <v>62</v>
      </c>
      <c r="D513">
        <v>25</v>
      </c>
      <c r="E513" s="4" t="s">
        <v>233</v>
      </c>
      <c r="F513" s="4" t="s">
        <v>16</v>
      </c>
      <c r="G513" s="1">
        <v>44532</v>
      </c>
      <c r="H513" s="4" t="s">
        <v>1154</v>
      </c>
      <c r="I513" s="4" t="s">
        <v>150</v>
      </c>
      <c r="J513">
        <v>-2751562778</v>
      </c>
      <c r="K513" s="4" t="s">
        <v>33</v>
      </c>
      <c r="L513" t="b">
        <v>1</v>
      </c>
    </row>
    <row r="514" spans="1:12" x14ac:dyDescent="0.25">
      <c r="A514" s="4" t="s">
        <v>1155</v>
      </c>
      <c r="B514" s="4" t="s">
        <v>75</v>
      </c>
      <c r="C514" s="4" t="s">
        <v>14</v>
      </c>
      <c r="D514">
        <v>30</v>
      </c>
      <c r="E514" s="4" t="s">
        <v>175</v>
      </c>
      <c r="F514" s="4" t="s">
        <v>16</v>
      </c>
      <c r="G514" s="1">
        <v>45426</v>
      </c>
      <c r="H514" s="4" t="s">
        <v>1156</v>
      </c>
      <c r="I514" s="4" t="s">
        <v>469</v>
      </c>
      <c r="J514">
        <v>-6304483607</v>
      </c>
      <c r="K514" s="4" t="s">
        <v>33</v>
      </c>
      <c r="L514" t="b">
        <v>1</v>
      </c>
    </row>
    <row r="515" spans="1:12" x14ac:dyDescent="0.25">
      <c r="A515" s="4" t="s">
        <v>1157</v>
      </c>
      <c r="B515" s="4" t="s">
        <v>61</v>
      </c>
      <c r="C515" s="4" t="s">
        <v>106</v>
      </c>
      <c r="D515">
        <v>35</v>
      </c>
      <c r="E515" s="4" t="s">
        <v>278</v>
      </c>
      <c r="F515" s="4" t="s">
        <v>16</v>
      </c>
      <c r="G515" s="1">
        <v>44756</v>
      </c>
      <c r="H515" s="4" t="s">
        <v>1158</v>
      </c>
      <c r="I515" s="4" t="s">
        <v>607</v>
      </c>
      <c r="J515">
        <v>-5456676639</v>
      </c>
      <c r="K515" s="4" t="s">
        <v>25</v>
      </c>
      <c r="L515" t="b">
        <v>0</v>
      </c>
    </row>
    <row r="516" spans="1:12" x14ac:dyDescent="0.25">
      <c r="A516" s="4" t="s">
        <v>1159</v>
      </c>
      <c r="B516" s="4" t="s">
        <v>61</v>
      </c>
      <c r="C516" s="4" t="s">
        <v>62</v>
      </c>
      <c r="E516" s="4" t="s">
        <v>244</v>
      </c>
      <c r="F516" s="4" t="s">
        <v>16</v>
      </c>
      <c r="G516" s="1">
        <v>44096</v>
      </c>
      <c r="H516" s="4" t="s">
        <v>1160</v>
      </c>
      <c r="I516" s="4" t="s">
        <v>65</v>
      </c>
      <c r="J516">
        <v>-4735047638</v>
      </c>
      <c r="K516" s="4" t="s">
        <v>19</v>
      </c>
      <c r="L516" t="b">
        <v>1</v>
      </c>
    </row>
    <row r="517" spans="1:12" x14ac:dyDescent="0.25">
      <c r="A517" s="4" t="s">
        <v>1161</v>
      </c>
      <c r="B517" s="4" t="s">
        <v>80</v>
      </c>
      <c r="C517" s="4" t="s">
        <v>41</v>
      </c>
      <c r="D517">
        <v>40</v>
      </c>
      <c r="E517" s="4" t="s">
        <v>130</v>
      </c>
      <c r="F517" s="4" t="s">
        <v>16</v>
      </c>
      <c r="G517" s="1">
        <v>43908</v>
      </c>
      <c r="H517" s="4" t="s">
        <v>1162</v>
      </c>
      <c r="I517" s="4" t="s">
        <v>83</v>
      </c>
      <c r="J517">
        <v>-2831995297</v>
      </c>
      <c r="K517" s="4" t="s">
        <v>33</v>
      </c>
      <c r="L517" t="b">
        <v>0</v>
      </c>
    </row>
    <row r="518" spans="1:12" x14ac:dyDescent="0.25">
      <c r="A518" s="4" t="s">
        <v>1163</v>
      </c>
      <c r="B518" s="4" t="s">
        <v>27</v>
      </c>
      <c r="C518" s="4" t="s">
        <v>47</v>
      </c>
      <c r="D518">
        <v>35</v>
      </c>
      <c r="E518" s="4" t="s">
        <v>126</v>
      </c>
      <c r="F518" s="4" t="s">
        <v>16</v>
      </c>
      <c r="G518" s="1">
        <v>45216</v>
      </c>
      <c r="H518" s="4" t="s">
        <v>1164</v>
      </c>
      <c r="I518" s="4" t="s">
        <v>50</v>
      </c>
      <c r="J518">
        <v>-61558107</v>
      </c>
      <c r="K518" s="4" t="s">
        <v>25</v>
      </c>
      <c r="L518" t="b">
        <v>0</v>
      </c>
    </row>
    <row r="519" spans="1:12" x14ac:dyDescent="0.25">
      <c r="A519" s="4" t="s">
        <v>1165</v>
      </c>
      <c r="B519" s="4" t="s">
        <v>67</v>
      </c>
      <c r="C519" s="4" t="s">
        <v>106</v>
      </c>
      <c r="D519">
        <v>35</v>
      </c>
      <c r="E519" s="4" t="s">
        <v>76</v>
      </c>
      <c r="F519" s="4" t="s">
        <v>16</v>
      </c>
      <c r="G519" s="1">
        <v>44616</v>
      </c>
      <c r="H519" s="4" t="s">
        <v>1166</v>
      </c>
      <c r="I519" s="4" t="s">
        <v>124</v>
      </c>
      <c r="J519">
        <v>-3583286341</v>
      </c>
      <c r="K519" s="4" t="s">
        <v>33</v>
      </c>
      <c r="L519" t="b">
        <v>1</v>
      </c>
    </row>
    <row r="520" spans="1:12" x14ac:dyDescent="0.25">
      <c r="A520" s="4" t="s">
        <v>1167</v>
      </c>
      <c r="B520" s="4" t="s">
        <v>13</v>
      </c>
      <c r="C520" s="4" t="s">
        <v>47</v>
      </c>
      <c r="D520">
        <v>25</v>
      </c>
      <c r="E520" s="4" t="s">
        <v>172</v>
      </c>
      <c r="F520" s="4" t="s">
        <v>36</v>
      </c>
      <c r="G520" s="1">
        <v>45321</v>
      </c>
      <c r="H520" s="4" t="s">
        <v>1168</v>
      </c>
      <c r="I520" s="4" t="s">
        <v>180</v>
      </c>
      <c r="J520">
        <v>-5563830007</v>
      </c>
      <c r="K520" s="4" t="s">
        <v>33</v>
      </c>
      <c r="L520" t="b">
        <v>0</v>
      </c>
    </row>
    <row r="521" spans="1:12" x14ac:dyDescent="0.25">
      <c r="A521" s="4" t="s">
        <v>1169</v>
      </c>
      <c r="B521" s="4" t="s">
        <v>80</v>
      </c>
      <c r="C521" s="4" t="s">
        <v>62</v>
      </c>
      <c r="D521">
        <v>30</v>
      </c>
      <c r="E521" s="4" t="s">
        <v>251</v>
      </c>
      <c r="F521" s="4" t="s">
        <v>36</v>
      </c>
      <c r="G521" s="1">
        <v>45367</v>
      </c>
      <c r="H521" s="4" t="s">
        <v>1170</v>
      </c>
      <c r="I521" s="4" t="s">
        <v>150</v>
      </c>
      <c r="J521">
        <v>-1867024402</v>
      </c>
      <c r="K521" s="4" t="s">
        <v>25</v>
      </c>
      <c r="L521" t="b">
        <v>0</v>
      </c>
    </row>
    <row r="522" spans="1:12" x14ac:dyDescent="0.25">
      <c r="A522" s="4" t="s">
        <v>1171</v>
      </c>
      <c r="B522" s="4" t="s">
        <v>80</v>
      </c>
      <c r="C522" s="4" t="s">
        <v>47</v>
      </c>
      <c r="D522">
        <v>25</v>
      </c>
      <c r="E522" s="4" t="s">
        <v>233</v>
      </c>
      <c r="F522" s="4" t="s">
        <v>30</v>
      </c>
      <c r="G522" s="1">
        <v>44099</v>
      </c>
      <c r="H522" s="4" t="s">
        <v>1172</v>
      </c>
      <c r="I522" s="4" t="s">
        <v>96</v>
      </c>
      <c r="J522">
        <v>-3041662410</v>
      </c>
      <c r="K522" s="4" t="s">
        <v>19</v>
      </c>
      <c r="L522" t="b">
        <v>0</v>
      </c>
    </row>
    <row r="523" spans="1:12" x14ac:dyDescent="0.25">
      <c r="A523" s="4" t="s">
        <v>1173</v>
      </c>
      <c r="B523" s="4" t="s">
        <v>61</v>
      </c>
      <c r="C523" s="4" t="s">
        <v>14</v>
      </c>
      <c r="D523">
        <v>25</v>
      </c>
      <c r="E523" s="4" t="s">
        <v>175</v>
      </c>
      <c r="F523" s="4" t="s">
        <v>30</v>
      </c>
      <c r="G523" s="1">
        <v>45453</v>
      </c>
      <c r="H523" s="4" t="s">
        <v>1174</v>
      </c>
      <c r="I523" s="4" t="s">
        <v>200</v>
      </c>
      <c r="J523">
        <v>-1860089218</v>
      </c>
      <c r="K523" s="4" t="s">
        <v>19</v>
      </c>
      <c r="L523" t="b">
        <v>0</v>
      </c>
    </row>
    <row r="524" spans="1:12" x14ac:dyDescent="0.25">
      <c r="A524" s="4" t="s">
        <v>1175</v>
      </c>
      <c r="B524" s="4" t="s">
        <v>35</v>
      </c>
      <c r="C524" s="4" t="s">
        <v>106</v>
      </c>
      <c r="E524" s="4" t="s">
        <v>48</v>
      </c>
      <c r="F524" s="4" t="s">
        <v>30</v>
      </c>
      <c r="G524" s="1">
        <v>43929</v>
      </c>
      <c r="H524" s="4" t="s">
        <v>1176</v>
      </c>
      <c r="I524" s="4" t="s">
        <v>307</v>
      </c>
      <c r="J524">
        <v>-6394568043</v>
      </c>
      <c r="K524" s="4" t="s">
        <v>45</v>
      </c>
      <c r="L524" t="b">
        <v>0</v>
      </c>
    </row>
    <row r="525" spans="1:12" x14ac:dyDescent="0.25">
      <c r="A525" s="4" t="s">
        <v>1177</v>
      </c>
      <c r="B525" s="4" t="s">
        <v>27</v>
      </c>
      <c r="C525" s="4" t="s">
        <v>14</v>
      </c>
      <c r="D525">
        <v>25</v>
      </c>
      <c r="E525" s="4" t="s">
        <v>278</v>
      </c>
      <c r="F525" s="4" t="s">
        <v>36</v>
      </c>
      <c r="G525" s="1">
        <v>44740</v>
      </c>
      <c r="H525" s="4" t="s">
        <v>1178</v>
      </c>
      <c r="I525" s="4" t="s">
        <v>191</v>
      </c>
      <c r="J525">
        <v>-7314976460</v>
      </c>
      <c r="K525" s="4" t="s">
        <v>25</v>
      </c>
      <c r="L525" t="b">
        <v>1</v>
      </c>
    </row>
    <row r="526" spans="1:12" x14ac:dyDescent="0.25">
      <c r="A526" s="4" t="s">
        <v>1179</v>
      </c>
      <c r="B526" s="4" t="s">
        <v>75</v>
      </c>
      <c r="C526" s="4" t="s">
        <v>62</v>
      </c>
      <c r="D526">
        <v>30</v>
      </c>
      <c r="E526" s="4" t="s">
        <v>29</v>
      </c>
      <c r="F526" s="4" t="s">
        <v>30</v>
      </c>
      <c r="G526" s="1">
        <v>45121</v>
      </c>
      <c r="H526" s="4" t="s">
        <v>1180</v>
      </c>
      <c r="I526" s="4" t="s">
        <v>132</v>
      </c>
      <c r="J526">
        <v>-3684748835</v>
      </c>
      <c r="K526" s="4" t="s">
        <v>45</v>
      </c>
      <c r="L526" t="b">
        <v>0</v>
      </c>
    </row>
    <row r="527" spans="1:12" x14ac:dyDescent="0.25">
      <c r="A527" s="4" t="s">
        <v>1181</v>
      </c>
      <c r="B527" s="4" t="s">
        <v>13</v>
      </c>
      <c r="C527" s="4" t="s">
        <v>14</v>
      </c>
      <c r="E527" s="4" t="s">
        <v>229</v>
      </c>
      <c r="F527" s="4" t="s">
        <v>30</v>
      </c>
      <c r="G527" s="1">
        <v>45266</v>
      </c>
      <c r="H527" s="4" t="s">
        <v>1182</v>
      </c>
      <c r="I527" s="4" t="s">
        <v>18</v>
      </c>
      <c r="J527">
        <v>-765817389</v>
      </c>
      <c r="K527" s="4" t="s">
        <v>45</v>
      </c>
      <c r="L527" t="b">
        <v>0</v>
      </c>
    </row>
    <row r="528" spans="1:12" x14ac:dyDescent="0.25">
      <c r="A528" s="4" t="s">
        <v>1183</v>
      </c>
      <c r="B528" s="4" t="s">
        <v>13</v>
      </c>
      <c r="C528" s="4" t="s">
        <v>41</v>
      </c>
      <c r="E528" s="4" t="s">
        <v>91</v>
      </c>
      <c r="F528" s="4" t="s">
        <v>16</v>
      </c>
      <c r="G528" s="1">
        <v>44409</v>
      </c>
      <c r="H528" s="4" t="s">
        <v>1184</v>
      </c>
      <c r="I528" s="4" t="s">
        <v>170</v>
      </c>
      <c r="J528">
        <v>-6375791451</v>
      </c>
      <c r="K528" s="4" t="s">
        <v>45</v>
      </c>
      <c r="L528" t="b">
        <v>0</v>
      </c>
    </row>
    <row r="529" spans="1:12" x14ac:dyDescent="0.25">
      <c r="A529" s="4" t="s">
        <v>1185</v>
      </c>
      <c r="B529" s="4" t="s">
        <v>67</v>
      </c>
      <c r="C529" s="4" t="s">
        <v>62</v>
      </c>
      <c r="E529" s="4" t="s">
        <v>138</v>
      </c>
      <c r="F529" s="4" t="s">
        <v>30</v>
      </c>
      <c r="G529" s="1">
        <v>44244</v>
      </c>
      <c r="H529" s="4" t="s">
        <v>1186</v>
      </c>
      <c r="I529" s="4" t="s">
        <v>257</v>
      </c>
      <c r="J529">
        <v>-1182379311</v>
      </c>
      <c r="K529" s="4" t="s">
        <v>19</v>
      </c>
      <c r="L529" t="b">
        <v>0</v>
      </c>
    </row>
    <row r="530" spans="1:12" x14ac:dyDescent="0.25">
      <c r="A530" s="4" t="s">
        <v>1187</v>
      </c>
      <c r="B530" s="4" t="s">
        <v>61</v>
      </c>
      <c r="C530" s="4" t="s">
        <v>62</v>
      </c>
      <c r="D530">
        <v>25</v>
      </c>
      <c r="E530" s="4" t="s">
        <v>87</v>
      </c>
      <c r="F530" s="4" t="s">
        <v>16</v>
      </c>
      <c r="G530" s="1">
        <v>45240</v>
      </c>
      <c r="H530" s="4" t="s">
        <v>1188</v>
      </c>
      <c r="I530" s="4" t="s">
        <v>65</v>
      </c>
      <c r="J530">
        <v>-6978930745</v>
      </c>
      <c r="K530" s="4" t="s">
        <v>25</v>
      </c>
      <c r="L530" t="b">
        <v>0</v>
      </c>
    </row>
    <row r="531" spans="1:12" x14ac:dyDescent="0.25">
      <c r="A531" s="4" t="s">
        <v>1189</v>
      </c>
      <c r="B531" s="4" t="s">
        <v>27</v>
      </c>
      <c r="C531" s="4" t="s">
        <v>62</v>
      </c>
      <c r="D531">
        <v>25</v>
      </c>
      <c r="E531" s="4" t="s">
        <v>278</v>
      </c>
      <c r="F531" s="4" t="s">
        <v>16</v>
      </c>
      <c r="G531" s="1">
        <v>45541</v>
      </c>
      <c r="H531" s="4" t="s">
        <v>1190</v>
      </c>
      <c r="I531" s="4" t="s">
        <v>177</v>
      </c>
      <c r="J531">
        <v>-4520599603</v>
      </c>
      <c r="K531" s="4" t="s">
        <v>45</v>
      </c>
      <c r="L531" t="b">
        <v>1</v>
      </c>
    </row>
    <row r="532" spans="1:12" x14ac:dyDescent="0.25">
      <c r="A532" s="4" t="s">
        <v>1191</v>
      </c>
      <c r="B532" s="4" t="s">
        <v>13</v>
      </c>
      <c r="C532" s="4" t="s">
        <v>142</v>
      </c>
      <c r="E532" s="4" t="s">
        <v>98</v>
      </c>
      <c r="F532" s="4" t="s">
        <v>30</v>
      </c>
      <c r="G532" s="1">
        <v>44038</v>
      </c>
      <c r="H532" s="4" t="s">
        <v>1192</v>
      </c>
      <c r="I532" s="4" t="s">
        <v>144</v>
      </c>
      <c r="J532">
        <v>-3878753576</v>
      </c>
      <c r="K532" s="4" t="s">
        <v>25</v>
      </c>
      <c r="L532" t="b">
        <v>0</v>
      </c>
    </row>
    <row r="533" spans="1:12" x14ac:dyDescent="0.25">
      <c r="A533" s="4" t="s">
        <v>1193</v>
      </c>
      <c r="B533" s="4" t="s">
        <v>75</v>
      </c>
      <c r="C533" s="4" t="s">
        <v>47</v>
      </c>
      <c r="D533">
        <v>35</v>
      </c>
      <c r="E533" s="4" t="s">
        <v>251</v>
      </c>
      <c r="F533" s="4" t="s">
        <v>16</v>
      </c>
      <c r="G533" s="1">
        <v>44035</v>
      </c>
      <c r="H533" s="4" t="s">
        <v>1194</v>
      </c>
      <c r="I533" s="4" t="s">
        <v>300</v>
      </c>
      <c r="J533">
        <v>-8811616201</v>
      </c>
      <c r="K533" s="4" t="s">
        <v>25</v>
      </c>
      <c r="L533" t="b">
        <v>1</v>
      </c>
    </row>
    <row r="534" spans="1:12" x14ac:dyDescent="0.25">
      <c r="A534" s="4" t="s">
        <v>1195</v>
      </c>
      <c r="B534" s="4" t="s">
        <v>35</v>
      </c>
      <c r="C534" s="4" t="s">
        <v>142</v>
      </c>
      <c r="D534">
        <v>35</v>
      </c>
      <c r="E534" s="4" t="s">
        <v>15</v>
      </c>
      <c r="F534" s="4" t="s">
        <v>36</v>
      </c>
      <c r="G534" s="1">
        <v>45343</v>
      </c>
      <c r="H534" s="4" t="s">
        <v>1196</v>
      </c>
      <c r="I534" s="4" t="s">
        <v>632</v>
      </c>
      <c r="J534">
        <v>-8123710671</v>
      </c>
      <c r="K534" s="4" t="s">
        <v>19</v>
      </c>
      <c r="L534" t="b">
        <v>1</v>
      </c>
    </row>
    <row r="535" spans="1:12" x14ac:dyDescent="0.25">
      <c r="A535" s="4" t="s">
        <v>1197</v>
      </c>
      <c r="B535" s="4" t="s">
        <v>27</v>
      </c>
      <c r="C535" s="4" t="s">
        <v>142</v>
      </c>
      <c r="D535">
        <v>25</v>
      </c>
      <c r="E535" s="4" t="s">
        <v>29</v>
      </c>
      <c r="F535" s="4" t="s">
        <v>30</v>
      </c>
      <c r="G535" s="1">
        <v>44180</v>
      </c>
      <c r="H535" s="4" t="s">
        <v>1198</v>
      </c>
      <c r="I535" s="4" t="s">
        <v>217</v>
      </c>
      <c r="J535">
        <v>-8728660415</v>
      </c>
      <c r="K535" s="4" t="s">
        <v>45</v>
      </c>
      <c r="L535" t="b">
        <v>1</v>
      </c>
    </row>
    <row r="536" spans="1:12" x14ac:dyDescent="0.25">
      <c r="A536" s="4" t="s">
        <v>1199</v>
      </c>
      <c r="B536" s="4" t="s">
        <v>35</v>
      </c>
      <c r="C536" s="4" t="s">
        <v>41</v>
      </c>
      <c r="D536">
        <v>25</v>
      </c>
      <c r="E536" s="4" t="s">
        <v>172</v>
      </c>
      <c r="F536" s="4" t="s">
        <v>16</v>
      </c>
      <c r="G536" s="1">
        <v>44064</v>
      </c>
      <c r="H536" s="4" t="s">
        <v>1200</v>
      </c>
      <c r="I536" s="4" t="s">
        <v>167</v>
      </c>
      <c r="J536">
        <v>-4485959223</v>
      </c>
      <c r="K536" s="4" t="s">
        <v>45</v>
      </c>
      <c r="L536" t="b">
        <v>1</v>
      </c>
    </row>
    <row r="537" spans="1:12" x14ac:dyDescent="0.25">
      <c r="A537" s="4" t="s">
        <v>1201</v>
      </c>
      <c r="B537" s="4" t="s">
        <v>35</v>
      </c>
      <c r="C537" s="4" t="s">
        <v>106</v>
      </c>
      <c r="D537">
        <v>40</v>
      </c>
      <c r="E537" s="4" t="s">
        <v>270</v>
      </c>
      <c r="F537" s="4" t="s">
        <v>36</v>
      </c>
      <c r="G537" s="1">
        <v>45159</v>
      </c>
      <c r="H537" s="4" t="s">
        <v>1202</v>
      </c>
      <c r="I537" s="4" t="s">
        <v>307</v>
      </c>
      <c r="J537">
        <v>-8395894772</v>
      </c>
      <c r="K537" s="4" t="s">
        <v>25</v>
      </c>
      <c r="L537" t="b">
        <v>0</v>
      </c>
    </row>
    <row r="538" spans="1:12" x14ac:dyDescent="0.25">
      <c r="A538" s="4" t="s">
        <v>1203</v>
      </c>
      <c r="B538" s="4" t="s">
        <v>61</v>
      </c>
      <c r="C538" s="4" t="s">
        <v>47</v>
      </c>
      <c r="D538">
        <v>25</v>
      </c>
      <c r="E538" s="4" t="s">
        <v>120</v>
      </c>
      <c r="F538" s="4" t="s">
        <v>36</v>
      </c>
      <c r="G538" s="1">
        <v>45040</v>
      </c>
      <c r="H538" s="4" t="s">
        <v>1204</v>
      </c>
      <c r="I538" s="4" t="s">
        <v>100</v>
      </c>
      <c r="J538">
        <v>-5228705621</v>
      </c>
      <c r="K538" s="4" t="s">
        <v>33</v>
      </c>
      <c r="L538" t="b">
        <v>1</v>
      </c>
    </row>
    <row r="539" spans="1:12" x14ac:dyDescent="0.25">
      <c r="A539" s="4" t="s">
        <v>1205</v>
      </c>
      <c r="B539" s="4" t="s">
        <v>75</v>
      </c>
      <c r="C539" s="4" t="s">
        <v>14</v>
      </c>
      <c r="D539">
        <v>30</v>
      </c>
      <c r="E539" s="4" t="s">
        <v>87</v>
      </c>
      <c r="F539" s="4" t="s">
        <v>36</v>
      </c>
      <c r="G539" s="1">
        <v>45083</v>
      </c>
      <c r="H539" s="4" t="s">
        <v>1206</v>
      </c>
      <c r="I539" s="4" t="s">
        <v>469</v>
      </c>
      <c r="J539">
        <v>-7104331874</v>
      </c>
      <c r="K539" s="4" t="s">
        <v>19</v>
      </c>
      <c r="L539" t="b">
        <v>1</v>
      </c>
    </row>
    <row r="540" spans="1:12" x14ac:dyDescent="0.25">
      <c r="A540" s="4" t="s">
        <v>1207</v>
      </c>
      <c r="B540" s="4" t="s">
        <v>61</v>
      </c>
      <c r="C540" s="4" t="s">
        <v>28</v>
      </c>
      <c r="D540">
        <v>40</v>
      </c>
      <c r="E540" s="4" t="s">
        <v>22</v>
      </c>
      <c r="F540" s="4" t="s">
        <v>36</v>
      </c>
      <c r="G540" s="1">
        <v>44733</v>
      </c>
      <c r="H540" s="4" t="s">
        <v>1208</v>
      </c>
      <c r="I540" s="4" t="s">
        <v>140</v>
      </c>
      <c r="J540">
        <v>-1097921582</v>
      </c>
      <c r="K540" s="4" t="s">
        <v>19</v>
      </c>
      <c r="L540" t="b">
        <v>0</v>
      </c>
    </row>
    <row r="541" spans="1:12" x14ac:dyDescent="0.25">
      <c r="A541" s="4" t="s">
        <v>1209</v>
      </c>
      <c r="B541" s="4" t="s">
        <v>40</v>
      </c>
      <c r="C541" s="4" t="s">
        <v>62</v>
      </c>
      <c r="D541">
        <v>25</v>
      </c>
      <c r="E541" s="4" t="s">
        <v>386</v>
      </c>
      <c r="F541" s="4" t="s">
        <v>30</v>
      </c>
      <c r="G541" s="1">
        <v>45402</v>
      </c>
      <c r="H541" s="4" t="s">
        <v>1210</v>
      </c>
      <c r="I541" s="4" t="s">
        <v>316</v>
      </c>
      <c r="J541">
        <v>-5034469458</v>
      </c>
      <c r="K541" s="4" t="s">
        <v>19</v>
      </c>
      <c r="L541" t="b">
        <v>0</v>
      </c>
    </row>
    <row r="542" spans="1:12" x14ac:dyDescent="0.25">
      <c r="A542" s="4" t="s">
        <v>1211</v>
      </c>
      <c r="B542" s="4" t="s">
        <v>67</v>
      </c>
      <c r="C542" s="4" t="s">
        <v>14</v>
      </c>
      <c r="D542">
        <v>35</v>
      </c>
      <c r="E542" s="4" t="s">
        <v>113</v>
      </c>
      <c r="F542" s="4" t="s">
        <v>30</v>
      </c>
      <c r="G542" s="1">
        <v>45265</v>
      </c>
      <c r="H542" s="4" t="s">
        <v>1212</v>
      </c>
      <c r="I542" s="4" t="s">
        <v>73</v>
      </c>
      <c r="J542">
        <v>-6488319212</v>
      </c>
      <c r="K542" s="4" t="s">
        <v>19</v>
      </c>
      <c r="L542" t="b">
        <v>0</v>
      </c>
    </row>
    <row r="543" spans="1:12" x14ac:dyDescent="0.25">
      <c r="A543" s="4" t="s">
        <v>1213</v>
      </c>
      <c r="B543" s="4" t="s">
        <v>67</v>
      </c>
      <c r="C543" s="4" t="s">
        <v>62</v>
      </c>
      <c r="D543">
        <v>40</v>
      </c>
      <c r="E543" s="4" t="s">
        <v>175</v>
      </c>
      <c r="F543" s="4" t="s">
        <v>30</v>
      </c>
      <c r="G543" s="1">
        <v>45144</v>
      </c>
      <c r="H543" s="4" t="s">
        <v>1214</v>
      </c>
      <c r="I543" s="4" t="s">
        <v>257</v>
      </c>
      <c r="J543">
        <v>-4249128964</v>
      </c>
      <c r="K543" s="4" t="s">
        <v>45</v>
      </c>
      <c r="L543" t="b">
        <v>1</v>
      </c>
    </row>
    <row r="544" spans="1:12" x14ac:dyDescent="0.25">
      <c r="A544" s="4" t="s">
        <v>1215</v>
      </c>
      <c r="B544" s="4" t="s">
        <v>27</v>
      </c>
      <c r="C544" s="4" t="s">
        <v>41</v>
      </c>
      <c r="D544">
        <v>25</v>
      </c>
      <c r="E544" s="4" t="s">
        <v>63</v>
      </c>
      <c r="F544" s="4" t="s">
        <v>30</v>
      </c>
      <c r="G544" s="1">
        <v>45569</v>
      </c>
      <c r="H544" s="4" t="s">
        <v>1216</v>
      </c>
      <c r="I544" s="4" t="s">
        <v>431</v>
      </c>
      <c r="J544">
        <v>-9994973202</v>
      </c>
      <c r="K544" s="4" t="s">
        <v>45</v>
      </c>
      <c r="L544" t="b">
        <v>0</v>
      </c>
    </row>
    <row r="545" spans="1:12" x14ac:dyDescent="0.25">
      <c r="A545" s="4" t="s">
        <v>1217</v>
      </c>
      <c r="B545" s="4" t="s">
        <v>61</v>
      </c>
      <c r="C545" s="4" t="s">
        <v>62</v>
      </c>
      <c r="D545">
        <v>25</v>
      </c>
      <c r="E545" s="4" t="s">
        <v>81</v>
      </c>
      <c r="F545" s="4" t="s">
        <v>16</v>
      </c>
      <c r="G545" s="1">
        <v>44508</v>
      </c>
      <c r="H545" s="4" t="s">
        <v>1218</v>
      </c>
      <c r="I545" s="4" t="s">
        <v>65</v>
      </c>
      <c r="J545">
        <v>-3192227050</v>
      </c>
      <c r="K545" s="4" t="s">
        <v>33</v>
      </c>
      <c r="L545" t="b">
        <v>0</v>
      </c>
    </row>
    <row r="546" spans="1:12" x14ac:dyDescent="0.25">
      <c r="A546" s="4" t="s">
        <v>1219</v>
      </c>
      <c r="B546" s="4" t="s">
        <v>67</v>
      </c>
      <c r="C546" s="4" t="s">
        <v>142</v>
      </c>
      <c r="E546" s="4" t="s">
        <v>270</v>
      </c>
      <c r="F546" s="4" t="s">
        <v>36</v>
      </c>
      <c r="G546" s="1">
        <v>45504</v>
      </c>
      <c r="H546" s="4" t="s">
        <v>1220</v>
      </c>
      <c r="I546" s="4" t="s">
        <v>402</v>
      </c>
      <c r="J546">
        <v>-287675480</v>
      </c>
      <c r="K546" s="4" t="s">
        <v>19</v>
      </c>
      <c r="L546" t="b">
        <v>1</v>
      </c>
    </row>
    <row r="547" spans="1:12" x14ac:dyDescent="0.25">
      <c r="A547" s="4" t="s">
        <v>1221</v>
      </c>
      <c r="B547" s="4" t="s">
        <v>75</v>
      </c>
      <c r="C547" s="4" t="s">
        <v>47</v>
      </c>
      <c r="D547">
        <v>25</v>
      </c>
      <c r="E547" s="4" t="s">
        <v>130</v>
      </c>
      <c r="F547" s="4" t="s">
        <v>36</v>
      </c>
      <c r="G547" s="1">
        <v>44074</v>
      </c>
      <c r="H547" s="4" t="s">
        <v>1222</v>
      </c>
      <c r="I547" s="4" t="s">
        <v>300</v>
      </c>
      <c r="J547">
        <v>-3866675484</v>
      </c>
      <c r="K547" s="4" t="s">
        <v>19</v>
      </c>
      <c r="L547" t="b">
        <v>0</v>
      </c>
    </row>
    <row r="548" spans="1:12" x14ac:dyDescent="0.25">
      <c r="A548" s="4" t="s">
        <v>1223</v>
      </c>
      <c r="B548" s="4" t="s">
        <v>27</v>
      </c>
      <c r="C548" s="4" t="s">
        <v>28</v>
      </c>
      <c r="D548">
        <v>25</v>
      </c>
      <c r="E548" s="4" t="s">
        <v>130</v>
      </c>
      <c r="F548" s="4" t="s">
        <v>16</v>
      </c>
      <c r="G548" s="1">
        <v>44972</v>
      </c>
      <c r="H548" s="4" t="s">
        <v>1224</v>
      </c>
      <c r="I548" s="4" t="s">
        <v>32</v>
      </c>
      <c r="J548">
        <v>-8193242686</v>
      </c>
      <c r="K548" s="4" t="s">
        <v>25</v>
      </c>
      <c r="L548" t="b">
        <v>0</v>
      </c>
    </row>
    <row r="549" spans="1:12" x14ac:dyDescent="0.25">
      <c r="A549" s="4" t="s">
        <v>1225</v>
      </c>
      <c r="B549" s="4" t="s">
        <v>35</v>
      </c>
      <c r="C549" s="4" t="s">
        <v>21</v>
      </c>
      <c r="E549" s="4" t="s">
        <v>126</v>
      </c>
      <c r="F549" s="4" t="s">
        <v>30</v>
      </c>
      <c r="G549" s="1">
        <v>45206</v>
      </c>
      <c r="H549" s="4" t="s">
        <v>1226</v>
      </c>
      <c r="I549" s="4" t="s">
        <v>183</v>
      </c>
      <c r="J549">
        <v>-7418652056</v>
      </c>
      <c r="K549" s="4" t="s">
        <v>45</v>
      </c>
      <c r="L549" t="b">
        <v>0</v>
      </c>
    </row>
    <row r="550" spans="1:12" x14ac:dyDescent="0.25">
      <c r="A550" s="4" t="s">
        <v>1227</v>
      </c>
      <c r="B550" s="4" t="s">
        <v>27</v>
      </c>
      <c r="C550" s="4" t="s">
        <v>62</v>
      </c>
      <c r="D550">
        <v>30</v>
      </c>
      <c r="E550" s="4" t="s">
        <v>81</v>
      </c>
      <c r="F550" s="4" t="s">
        <v>30</v>
      </c>
      <c r="G550" s="1">
        <v>45402</v>
      </c>
      <c r="H550" s="4" t="s">
        <v>1228</v>
      </c>
      <c r="I550" s="4" t="s">
        <v>177</v>
      </c>
      <c r="J550">
        <v>-5639836519</v>
      </c>
      <c r="K550" s="4" t="s">
        <v>19</v>
      </c>
      <c r="L550" t="b">
        <v>0</v>
      </c>
    </row>
    <row r="551" spans="1:12" x14ac:dyDescent="0.25">
      <c r="A551" s="4" t="s">
        <v>1229</v>
      </c>
      <c r="B551" s="4" t="s">
        <v>40</v>
      </c>
      <c r="C551" s="4" t="s">
        <v>14</v>
      </c>
      <c r="D551">
        <v>40</v>
      </c>
      <c r="E551" s="4" t="s">
        <v>187</v>
      </c>
      <c r="F551" s="4" t="s">
        <v>30</v>
      </c>
      <c r="G551" s="1">
        <v>44285</v>
      </c>
      <c r="H551" s="4" t="s">
        <v>1230</v>
      </c>
      <c r="I551" s="4" t="s">
        <v>59</v>
      </c>
      <c r="J551">
        <v>-3758309450</v>
      </c>
      <c r="K551" s="4" t="s">
        <v>33</v>
      </c>
      <c r="L551" t="b">
        <v>1</v>
      </c>
    </row>
    <row r="552" spans="1:12" x14ac:dyDescent="0.25">
      <c r="A552" s="4" t="s">
        <v>1231</v>
      </c>
      <c r="B552" s="4" t="s">
        <v>35</v>
      </c>
      <c r="C552" s="4" t="s">
        <v>142</v>
      </c>
      <c r="E552" s="4" t="s">
        <v>210</v>
      </c>
      <c r="F552" s="4" t="s">
        <v>30</v>
      </c>
      <c r="G552" s="1">
        <v>44048</v>
      </c>
      <c r="H552" s="4" t="s">
        <v>1232</v>
      </c>
      <c r="I552" s="4" t="s">
        <v>632</v>
      </c>
      <c r="J552">
        <v>-5480940475</v>
      </c>
      <c r="K552" s="4" t="s">
        <v>33</v>
      </c>
      <c r="L552" t="b">
        <v>0</v>
      </c>
    </row>
    <row r="553" spans="1:12" x14ac:dyDescent="0.25">
      <c r="A553" s="4" t="s">
        <v>1233</v>
      </c>
      <c r="B553" s="4" t="s">
        <v>61</v>
      </c>
      <c r="C553" s="4" t="s">
        <v>21</v>
      </c>
      <c r="D553">
        <v>40</v>
      </c>
      <c r="E553" s="4" t="s">
        <v>312</v>
      </c>
      <c r="F553" s="4" t="s">
        <v>30</v>
      </c>
      <c r="G553" s="1">
        <v>44232</v>
      </c>
      <c r="H553" s="4" t="s">
        <v>1234</v>
      </c>
      <c r="I553" s="4" t="s">
        <v>147</v>
      </c>
      <c r="J553">
        <v>-440907976</v>
      </c>
      <c r="K553" s="4" t="s">
        <v>45</v>
      </c>
      <c r="L553" t="b">
        <v>0</v>
      </c>
    </row>
    <row r="554" spans="1:12" x14ac:dyDescent="0.25">
      <c r="A554" s="4" t="s">
        <v>1235</v>
      </c>
      <c r="B554" s="4" t="s">
        <v>80</v>
      </c>
      <c r="C554" s="4" t="s">
        <v>28</v>
      </c>
      <c r="D554">
        <v>30</v>
      </c>
      <c r="E554" s="4" t="s">
        <v>267</v>
      </c>
      <c r="F554" s="4" t="s">
        <v>30</v>
      </c>
      <c r="G554" s="1">
        <v>44523</v>
      </c>
      <c r="H554" s="4" t="s">
        <v>1236</v>
      </c>
      <c r="I554" s="4" t="s">
        <v>89</v>
      </c>
      <c r="J554">
        <v>-2781050921</v>
      </c>
      <c r="K554" s="4" t="s">
        <v>33</v>
      </c>
      <c r="L554" t="b">
        <v>1</v>
      </c>
    </row>
    <row r="555" spans="1:12" x14ac:dyDescent="0.25">
      <c r="A555" s="4" t="s">
        <v>1237</v>
      </c>
      <c r="B555" s="4" t="s">
        <v>13</v>
      </c>
      <c r="C555" s="4" t="s">
        <v>21</v>
      </c>
      <c r="D555">
        <v>40</v>
      </c>
      <c r="E555" s="4" t="s">
        <v>116</v>
      </c>
      <c r="F555" s="4" t="s">
        <v>30</v>
      </c>
      <c r="G555" s="1">
        <v>44863</v>
      </c>
      <c r="H555" s="4" t="s">
        <v>1238</v>
      </c>
      <c r="I555" s="4" t="s">
        <v>24</v>
      </c>
      <c r="J555">
        <v>-2161070517</v>
      </c>
      <c r="K555" s="4" t="s">
        <v>33</v>
      </c>
      <c r="L555" t="b">
        <v>0</v>
      </c>
    </row>
    <row r="556" spans="1:12" x14ac:dyDescent="0.25">
      <c r="A556" s="4" t="s">
        <v>1239</v>
      </c>
      <c r="B556" s="4" t="s">
        <v>27</v>
      </c>
      <c r="C556" s="4" t="s">
        <v>142</v>
      </c>
      <c r="E556" s="4" t="s">
        <v>309</v>
      </c>
      <c r="F556" s="4" t="s">
        <v>36</v>
      </c>
      <c r="G556" s="1">
        <v>44872</v>
      </c>
      <c r="H556" s="4" t="s">
        <v>1240</v>
      </c>
      <c r="I556" s="4" t="s">
        <v>217</v>
      </c>
      <c r="J556">
        <v>-4390552957</v>
      </c>
      <c r="K556" s="4" t="s">
        <v>45</v>
      </c>
      <c r="L556" t="b">
        <v>1</v>
      </c>
    </row>
    <row r="557" spans="1:12" x14ac:dyDescent="0.25">
      <c r="A557" s="4" t="s">
        <v>1241</v>
      </c>
      <c r="B557" s="4" t="s">
        <v>61</v>
      </c>
      <c r="C557" s="4" t="s">
        <v>47</v>
      </c>
      <c r="D557">
        <v>30</v>
      </c>
      <c r="E557" s="4" t="s">
        <v>42</v>
      </c>
      <c r="F557" s="4" t="s">
        <v>30</v>
      </c>
      <c r="G557" s="1">
        <v>45060</v>
      </c>
      <c r="H557" s="4" t="s">
        <v>1242</v>
      </c>
      <c r="I557" s="4" t="s">
        <v>100</v>
      </c>
      <c r="J557">
        <v>-660138240</v>
      </c>
      <c r="K557" s="4" t="s">
        <v>19</v>
      </c>
      <c r="L557" t="b">
        <v>0</v>
      </c>
    </row>
    <row r="558" spans="1:12" x14ac:dyDescent="0.25">
      <c r="A558" s="4" t="s">
        <v>1243</v>
      </c>
      <c r="B558" s="4" t="s">
        <v>80</v>
      </c>
      <c r="C558" s="4" t="s">
        <v>47</v>
      </c>
      <c r="D558">
        <v>40</v>
      </c>
      <c r="E558" s="4" t="s">
        <v>259</v>
      </c>
      <c r="F558" s="4" t="s">
        <v>16</v>
      </c>
      <c r="G558" s="1">
        <v>44391</v>
      </c>
      <c r="H558" s="4" t="s">
        <v>1244</v>
      </c>
      <c r="I558" s="4" t="s">
        <v>96</v>
      </c>
      <c r="J558">
        <v>-2704938619</v>
      </c>
      <c r="K558" s="4" t="s">
        <v>19</v>
      </c>
      <c r="L558" t="b">
        <v>1</v>
      </c>
    </row>
    <row r="559" spans="1:12" x14ac:dyDescent="0.25">
      <c r="A559" s="4" t="s">
        <v>1245</v>
      </c>
      <c r="B559" s="4" t="s">
        <v>35</v>
      </c>
      <c r="C559" s="4" t="s">
        <v>106</v>
      </c>
      <c r="D559">
        <v>40</v>
      </c>
      <c r="E559" s="4" t="s">
        <v>233</v>
      </c>
      <c r="F559" s="4" t="s">
        <v>36</v>
      </c>
      <c r="G559" s="1">
        <v>45064</v>
      </c>
      <c r="H559" s="4" t="s">
        <v>1246</v>
      </c>
      <c r="I559" s="4" t="s">
        <v>307</v>
      </c>
      <c r="J559">
        <v>-4485157918</v>
      </c>
      <c r="K559" s="4" t="s">
        <v>33</v>
      </c>
      <c r="L559" t="b">
        <v>1</v>
      </c>
    </row>
    <row r="560" spans="1:12" x14ac:dyDescent="0.25">
      <c r="A560" s="4" t="s">
        <v>1247</v>
      </c>
      <c r="B560" s="4" t="s">
        <v>35</v>
      </c>
      <c r="C560" s="4" t="s">
        <v>47</v>
      </c>
      <c r="E560" s="4" t="s">
        <v>175</v>
      </c>
      <c r="F560" s="4" t="s">
        <v>30</v>
      </c>
      <c r="G560" s="1">
        <v>44964</v>
      </c>
      <c r="H560" s="4" t="s">
        <v>1248</v>
      </c>
      <c r="I560" s="4" t="s">
        <v>346</v>
      </c>
      <c r="J560">
        <v>-7111212589</v>
      </c>
      <c r="K560" s="4" t="s">
        <v>33</v>
      </c>
      <c r="L560" t="b">
        <v>1</v>
      </c>
    </row>
    <row r="561" spans="1:12" x14ac:dyDescent="0.25">
      <c r="A561" s="4" t="s">
        <v>1249</v>
      </c>
      <c r="B561" s="4" t="s">
        <v>35</v>
      </c>
      <c r="C561" s="4" t="s">
        <v>106</v>
      </c>
      <c r="D561">
        <v>35</v>
      </c>
      <c r="E561" s="4" t="s">
        <v>63</v>
      </c>
      <c r="F561" s="4" t="s">
        <v>30</v>
      </c>
      <c r="G561" s="1">
        <v>45162</v>
      </c>
      <c r="H561" s="4" t="s">
        <v>1250</v>
      </c>
      <c r="I561" s="4" t="s">
        <v>307</v>
      </c>
      <c r="J561">
        <v>-2035713431</v>
      </c>
      <c r="K561" s="4" t="s">
        <v>19</v>
      </c>
      <c r="L561" t="b">
        <v>1</v>
      </c>
    </row>
    <row r="562" spans="1:12" x14ac:dyDescent="0.25">
      <c r="A562" s="4" t="s">
        <v>1251</v>
      </c>
      <c r="B562" s="4" t="s">
        <v>40</v>
      </c>
      <c r="C562" s="4" t="s">
        <v>21</v>
      </c>
      <c r="D562">
        <v>25</v>
      </c>
      <c r="E562" s="4" t="s">
        <v>229</v>
      </c>
      <c r="F562" s="4" t="s">
        <v>36</v>
      </c>
      <c r="G562" s="1">
        <v>45024</v>
      </c>
      <c r="H562" s="4" t="s">
        <v>1252</v>
      </c>
      <c r="I562" s="4" t="s">
        <v>280</v>
      </c>
      <c r="J562">
        <v>-4064242955</v>
      </c>
      <c r="K562" s="4" t="s">
        <v>45</v>
      </c>
      <c r="L562" t="b">
        <v>0</v>
      </c>
    </row>
    <row r="563" spans="1:12" x14ac:dyDescent="0.25">
      <c r="A563" s="4" t="s">
        <v>1253</v>
      </c>
      <c r="B563" s="4" t="s">
        <v>80</v>
      </c>
      <c r="C563" s="4" t="s">
        <v>41</v>
      </c>
      <c r="E563" s="4" t="s">
        <v>251</v>
      </c>
      <c r="F563" s="4" t="s">
        <v>16</v>
      </c>
      <c r="G563" s="1">
        <v>44901</v>
      </c>
      <c r="H563" s="4" t="s">
        <v>1254</v>
      </c>
      <c r="I563" s="4" t="s">
        <v>83</v>
      </c>
      <c r="J563">
        <v>-3343244740</v>
      </c>
      <c r="K563" s="4" t="s">
        <v>33</v>
      </c>
      <c r="L563" t="b">
        <v>1</v>
      </c>
    </row>
    <row r="564" spans="1:12" x14ac:dyDescent="0.25">
      <c r="A564" s="4" t="s">
        <v>1255</v>
      </c>
      <c r="B564" s="4" t="s">
        <v>27</v>
      </c>
      <c r="C564" s="4" t="s">
        <v>14</v>
      </c>
      <c r="D564">
        <v>25</v>
      </c>
      <c r="E564" s="4" t="s">
        <v>138</v>
      </c>
      <c r="F564" s="4" t="s">
        <v>16</v>
      </c>
      <c r="G564" s="1">
        <v>44417</v>
      </c>
      <c r="H564" s="4" t="s">
        <v>1256</v>
      </c>
      <c r="I564" s="4" t="s">
        <v>191</v>
      </c>
      <c r="J564">
        <v>-7595587208</v>
      </c>
      <c r="K564" s="4" t="s">
        <v>25</v>
      </c>
      <c r="L564" t="b">
        <v>0</v>
      </c>
    </row>
    <row r="565" spans="1:12" x14ac:dyDescent="0.25">
      <c r="A565" s="4" t="s">
        <v>1257</v>
      </c>
      <c r="B565" s="4" t="s">
        <v>27</v>
      </c>
      <c r="C565" s="4" t="s">
        <v>14</v>
      </c>
      <c r="D565">
        <v>35</v>
      </c>
      <c r="E565" s="4" t="s">
        <v>102</v>
      </c>
      <c r="F565" s="4" t="s">
        <v>16</v>
      </c>
      <c r="G565" s="1">
        <v>44565</v>
      </c>
      <c r="H565" s="4" t="s">
        <v>1258</v>
      </c>
      <c r="I565" s="4" t="s">
        <v>191</v>
      </c>
      <c r="J565">
        <v>-6289365434</v>
      </c>
      <c r="K565" s="4" t="s">
        <v>45</v>
      </c>
      <c r="L565" t="b">
        <v>1</v>
      </c>
    </row>
    <row r="566" spans="1:12" x14ac:dyDescent="0.25">
      <c r="A566" s="4" t="s">
        <v>1259</v>
      </c>
      <c r="B566" s="4" t="s">
        <v>67</v>
      </c>
      <c r="C566" s="4" t="s">
        <v>21</v>
      </c>
      <c r="E566" s="4" t="s">
        <v>267</v>
      </c>
      <c r="F566" s="4" t="s">
        <v>30</v>
      </c>
      <c r="G566" s="1">
        <v>45437</v>
      </c>
      <c r="H566" s="4" t="s">
        <v>1260</v>
      </c>
      <c r="I566" s="4" t="s">
        <v>265</v>
      </c>
      <c r="J566">
        <v>-8841834373</v>
      </c>
      <c r="K566" s="4" t="s">
        <v>33</v>
      </c>
      <c r="L566" t="b">
        <v>1</v>
      </c>
    </row>
    <row r="567" spans="1:12" x14ac:dyDescent="0.25">
      <c r="A567" s="4" t="s">
        <v>1261</v>
      </c>
      <c r="B567" s="4" t="s">
        <v>27</v>
      </c>
      <c r="C567" s="4" t="s">
        <v>62</v>
      </c>
      <c r="D567">
        <v>40</v>
      </c>
      <c r="E567" s="4" t="s">
        <v>130</v>
      </c>
      <c r="F567" s="4" t="s">
        <v>30</v>
      </c>
      <c r="G567" s="1">
        <v>44471</v>
      </c>
      <c r="H567" s="4" t="s">
        <v>1262</v>
      </c>
      <c r="I567" s="4" t="s">
        <v>177</v>
      </c>
      <c r="J567">
        <v>-182727954</v>
      </c>
      <c r="K567" s="4" t="s">
        <v>33</v>
      </c>
      <c r="L567" t="b">
        <v>1</v>
      </c>
    </row>
    <row r="568" spans="1:12" x14ac:dyDescent="0.25">
      <c r="A568" s="4" t="s">
        <v>1263</v>
      </c>
      <c r="B568" s="4" t="s">
        <v>35</v>
      </c>
      <c r="C568" s="4" t="s">
        <v>62</v>
      </c>
      <c r="D568">
        <v>30</v>
      </c>
      <c r="E568" s="4" t="s">
        <v>87</v>
      </c>
      <c r="F568" s="4" t="s">
        <v>16</v>
      </c>
      <c r="G568" s="1">
        <v>45128</v>
      </c>
      <c r="H568" s="4" t="s">
        <v>1264</v>
      </c>
      <c r="I568" s="4" t="s">
        <v>380</v>
      </c>
      <c r="J568">
        <v>-9690515025</v>
      </c>
      <c r="K568" s="4" t="s">
        <v>25</v>
      </c>
      <c r="L568" t="b">
        <v>0</v>
      </c>
    </row>
    <row r="569" spans="1:12" x14ac:dyDescent="0.25">
      <c r="A569" s="4" t="s">
        <v>1265</v>
      </c>
      <c r="B569" s="4" t="s">
        <v>67</v>
      </c>
      <c r="C569" s="4" t="s">
        <v>47</v>
      </c>
      <c r="D569">
        <v>30</v>
      </c>
      <c r="E569" s="4" t="s">
        <v>251</v>
      </c>
      <c r="F569" s="4" t="s">
        <v>16</v>
      </c>
      <c r="G569" s="1">
        <v>45229</v>
      </c>
      <c r="H569" s="4" t="s">
        <v>1266</v>
      </c>
      <c r="I569" s="4" t="s">
        <v>118</v>
      </c>
      <c r="J569">
        <v>-7551254277</v>
      </c>
      <c r="K569" s="4" t="s">
        <v>25</v>
      </c>
      <c r="L569" t="b">
        <v>1</v>
      </c>
    </row>
    <row r="570" spans="1:12" x14ac:dyDescent="0.25">
      <c r="A570" s="4" t="s">
        <v>1267</v>
      </c>
      <c r="B570" s="4" t="s">
        <v>13</v>
      </c>
      <c r="C570" s="4" t="s">
        <v>14</v>
      </c>
      <c r="D570">
        <v>40</v>
      </c>
      <c r="E570" s="4" t="s">
        <v>42</v>
      </c>
      <c r="F570" s="4" t="s">
        <v>36</v>
      </c>
      <c r="G570" s="1">
        <v>44970</v>
      </c>
      <c r="H570" s="4" t="s">
        <v>1268</v>
      </c>
      <c r="I570" s="4" t="s">
        <v>18</v>
      </c>
      <c r="J570">
        <v>-2079799666</v>
      </c>
      <c r="K570" s="4" t="s">
        <v>19</v>
      </c>
      <c r="L570" t="b">
        <v>0</v>
      </c>
    </row>
    <row r="571" spans="1:12" x14ac:dyDescent="0.25">
      <c r="A571" s="4" t="s">
        <v>1269</v>
      </c>
      <c r="B571" s="4" t="s">
        <v>35</v>
      </c>
      <c r="C571" s="4" t="s">
        <v>14</v>
      </c>
      <c r="D571">
        <v>25</v>
      </c>
      <c r="E571" s="4" t="s">
        <v>251</v>
      </c>
      <c r="F571" s="4" t="s">
        <v>30</v>
      </c>
      <c r="G571" s="1">
        <v>44148</v>
      </c>
      <c r="H571" s="4" t="s">
        <v>1270</v>
      </c>
      <c r="I571" s="4" t="s">
        <v>38</v>
      </c>
      <c r="J571">
        <v>-3459576402</v>
      </c>
      <c r="K571" s="4" t="s">
        <v>45</v>
      </c>
      <c r="L571" t="b">
        <v>0</v>
      </c>
    </row>
    <row r="572" spans="1:12" x14ac:dyDescent="0.25">
      <c r="A572" s="4" t="s">
        <v>1271</v>
      </c>
      <c r="B572" s="4" t="s">
        <v>27</v>
      </c>
      <c r="C572" s="4" t="s">
        <v>106</v>
      </c>
      <c r="E572" s="4" t="s">
        <v>15</v>
      </c>
      <c r="F572" s="4" t="s">
        <v>36</v>
      </c>
      <c r="G572" s="1">
        <v>45448</v>
      </c>
      <c r="H572" s="4" t="s">
        <v>1272</v>
      </c>
      <c r="I572" s="4" t="s">
        <v>194</v>
      </c>
      <c r="J572">
        <v>-8166496901</v>
      </c>
      <c r="K572" s="4" t="s">
        <v>45</v>
      </c>
      <c r="L572" t="b">
        <v>0</v>
      </c>
    </row>
    <row r="573" spans="1:12" x14ac:dyDescent="0.25">
      <c r="A573" s="4" t="s">
        <v>1273</v>
      </c>
      <c r="B573" s="4" t="s">
        <v>40</v>
      </c>
      <c r="C573" s="4" t="s">
        <v>41</v>
      </c>
      <c r="E573" s="4" t="s">
        <v>233</v>
      </c>
      <c r="F573" s="4" t="s">
        <v>30</v>
      </c>
      <c r="G573" s="1">
        <v>43970</v>
      </c>
      <c r="H573" s="4" t="s">
        <v>1274</v>
      </c>
      <c r="I573" s="4" t="s">
        <v>44</v>
      </c>
      <c r="J573">
        <v>-8249839224</v>
      </c>
      <c r="K573" s="4" t="s">
        <v>19</v>
      </c>
      <c r="L573" t="b">
        <v>0</v>
      </c>
    </row>
    <row r="574" spans="1:12" x14ac:dyDescent="0.25">
      <c r="A574" s="4" t="s">
        <v>1275</v>
      </c>
      <c r="B574" s="4" t="s">
        <v>80</v>
      </c>
      <c r="C574" s="4" t="s">
        <v>142</v>
      </c>
      <c r="D574">
        <v>25</v>
      </c>
      <c r="E574" s="4" t="s">
        <v>76</v>
      </c>
      <c r="F574" s="4" t="s">
        <v>16</v>
      </c>
      <c r="G574" s="1">
        <v>45189</v>
      </c>
      <c r="H574" s="4" t="s">
        <v>1276</v>
      </c>
      <c r="I574" s="4" t="s">
        <v>160</v>
      </c>
      <c r="J574">
        <v>-142576269</v>
      </c>
      <c r="K574" s="4" t="s">
        <v>45</v>
      </c>
      <c r="L574" t="b">
        <v>0</v>
      </c>
    </row>
    <row r="575" spans="1:12" x14ac:dyDescent="0.25">
      <c r="A575" s="4" t="s">
        <v>1277</v>
      </c>
      <c r="B575" s="4" t="s">
        <v>67</v>
      </c>
      <c r="C575" s="4" t="s">
        <v>62</v>
      </c>
      <c r="E575" s="4" t="s">
        <v>87</v>
      </c>
      <c r="F575" s="4" t="s">
        <v>30</v>
      </c>
      <c r="G575" s="1">
        <v>45517</v>
      </c>
      <c r="H575" s="4" t="s">
        <v>1278</v>
      </c>
      <c r="I575" s="4" t="s">
        <v>257</v>
      </c>
      <c r="J575">
        <v>-2324412335</v>
      </c>
      <c r="K575" s="4" t="s">
        <v>45</v>
      </c>
      <c r="L575" t="b">
        <v>0</v>
      </c>
    </row>
    <row r="576" spans="1:12" x14ac:dyDescent="0.25">
      <c r="A576" s="4" t="s">
        <v>1279</v>
      </c>
      <c r="B576" s="4" t="s">
        <v>13</v>
      </c>
      <c r="C576" s="4" t="s">
        <v>14</v>
      </c>
      <c r="D576">
        <v>35</v>
      </c>
      <c r="E576" s="4" t="s">
        <v>267</v>
      </c>
      <c r="F576" s="4" t="s">
        <v>30</v>
      </c>
      <c r="G576" s="1">
        <v>45087</v>
      </c>
      <c r="H576" s="4" t="s">
        <v>1280</v>
      </c>
      <c r="I576" s="4" t="s">
        <v>18</v>
      </c>
      <c r="J576">
        <v>-1328507250</v>
      </c>
      <c r="K576" s="4" t="s">
        <v>45</v>
      </c>
      <c r="L576" t="b">
        <v>0</v>
      </c>
    </row>
    <row r="577" spans="1:12" x14ac:dyDescent="0.25">
      <c r="A577" s="4" t="s">
        <v>1281</v>
      </c>
      <c r="B577" s="4" t="s">
        <v>27</v>
      </c>
      <c r="C577" s="4" t="s">
        <v>106</v>
      </c>
      <c r="D577">
        <v>35</v>
      </c>
      <c r="E577" s="4" t="s">
        <v>22</v>
      </c>
      <c r="F577" s="4" t="s">
        <v>36</v>
      </c>
      <c r="G577" s="1">
        <v>44356</v>
      </c>
      <c r="H577" s="4" t="s">
        <v>1282</v>
      </c>
      <c r="I577" s="4" t="s">
        <v>194</v>
      </c>
      <c r="J577">
        <v>-7863767315</v>
      </c>
      <c r="K577" s="4" t="s">
        <v>45</v>
      </c>
      <c r="L577" t="b">
        <v>0</v>
      </c>
    </row>
    <row r="578" spans="1:12" x14ac:dyDescent="0.25">
      <c r="A578" s="4" t="s">
        <v>1283</v>
      </c>
      <c r="B578" s="4" t="s">
        <v>40</v>
      </c>
      <c r="C578" s="4" t="s">
        <v>28</v>
      </c>
      <c r="E578" s="4" t="s">
        <v>87</v>
      </c>
      <c r="F578" s="4" t="s">
        <v>36</v>
      </c>
      <c r="G578" s="1">
        <v>43920</v>
      </c>
      <c r="H578" s="4" t="s">
        <v>1284</v>
      </c>
      <c r="I578" s="4" t="s">
        <v>53</v>
      </c>
      <c r="J578">
        <v>-2526546967</v>
      </c>
      <c r="K578" s="4" t="s">
        <v>45</v>
      </c>
      <c r="L578" t="b">
        <v>0</v>
      </c>
    </row>
    <row r="579" spans="1:12" x14ac:dyDescent="0.25">
      <c r="A579" s="4" t="s">
        <v>1285</v>
      </c>
      <c r="B579" s="4" t="s">
        <v>40</v>
      </c>
      <c r="C579" s="4" t="s">
        <v>106</v>
      </c>
      <c r="E579" s="4" t="s">
        <v>187</v>
      </c>
      <c r="F579" s="4" t="s">
        <v>16</v>
      </c>
      <c r="G579" s="1">
        <v>45414</v>
      </c>
      <c r="H579" s="4" t="s">
        <v>322</v>
      </c>
      <c r="I579" s="4" t="s">
        <v>128</v>
      </c>
      <c r="J579">
        <v>-1579039234</v>
      </c>
      <c r="K579" s="4" t="s">
        <v>25</v>
      </c>
      <c r="L579" t="b">
        <v>1</v>
      </c>
    </row>
    <row r="580" spans="1:12" x14ac:dyDescent="0.25">
      <c r="A580" s="4" t="s">
        <v>1286</v>
      </c>
      <c r="B580" s="4" t="s">
        <v>13</v>
      </c>
      <c r="C580" s="4" t="s">
        <v>62</v>
      </c>
      <c r="D580">
        <v>30</v>
      </c>
      <c r="E580" s="4" t="s">
        <v>386</v>
      </c>
      <c r="F580" s="4" t="s">
        <v>16</v>
      </c>
      <c r="G580" s="1">
        <v>45602</v>
      </c>
      <c r="H580" s="4" t="s">
        <v>1287</v>
      </c>
      <c r="I580" s="4" t="s">
        <v>237</v>
      </c>
      <c r="J580">
        <v>-5580996131</v>
      </c>
      <c r="K580" s="4" t="s">
        <v>45</v>
      </c>
      <c r="L580" t="b">
        <v>1</v>
      </c>
    </row>
    <row r="581" spans="1:12" x14ac:dyDescent="0.25">
      <c r="A581" s="4" t="s">
        <v>1288</v>
      </c>
      <c r="B581" s="4" t="s">
        <v>67</v>
      </c>
      <c r="C581" s="4" t="s">
        <v>62</v>
      </c>
      <c r="E581" s="4" t="s">
        <v>386</v>
      </c>
      <c r="F581" s="4" t="s">
        <v>36</v>
      </c>
      <c r="G581" s="1">
        <v>45155</v>
      </c>
      <c r="H581" s="4" t="s">
        <v>1289</v>
      </c>
      <c r="I581" s="4" t="s">
        <v>257</v>
      </c>
      <c r="J581">
        <v>-7303461561</v>
      </c>
      <c r="K581" s="4" t="s">
        <v>25</v>
      </c>
      <c r="L581" t="b">
        <v>1</v>
      </c>
    </row>
    <row r="582" spans="1:12" x14ac:dyDescent="0.25">
      <c r="A582" s="4" t="s">
        <v>1290</v>
      </c>
      <c r="B582" s="4" t="s">
        <v>61</v>
      </c>
      <c r="C582" s="4" t="s">
        <v>106</v>
      </c>
      <c r="D582">
        <v>25</v>
      </c>
      <c r="E582" s="4" t="s">
        <v>116</v>
      </c>
      <c r="F582" s="4" t="s">
        <v>36</v>
      </c>
      <c r="G582" s="1">
        <v>43908</v>
      </c>
      <c r="H582" s="4" t="s">
        <v>1291</v>
      </c>
      <c r="I582" s="4" t="s">
        <v>607</v>
      </c>
      <c r="J582">
        <v>-6244670461</v>
      </c>
      <c r="K582" s="4" t="s">
        <v>45</v>
      </c>
      <c r="L582" t="b">
        <v>1</v>
      </c>
    </row>
    <row r="583" spans="1:12" x14ac:dyDescent="0.25">
      <c r="A583" s="4" t="s">
        <v>1292</v>
      </c>
      <c r="B583" s="4" t="s">
        <v>35</v>
      </c>
      <c r="C583" s="4" t="s">
        <v>142</v>
      </c>
      <c r="E583" s="4" t="s">
        <v>110</v>
      </c>
      <c r="F583" s="4" t="s">
        <v>16</v>
      </c>
      <c r="G583" s="1">
        <v>44360</v>
      </c>
      <c r="H583" s="4" t="s">
        <v>1293</v>
      </c>
      <c r="I583" s="4" t="s">
        <v>632</v>
      </c>
      <c r="J583">
        <v>-2681715159</v>
      </c>
      <c r="K583" s="4" t="s">
        <v>19</v>
      </c>
      <c r="L583" t="b">
        <v>1</v>
      </c>
    </row>
    <row r="584" spans="1:12" x14ac:dyDescent="0.25">
      <c r="A584" s="4" t="s">
        <v>1294</v>
      </c>
      <c r="B584" s="4" t="s">
        <v>80</v>
      </c>
      <c r="C584" s="4" t="s">
        <v>21</v>
      </c>
      <c r="D584">
        <v>40</v>
      </c>
      <c r="E584" s="4" t="s">
        <v>165</v>
      </c>
      <c r="F584" s="4" t="s">
        <v>36</v>
      </c>
      <c r="G584" s="1">
        <v>45209</v>
      </c>
      <c r="H584" s="4" t="s">
        <v>322</v>
      </c>
      <c r="I584" s="4" t="s">
        <v>240</v>
      </c>
      <c r="J584">
        <v>-2529867075</v>
      </c>
      <c r="K584" s="4" t="s">
        <v>33</v>
      </c>
      <c r="L584" t="b">
        <v>0</v>
      </c>
    </row>
    <row r="585" spans="1:12" x14ac:dyDescent="0.25">
      <c r="A585" s="4" t="s">
        <v>1295</v>
      </c>
      <c r="B585" s="4" t="s">
        <v>13</v>
      </c>
      <c r="C585" s="4" t="s">
        <v>62</v>
      </c>
      <c r="E585" s="4" t="s">
        <v>98</v>
      </c>
      <c r="F585" s="4" t="s">
        <v>16</v>
      </c>
      <c r="G585" s="1">
        <v>44563</v>
      </c>
      <c r="H585" s="4" t="s">
        <v>1296</v>
      </c>
      <c r="I585" s="4" t="s">
        <v>237</v>
      </c>
      <c r="J585">
        <v>-6046419784</v>
      </c>
      <c r="K585" s="4" t="s">
        <v>25</v>
      </c>
      <c r="L585" t="b">
        <v>0</v>
      </c>
    </row>
    <row r="586" spans="1:12" x14ac:dyDescent="0.25">
      <c r="A586" s="4" t="s">
        <v>1297</v>
      </c>
      <c r="B586" s="4" t="s">
        <v>35</v>
      </c>
      <c r="C586" s="4" t="s">
        <v>106</v>
      </c>
      <c r="E586" s="4" t="s">
        <v>312</v>
      </c>
      <c r="F586" s="4" t="s">
        <v>36</v>
      </c>
      <c r="G586" s="1">
        <v>44612</v>
      </c>
      <c r="H586" s="4" t="s">
        <v>1298</v>
      </c>
      <c r="I586" s="4" t="s">
        <v>307</v>
      </c>
      <c r="J586">
        <v>-7585126860</v>
      </c>
      <c r="K586" s="4" t="s">
        <v>45</v>
      </c>
      <c r="L586" t="b">
        <v>0</v>
      </c>
    </row>
    <row r="587" spans="1:12" x14ac:dyDescent="0.25">
      <c r="A587" s="4" t="s">
        <v>1299</v>
      </c>
      <c r="B587" s="4" t="s">
        <v>75</v>
      </c>
      <c r="C587" s="4" t="s">
        <v>14</v>
      </c>
      <c r="D587">
        <v>30</v>
      </c>
      <c r="E587" s="4" t="s">
        <v>126</v>
      </c>
      <c r="F587" s="4" t="s">
        <v>16</v>
      </c>
      <c r="G587" s="1">
        <v>45360</v>
      </c>
      <c r="H587" s="4" t="s">
        <v>1300</v>
      </c>
      <c r="I587" s="4" t="s">
        <v>469</v>
      </c>
      <c r="J587">
        <v>-2059438975</v>
      </c>
      <c r="K587" s="4" t="s">
        <v>19</v>
      </c>
      <c r="L587" t="b">
        <v>0</v>
      </c>
    </row>
    <row r="588" spans="1:12" x14ac:dyDescent="0.25">
      <c r="A588" s="4" t="s">
        <v>1301</v>
      </c>
      <c r="B588" s="4" t="s">
        <v>35</v>
      </c>
      <c r="C588" s="4" t="s">
        <v>106</v>
      </c>
      <c r="D588">
        <v>30</v>
      </c>
      <c r="E588" s="4" t="s">
        <v>175</v>
      </c>
      <c r="F588" s="4" t="s">
        <v>30</v>
      </c>
      <c r="G588" s="1">
        <v>45157</v>
      </c>
      <c r="H588" s="4" t="s">
        <v>1302</v>
      </c>
      <c r="I588" s="4" t="s">
        <v>307</v>
      </c>
      <c r="J588">
        <v>-740177508</v>
      </c>
      <c r="K588" s="4" t="s">
        <v>33</v>
      </c>
      <c r="L588" t="b">
        <v>0</v>
      </c>
    </row>
    <row r="589" spans="1:12" x14ac:dyDescent="0.25">
      <c r="A589" s="4" t="s">
        <v>1303</v>
      </c>
      <c r="B589" s="4" t="s">
        <v>61</v>
      </c>
      <c r="C589" s="4" t="s">
        <v>41</v>
      </c>
      <c r="D589">
        <v>25</v>
      </c>
      <c r="E589" s="4" t="s">
        <v>187</v>
      </c>
      <c r="F589" s="4" t="s">
        <v>30</v>
      </c>
      <c r="G589" s="1">
        <v>45052</v>
      </c>
      <c r="H589" s="4" t="s">
        <v>1304</v>
      </c>
      <c r="I589" s="4" t="s">
        <v>104</v>
      </c>
      <c r="J589">
        <v>-5465408423</v>
      </c>
      <c r="K589" s="4" t="s">
        <v>25</v>
      </c>
      <c r="L589" t="b">
        <v>0</v>
      </c>
    </row>
    <row r="590" spans="1:12" x14ac:dyDescent="0.25">
      <c r="A590" s="4" t="s">
        <v>1305</v>
      </c>
      <c r="B590" s="4" t="s">
        <v>13</v>
      </c>
      <c r="C590" s="4" t="s">
        <v>21</v>
      </c>
      <c r="D590">
        <v>35</v>
      </c>
      <c r="E590" s="4" t="s">
        <v>29</v>
      </c>
      <c r="F590" s="4" t="s">
        <v>30</v>
      </c>
      <c r="G590" s="1">
        <v>45317</v>
      </c>
      <c r="H590" s="4" t="s">
        <v>1306</v>
      </c>
      <c r="I590" s="4" t="s">
        <v>24</v>
      </c>
      <c r="J590">
        <v>-5607540914</v>
      </c>
      <c r="K590" s="4" t="s">
        <v>33</v>
      </c>
      <c r="L590" t="b">
        <v>0</v>
      </c>
    </row>
    <row r="591" spans="1:12" x14ac:dyDescent="0.25">
      <c r="A591" s="4" t="s">
        <v>1307</v>
      </c>
      <c r="B591" s="4" t="s">
        <v>61</v>
      </c>
      <c r="C591" s="4" t="s">
        <v>28</v>
      </c>
      <c r="D591">
        <v>30</v>
      </c>
      <c r="E591" s="4" t="s">
        <v>233</v>
      </c>
      <c r="F591" s="4" t="s">
        <v>30</v>
      </c>
      <c r="G591" s="1">
        <v>45540</v>
      </c>
      <c r="H591" s="4" t="s">
        <v>1308</v>
      </c>
      <c r="I591" s="4" t="s">
        <v>140</v>
      </c>
      <c r="J591">
        <v>-863218121</v>
      </c>
      <c r="K591" s="4" t="s">
        <v>19</v>
      </c>
      <c r="L591" t="b">
        <v>1</v>
      </c>
    </row>
    <row r="592" spans="1:12" x14ac:dyDescent="0.25">
      <c r="A592" s="4" t="s">
        <v>1309</v>
      </c>
      <c r="B592" s="4" t="s">
        <v>27</v>
      </c>
      <c r="C592" s="4" t="s">
        <v>142</v>
      </c>
      <c r="E592" s="4" t="s">
        <v>116</v>
      </c>
      <c r="F592" s="4" t="s">
        <v>30</v>
      </c>
      <c r="G592" s="1">
        <v>43980</v>
      </c>
      <c r="H592" s="4" t="s">
        <v>1310</v>
      </c>
      <c r="I592" s="4" t="s">
        <v>217</v>
      </c>
      <c r="J592">
        <v>-7645793896</v>
      </c>
      <c r="K592" s="4" t="s">
        <v>25</v>
      </c>
      <c r="L592" t="b">
        <v>1</v>
      </c>
    </row>
    <row r="593" spans="1:12" x14ac:dyDescent="0.25">
      <c r="A593" s="4" t="s">
        <v>1311</v>
      </c>
      <c r="B593" s="4" t="s">
        <v>13</v>
      </c>
      <c r="C593" s="4" t="s">
        <v>47</v>
      </c>
      <c r="D593">
        <v>30</v>
      </c>
      <c r="E593" s="4" t="s">
        <v>91</v>
      </c>
      <c r="F593" s="4" t="s">
        <v>36</v>
      </c>
      <c r="G593" s="1">
        <v>44508</v>
      </c>
      <c r="H593" s="4" t="s">
        <v>1312</v>
      </c>
      <c r="I593" s="4" t="s">
        <v>180</v>
      </c>
      <c r="J593">
        <v>-155029167</v>
      </c>
      <c r="K593" s="4" t="s">
        <v>33</v>
      </c>
      <c r="L593" t="b">
        <v>1</v>
      </c>
    </row>
    <row r="594" spans="1:12" x14ac:dyDescent="0.25">
      <c r="A594" s="4" t="s">
        <v>1313</v>
      </c>
      <c r="B594" s="4" t="s">
        <v>67</v>
      </c>
      <c r="C594" s="4" t="s">
        <v>28</v>
      </c>
      <c r="D594">
        <v>25</v>
      </c>
      <c r="E594" s="4" t="s">
        <v>229</v>
      </c>
      <c r="F594" s="4" t="s">
        <v>16</v>
      </c>
      <c r="G594" s="1">
        <v>44227</v>
      </c>
      <c r="H594" s="4" t="s">
        <v>1314</v>
      </c>
      <c r="I594" s="4" t="s">
        <v>283</v>
      </c>
      <c r="J594">
        <v>-1546602415</v>
      </c>
      <c r="K594" s="4" t="s">
        <v>45</v>
      </c>
      <c r="L594" t="b">
        <v>1</v>
      </c>
    </row>
    <row r="595" spans="1:12" x14ac:dyDescent="0.25">
      <c r="A595" s="4" t="s">
        <v>1315</v>
      </c>
      <c r="B595" s="4" t="s">
        <v>35</v>
      </c>
      <c r="C595" s="4" t="s">
        <v>21</v>
      </c>
      <c r="E595" s="4" t="s">
        <v>102</v>
      </c>
      <c r="F595" s="4" t="s">
        <v>30</v>
      </c>
      <c r="G595" s="1">
        <v>44577</v>
      </c>
      <c r="H595" s="4" t="s">
        <v>1316</v>
      </c>
      <c r="I595" s="4" t="s">
        <v>183</v>
      </c>
      <c r="J595">
        <v>-1394498829</v>
      </c>
      <c r="K595" s="4" t="s">
        <v>25</v>
      </c>
      <c r="L595" t="b">
        <v>0</v>
      </c>
    </row>
    <row r="596" spans="1:12" x14ac:dyDescent="0.25">
      <c r="A596" s="4" t="s">
        <v>1317</v>
      </c>
      <c r="B596" s="4" t="s">
        <v>61</v>
      </c>
      <c r="C596" s="4" t="s">
        <v>21</v>
      </c>
      <c r="D596">
        <v>25</v>
      </c>
      <c r="E596" s="4" t="s">
        <v>76</v>
      </c>
      <c r="F596" s="4" t="s">
        <v>16</v>
      </c>
      <c r="G596" s="1">
        <v>45289</v>
      </c>
      <c r="H596" s="4" t="s">
        <v>1318</v>
      </c>
      <c r="I596" s="4" t="s">
        <v>147</v>
      </c>
      <c r="J596">
        <v>-5973642479</v>
      </c>
      <c r="K596" s="4" t="s">
        <v>33</v>
      </c>
      <c r="L596" t="b">
        <v>0</v>
      </c>
    </row>
    <row r="597" spans="1:12" x14ac:dyDescent="0.25">
      <c r="A597" s="4" t="s">
        <v>1319</v>
      </c>
      <c r="B597" s="4" t="s">
        <v>40</v>
      </c>
      <c r="C597" s="4" t="s">
        <v>21</v>
      </c>
      <c r="D597">
        <v>30</v>
      </c>
      <c r="E597" s="4" t="s">
        <v>386</v>
      </c>
      <c r="F597" s="4" t="s">
        <v>36</v>
      </c>
      <c r="G597" s="1">
        <v>45628</v>
      </c>
      <c r="H597" s="4" t="s">
        <v>1320</v>
      </c>
      <c r="I597" s="4" t="s">
        <v>280</v>
      </c>
      <c r="J597">
        <v>-9624406305</v>
      </c>
      <c r="K597" s="4" t="s">
        <v>19</v>
      </c>
      <c r="L597" t="b">
        <v>0</v>
      </c>
    </row>
    <row r="598" spans="1:12" x14ac:dyDescent="0.25">
      <c r="A598" s="4" t="s">
        <v>1321</v>
      </c>
      <c r="B598" s="4" t="s">
        <v>35</v>
      </c>
      <c r="C598" s="4" t="s">
        <v>28</v>
      </c>
      <c r="D598">
        <v>40</v>
      </c>
      <c r="E598" s="4" t="s">
        <v>48</v>
      </c>
      <c r="F598" s="4" t="s">
        <v>16</v>
      </c>
      <c r="G598" s="1">
        <v>45153</v>
      </c>
      <c r="H598" s="4" t="s">
        <v>1322</v>
      </c>
      <c r="I598" s="4" t="s">
        <v>323</v>
      </c>
      <c r="J598">
        <v>-2447951329</v>
      </c>
      <c r="K598" s="4" t="s">
        <v>19</v>
      </c>
      <c r="L598" t="b">
        <v>1</v>
      </c>
    </row>
    <row r="599" spans="1:12" x14ac:dyDescent="0.25">
      <c r="A599" s="4" t="s">
        <v>1323</v>
      </c>
      <c r="B599" s="4" t="s">
        <v>61</v>
      </c>
      <c r="C599" s="4" t="s">
        <v>14</v>
      </c>
      <c r="E599" s="4" t="s">
        <v>138</v>
      </c>
      <c r="F599" s="4" t="s">
        <v>30</v>
      </c>
      <c r="G599" s="1">
        <v>45646</v>
      </c>
      <c r="H599" s="4" t="s">
        <v>1324</v>
      </c>
      <c r="I599" s="4" t="s">
        <v>200</v>
      </c>
      <c r="J599">
        <v>-5319497968</v>
      </c>
      <c r="K599" s="4" t="s">
        <v>25</v>
      </c>
      <c r="L599" t="b">
        <v>0</v>
      </c>
    </row>
    <row r="600" spans="1:12" x14ac:dyDescent="0.25">
      <c r="A600" s="4" t="s">
        <v>1325</v>
      </c>
      <c r="B600" s="4" t="s">
        <v>27</v>
      </c>
      <c r="C600" s="4" t="s">
        <v>21</v>
      </c>
      <c r="E600" s="4" t="s">
        <v>278</v>
      </c>
      <c r="F600" s="4" t="s">
        <v>30</v>
      </c>
      <c r="G600" s="1">
        <v>45016</v>
      </c>
      <c r="H600" s="4" t="s">
        <v>1326</v>
      </c>
      <c r="I600" s="4" t="s">
        <v>93</v>
      </c>
      <c r="J600">
        <v>-5867805554</v>
      </c>
      <c r="K600" s="4" t="s">
        <v>33</v>
      </c>
      <c r="L600" t="b">
        <v>0</v>
      </c>
    </row>
    <row r="601" spans="1:12" x14ac:dyDescent="0.25">
      <c r="A601" s="4" t="s">
        <v>1327</v>
      </c>
      <c r="B601" s="4" t="s">
        <v>27</v>
      </c>
      <c r="C601" s="4" t="s">
        <v>106</v>
      </c>
      <c r="E601" s="4" t="s">
        <v>229</v>
      </c>
      <c r="F601" s="4" t="s">
        <v>30</v>
      </c>
      <c r="G601" s="1">
        <v>44797</v>
      </c>
      <c r="H601" s="4" t="s">
        <v>1328</v>
      </c>
      <c r="I601" s="4" t="s">
        <v>194</v>
      </c>
      <c r="J601">
        <v>-7277382645</v>
      </c>
      <c r="K601" s="4" t="s">
        <v>25</v>
      </c>
      <c r="L601" t="b">
        <v>0</v>
      </c>
    </row>
    <row r="602" spans="1:12" x14ac:dyDescent="0.25">
      <c r="A602" s="4" t="s">
        <v>1329</v>
      </c>
      <c r="B602" s="4" t="s">
        <v>80</v>
      </c>
      <c r="C602" s="4" t="s">
        <v>28</v>
      </c>
      <c r="D602">
        <v>30</v>
      </c>
      <c r="E602" s="4" t="s">
        <v>259</v>
      </c>
      <c r="F602" s="4" t="s">
        <v>36</v>
      </c>
      <c r="G602" s="1">
        <v>44105</v>
      </c>
      <c r="H602" s="4" t="s">
        <v>1330</v>
      </c>
      <c r="I602" s="4" t="s">
        <v>89</v>
      </c>
      <c r="J602">
        <v>-917851384</v>
      </c>
      <c r="K602" s="4" t="s">
        <v>25</v>
      </c>
      <c r="L602" t="b">
        <v>1</v>
      </c>
    </row>
    <row r="603" spans="1:12" x14ac:dyDescent="0.25">
      <c r="A603" s="4" t="s">
        <v>1331</v>
      </c>
      <c r="B603" s="4" t="s">
        <v>80</v>
      </c>
      <c r="C603" s="4" t="s">
        <v>47</v>
      </c>
      <c r="D603">
        <v>35</v>
      </c>
      <c r="E603" s="4" t="s">
        <v>48</v>
      </c>
      <c r="F603" s="4" t="s">
        <v>30</v>
      </c>
      <c r="G603" s="1">
        <v>44320</v>
      </c>
      <c r="H603" s="4" t="s">
        <v>1332</v>
      </c>
      <c r="I603" s="4" t="s">
        <v>96</v>
      </c>
      <c r="J603">
        <v>-4457702991</v>
      </c>
      <c r="K603" s="4" t="s">
        <v>33</v>
      </c>
      <c r="L603" t="b">
        <v>0</v>
      </c>
    </row>
    <row r="604" spans="1:12" x14ac:dyDescent="0.25">
      <c r="A604" s="4" t="s">
        <v>1333</v>
      </c>
      <c r="B604" s="4" t="s">
        <v>61</v>
      </c>
      <c r="C604" s="4" t="s">
        <v>21</v>
      </c>
      <c r="E604" s="4" t="s">
        <v>244</v>
      </c>
      <c r="F604" s="4" t="s">
        <v>16</v>
      </c>
      <c r="G604" s="1">
        <v>44197</v>
      </c>
      <c r="H604" s="4" t="s">
        <v>1334</v>
      </c>
      <c r="I604" s="4" t="s">
        <v>147</v>
      </c>
      <c r="J604">
        <v>-9596604872</v>
      </c>
      <c r="K604" s="4" t="s">
        <v>33</v>
      </c>
      <c r="L604" t="b">
        <v>1</v>
      </c>
    </row>
    <row r="605" spans="1:12" x14ac:dyDescent="0.25">
      <c r="A605" s="4" t="s">
        <v>1335</v>
      </c>
      <c r="B605" s="4" t="s">
        <v>61</v>
      </c>
      <c r="C605" s="4" t="s">
        <v>106</v>
      </c>
      <c r="D605">
        <v>40</v>
      </c>
      <c r="E605" s="4" t="s">
        <v>165</v>
      </c>
      <c r="F605" s="4" t="s">
        <v>16</v>
      </c>
      <c r="G605" s="1">
        <v>45390</v>
      </c>
      <c r="H605" s="4" t="s">
        <v>1336</v>
      </c>
      <c r="I605" s="4" t="s">
        <v>607</v>
      </c>
      <c r="J605">
        <v>-6826911632</v>
      </c>
      <c r="K605" s="4" t="s">
        <v>45</v>
      </c>
      <c r="L605" t="b">
        <v>1</v>
      </c>
    </row>
    <row r="606" spans="1:12" x14ac:dyDescent="0.25">
      <c r="A606" s="4" t="s">
        <v>1337</v>
      </c>
      <c r="B606" s="4" t="s">
        <v>40</v>
      </c>
      <c r="C606" s="4" t="s">
        <v>14</v>
      </c>
      <c r="D606">
        <v>30</v>
      </c>
      <c r="E606" s="4" t="s">
        <v>98</v>
      </c>
      <c r="F606" s="4" t="s">
        <v>16</v>
      </c>
      <c r="G606" s="1">
        <v>44891</v>
      </c>
      <c r="H606" s="4" t="s">
        <v>1338</v>
      </c>
      <c r="I606" s="4" t="s">
        <v>59</v>
      </c>
      <c r="J606">
        <v>-1942268652</v>
      </c>
      <c r="K606" s="4" t="s">
        <v>33</v>
      </c>
      <c r="L606" t="b">
        <v>1</v>
      </c>
    </row>
    <row r="607" spans="1:12" x14ac:dyDescent="0.25">
      <c r="A607" s="4" t="s">
        <v>1339</v>
      </c>
      <c r="B607" s="4" t="s">
        <v>75</v>
      </c>
      <c r="C607" s="4" t="s">
        <v>41</v>
      </c>
      <c r="D607">
        <v>40</v>
      </c>
      <c r="E607" s="4" t="s">
        <v>187</v>
      </c>
      <c r="F607" s="4" t="s">
        <v>30</v>
      </c>
      <c r="G607" s="1">
        <v>44494</v>
      </c>
      <c r="H607" s="4" t="s">
        <v>1340</v>
      </c>
      <c r="I607" s="4" t="s">
        <v>78</v>
      </c>
      <c r="J607">
        <v>-6945515887</v>
      </c>
      <c r="K607" s="4" t="s">
        <v>19</v>
      </c>
      <c r="L607" t="b">
        <v>1</v>
      </c>
    </row>
    <row r="608" spans="1:12" x14ac:dyDescent="0.25">
      <c r="A608" s="4" t="s">
        <v>1341</v>
      </c>
      <c r="B608" s="4" t="s">
        <v>35</v>
      </c>
      <c r="C608" s="4" t="s">
        <v>14</v>
      </c>
      <c r="D608">
        <v>35</v>
      </c>
      <c r="E608" s="4" t="s">
        <v>113</v>
      </c>
      <c r="F608" s="4" t="s">
        <v>30</v>
      </c>
      <c r="G608" s="1">
        <v>44187</v>
      </c>
      <c r="H608" s="4" t="s">
        <v>1342</v>
      </c>
      <c r="I608" s="4" t="s">
        <v>38</v>
      </c>
      <c r="J608">
        <v>-6367747225</v>
      </c>
      <c r="K608" s="4" t="s">
        <v>25</v>
      </c>
      <c r="L608" t="b">
        <v>0</v>
      </c>
    </row>
    <row r="609" spans="1:12" x14ac:dyDescent="0.25">
      <c r="A609" s="4" t="s">
        <v>1343</v>
      </c>
      <c r="B609" s="4" t="s">
        <v>13</v>
      </c>
      <c r="C609" s="4" t="s">
        <v>47</v>
      </c>
      <c r="E609" s="4" t="s">
        <v>251</v>
      </c>
      <c r="F609" s="4" t="s">
        <v>16</v>
      </c>
      <c r="G609" s="1">
        <v>44888</v>
      </c>
      <c r="H609" s="4" t="s">
        <v>1344</v>
      </c>
      <c r="I609" s="4" t="s">
        <v>180</v>
      </c>
      <c r="J609">
        <v>-4085721695</v>
      </c>
      <c r="K609" s="4" t="s">
        <v>25</v>
      </c>
      <c r="L609" t="b">
        <v>1</v>
      </c>
    </row>
    <row r="610" spans="1:12" x14ac:dyDescent="0.25">
      <c r="A610" s="4" t="s">
        <v>1345</v>
      </c>
      <c r="B610" s="4" t="s">
        <v>40</v>
      </c>
      <c r="C610" s="4" t="s">
        <v>21</v>
      </c>
      <c r="D610">
        <v>40</v>
      </c>
      <c r="E610" s="4" t="s">
        <v>309</v>
      </c>
      <c r="F610" s="4" t="s">
        <v>16</v>
      </c>
      <c r="G610" s="1">
        <v>44858</v>
      </c>
      <c r="H610" s="4" t="s">
        <v>1346</v>
      </c>
      <c r="I610" s="4" t="s">
        <v>280</v>
      </c>
      <c r="J610">
        <v>-6630932997</v>
      </c>
      <c r="K610" s="4" t="s">
        <v>19</v>
      </c>
      <c r="L610" t="b">
        <v>1</v>
      </c>
    </row>
    <row r="611" spans="1:12" x14ac:dyDescent="0.25">
      <c r="A611" s="4" t="s">
        <v>1347</v>
      </c>
      <c r="B611" s="4" t="s">
        <v>67</v>
      </c>
      <c r="C611" s="4" t="s">
        <v>47</v>
      </c>
      <c r="D611">
        <v>25</v>
      </c>
      <c r="E611" s="4" t="s">
        <v>259</v>
      </c>
      <c r="F611" s="4" t="s">
        <v>36</v>
      </c>
      <c r="G611" s="1">
        <v>44264</v>
      </c>
      <c r="H611" s="4" t="s">
        <v>1348</v>
      </c>
      <c r="I611" s="4" t="s">
        <v>118</v>
      </c>
      <c r="J611">
        <v>-1996059328</v>
      </c>
      <c r="K611" s="4" t="s">
        <v>33</v>
      </c>
      <c r="L611" t="b">
        <v>0</v>
      </c>
    </row>
    <row r="612" spans="1:12" x14ac:dyDescent="0.25">
      <c r="A612" s="4" t="s">
        <v>1349</v>
      </c>
      <c r="B612" s="4" t="s">
        <v>13</v>
      </c>
      <c r="C612" s="4" t="s">
        <v>28</v>
      </c>
      <c r="D612">
        <v>30</v>
      </c>
      <c r="E612" s="4" t="s">
        <v>81</v>
      </c>
      <c r="F612" s="4" t="s">
        <v>30</v>
      </c>
      <c r="G612" s="1">
        <v>44063</v>
      </c>
      <c r="H612" s="4" t="s">
        <v>1350</v>
      </c>
      <c r="I612" s="4" t="s">
        <v>56</v>
      </c>
      <c r="J612">
        <v>-7150968831</v>
      </c>
      <c r="K612" s="4" t="s">
        <v>19</v>
      </c>
      <c r="L612" t="b">
        <v>0</v>
      </c>
    </row>
    <row r="613" spans="1:12" x14ac:dyDescent="0.25">
      <c r="A613" s="4" t="s">
        <v>1351</v>
      </c>
      <c r="B613" s="4" t="s">
        <v>67</v>
      </c>
      <c r="C613" s="4" t="s">
        <v>62</v>
      </c>
      <c r="E613" s="4" t="s">
        <v>29</v>
      </c>
      <c r="F613" s="4" t="s">
        <v>36</v>
      </c>
      <c r="G613" s="1">
        <v>43876</v>
      </c>
      <c r="H613" s="4" t="s">
        <v>1352</v>
      </c>
      <c r="I613" s="4" t="s">
        <v>257</v>
      </c>
      <c r="J613">
        <v>-7532735240</v>
      </c>
      <c r="K613" s="4" t="s">
        <v>19</v>
      </c>
      <c r="L613" t="b">
        <v>1</v>
      </c>
    </row>
    <row r="614" spans="1:12" x14ac:dyDescent="0.25">
      <c r="A614" s="4" t="s">
        <v>1353</v>
      </c>
      <c r="B614" s="4" t="s">
        <v>61</v>
      </c>
      <c r="C614" s="4" t="s">
        <v>21</v>
      </c>
      <c r="D614">
        <v>30</v>
      </c>
      <c r="E614" s="4" t="s">
        <v>91</v>
      </c>
      <c r="F614" s="4" t="s">
        <v>16</v>
      </c>
      <c r="G614" s="1">
        <v>45655</v>
      </c>
      <c r="H614" s="4" t="s">
        <v>1354</v>
      </c>
      <c r="I614" s="4" t="s">
        <v>147</v>
      </c>
      <c r="J614">
        <v>-397739731</v>
      </c>
      <c r="K614" s="4" t="s">
        <v>45</v>
      </c>
      <c r="L614" t="b">
        <v>0</v>
      </c>
    </row>
    <row r="615" spans="1:12" x14ac:dyDescent="0.25">
      <c r="A615" s="4" t="s">
        <v>1355</v>
      </c>
      <c r="B615" s="4" t="s">
        <v>35</v>
      </c>
      <c r="C615" s="4" t="s">
        <v>62</v>
      </c>
      <c r="D615">
        <v>30</v>
      </c>
      <c r="E615" s="4" t="s">
        <v>87</v>
      </c>
      <c r="F615" s="4" t="s">
        <v>30</v>
      </c>
      <c r="G615" s="1">
        <v>44985</v>
      </c>
      <c r="H615" s="4" t="s">
        <v>1356</v>
      </c>
      <c r="I615" s="4" t="s">
        <v>380</v>
      </c>
      <c r="J615">
        <v>-7819523709</v>
      </c>
      <c r="K615" s="4" t="s">
        <v>19</v>
      </c>
      <c r="L615" t="b">
        <v>1</v>
      </c>
    </row>
    <row r="616" spans="1:12" x14ac:dyDescent="0.25">
      <c r="A616" s="4" t="s">
        <v>1357</v>
      </c>
      <c r="B616" s="4" t="s">
        <v>35</v>
      </c>
      <c r="C616" s="4" t="s">
        <v>106</v>
      </c>
      <c r="D616">
        <v>25</v>
      </c>
      <c r="E616" s="4" t="s">
        <v>244</v>
      </c>
      <c r="F616" s="4" t="s">
        <v>30</v>
      </c>
      <c r="G616" s="1">
        <v>44796</v>
      </c>
      <c r="H616" s="4" t="s">
        <v>1358</v>
      </c>
      <c r="I616" s="4" t="s">
        <v>307</v>
      </c>
      <c r="J616">
        <v>-687616480</v>
      </c>
      <c r="K616" s="4" t="s">
        <v>25</v>
      </c>
      <c r="L616" t="b">
        <v>1</v>
      </c>
    </row>
    <row r="617" spans="1:12" x14ac:dyDescent="0.25">
      <c r="A617" s="4" t="s">
        <v>1359</v>
      </c>
      <c r="B617" s="4" t="s">
        <v>80</v>
      </c>
      <c r="C617" s="4" t="s">
        <v>41</v>
      </c>
      <c r="E617" s="4" t="s">
        <v>102</v>
      </c>
      <c r="F617" s="4" t="s">
        <v>16</v>
      </c>
      <c r="G617" s="1">
        <v>45107</v>
      </c>
      <c r="H617" s="4" t="s">
        <v>1360</v>
      </c>
      <c r="I617" s="4" t="s">
        <v>83</v>
      </c>
      <c r="J617">
        <v>-9807704604</v>
      </c>
      <c r="K617" s="4" t="s">
        <v>19</v>
      </c>
      <c r="L617" t="b">
        <v>1</v>
      </c>
    </row>
    <row r="618" spans="1:12" x14ac:dyDescent="0.25">
      <c r="A618" s="4" t="s">
        <v>1361</v>
      </c>
      <c r="B618" s="4" t="s">
        <v>40</v>
      </c>
      <c r="C618" s="4" t="s">
        <v>142</v>
      </c>
      <c r="D618">
        <v>40</v>
      </c>
      <c r="E618" s="4" t="s">
        <v>113</v>
      </c>
      <c r="F618" s="4" t="s">
        <v>16</v>
      </c>
      <c r="G618" s="1">
        <v>44301</v>
      </c>
      <c r="H618" s="4" t="s">
        <v>1362</v>
      </c>
      <c r="I618" s="4" t="s">
        <v>163</v>
      </c>
      <c r="J618">
        <v>-6876112490</v>
      </c>
      <c r="K618" s="4" t="s">
        <v>25</v>
      </c>
      <c r="L618" t="b">
        <v>1</v>
      </c>
    </row>
    <row r="619" spans="1:12" x14ac:dyDescent="0.25">
      <c r="A619" s="4" t="s">
        <v>1363</v>
      </c>
      <c r="B619" s="4" t="s">
        <v>27</v>
      </c>
      <c r="C619" s="4" t="s">
        <v>47</v>
      </c>
      <c r="D619">
        <v>30</v>
      </c>
      <c r="E619" s="4" t="s">
        <v>113</v>
      </c>
      <c r="F619" s="4" t="s">
        <v>30</v>
      </c>
      <c r="G619" s="1">
        <v>44690</v>
      </c>
      <c r="H619" s="4" t="s">
        <v>1364</v>
      </c>
      <c r="I619" s="4" t="s">
        <v>50</v>
      </c>
      <c r="J619">
        <v>-2565237340</v>
      </c>
      <c r="K619" s="4" t="s">
        <v>25</v>
      </c>
      <c r="L619" t="b">
        <v>0</v>
      </c>
    </row>
    <row r="620" spans="1:12" x14ac:dyDescent="0.25">
      <c r="A620" s="4" t="s">
        <v>1365</v>
      </c>
      <c r="B620" s="4" t="s">
        <v>61</v>
      </c>
      <c r="C620" s="4" t="s">
        <v>14</v>
      </c>
      <c r="D620">
        <v>40</v>
      </c>
      <c r="E620" s="4" t="s">
        <v>113</v>
      </c>
      <c r="F620" s="4" t="s">
        <v>16</v>
      </c>
      <c r="G620" s="1">
        <v>45628</v>
      </c>
      <c r="H620" s="4" t="s">
        <v>1366</v>
      </c>
      <c r="I620" s="4" t="s">
        <v>200</v>
      </c>
      <c r="J620">
        <v>-5177345474</v>
      </c>
      <c r="K620" s="4" t="s">
        <v>25</v>
      </c>
      <c r="L620" t="b">
        <v>1</v>
      </c>
    </row>
    <row r="621" spans="1:12" x14ac:dyDescent="0.25">
      <c r="A621" s="4" t="s">
        <v>1367</v>
      </c>
      <c r="B621" s="4" t="s">
        <v>13</v>
      </c>
      <c r="C621" s="4" t="s">
        <v>41</v>
      </c>
      <c r="D621">
        <v>25</v>
      </c>
      <c r="E621" s="4" t="s">
        <v>116</v>
      </c>
      <c r="F621" s="4" t="s">
        <v>16</v>
      </c>
      <c r="G621" s="1">
        <v>45066</v>
      </c>
      <c r="H621" s="4" t="s">
        <v>322</v>
      </c>
      <c r="I621" s="4" t="s">
        <v>170</v>
      </c>
      <c r="J621">
        <v>-7494902283</v>
      </c>
      <c r="K621" s="4" t="s">
        <v>33</v>
      </c>
      <c r="L621" t="b">
        <v>0</v>
      </c>
    </row>
    <row r="622" spans="1:12" x14ac:dyDescent="0.25">
      <c r="A622" s="4" t="s">
        <v>1368</v>
      </c>
      <c r="B622" s="4" t="s">
        <v>80</v>
      </c>
      <c r="C622" s="4" t="s">
        <v>21</v>
      </c>
      <c r="E622" s="4" t="s">
        <v>81</v>
      </c>
      <c r="F622" s="4" t="s">
        <v>16</v>
      </c>
      <c r="G622" s="1">
        <v>45259</v>
      </c>
      <c r="H622" s="4" t="s">
        <v>1369</v>
      </c>
      <c r="I622" s="4" t="s">
        <v>240</v>
      </c>
      <c r="J622">
        <v>-359544293</v>
      </c>
      <c r="K622" s="4" t="s">
        <v>45</v>
      </c>
      <c r="L622" t="b">
        <v>0</v>
      </c>
    </row>
    <row r="623" spans="1:12" x14ac:dyDescent="0.25">
      <c r="A623" s="4" t="s">
        <v>1370</v>
      </c>
      <c r="B623" s="4" t="s">
        <v>75</v>
      </c>
      <c r="C623" s="4" t="s">
        <v>62</v>
      </c>
      <c r="D623">
        <v>40</v>
      </c>
      <c r="E623" s="4" t="s">
        <v>229</v>
      </c>
      <c r="F623" s="4" t="s">
        <v>30</v>
      </c>
      <c r="G623" s="1">
        <v>45390</v>
      </c>
      <c r="H623" s="4" t="s">
        <v>1371</v>
      </c>
      <c r="I623" s="4" t="s">
        <v>132</v>
      </c>
      <c r="J623">
        <v>-7742229463</v>
      </c>
      <c r="K623" s="4" t="s">
        <v>25</v>
      </c>
      <c r="L623" t="b">
        <v>0</v>
      </c>
    </row>
    <row r="624" spans="1:12" x14ac:dyDescent="0.25">
      <c r="A624" s="4" t="s">
        <v>1372</v>
      </c>
      <c r="B624" s="4" t="s">
        <v>80</v>
      </c>
      <c r="C624" s="4" t="s">
        <v>14</v>
      </c>
      <c r="D624">
        <v>30</v>
      </c>
      <c r="E624" s="4" t="s">
        <v>251</v>
      </c>
      <c r="F624" s="4" t="s">
        <v>16</v>
      </c>
      <c r="G624" s="1">
        <v>45590</v>
      </c>
      <c r="H624" s="4" t="s">
        <v>1373</v>
      </c>
      <c r="I624" s="4" t="s">
        <v>276</v>
      </c>
      <c r="J624">
        <v>-3039429044</v>
      </c>
      <c r="K624" s="4" t="s">
        <v>25</v>
      </c>
      <c r="L624" t="b">
        <v>0</v>
      </c>
    </row>
    <row r="625" spans="1:12" x14ac:dyDescent="0.25">
      <c r="A625" s="4" t="s">
        <v>1374</v>
      </c>
      <c r="B625" s="4" t="s">
        <v>80</v>
      </c>
      <c r="C625" s="4" t="s">
        <v>62</v>
      </c>
      <c r="D625">
        <v>35</v>
      </c>
      <c r="E625" s="4" t="s">
        <v>120</v>
      </c>
      <c r="F625" s="4" t="s">
        <v>30</v>
      </c>
      <c r="G625" s="1">
        <v>45353</v>
      </c>
      <c r="H625" s="4" t="s">
        <v>1375</v>
      </c>
      <c r="I625" s="4" t="s">
        <v>150</v>
      </c>
      <c r="J625">
        <v>-8867925297</v>
      </c>
      <c r="K625" s="4" t="s">
        <v>33</v>
      </c>
      <c r="L625" t="b">
        <v>1</v>
      </c>
    </row>
    <row r="626" spans="1:12" x14ac:dyDescent="0.25">
      <c r="A626" s="4" t="s">
        <v>1376</v>
      </c>
      <c r="B626" s="4" t="s">
        <v>13</v>
      </c>
      <c r="C626" s="4" t="s">
        <v>28</v>
      </c>
      <c r="E626" s="4" t="s">
        <v>42</v>
      </c>
      <c r="F626" s="4" t="s">
        <v>30</v>
      </c>
      <c r="G626" s="1">
        <v>44251</v>
      </c>
      <c r="H626" s="4" t="s">
        <v>1377</v>
      </c>
      <c r="I626" s="4" t="s">
        <v>56</v>
      </c>
      <c r="J626">
        <v>-5856728726</v>
      </c>
      <c r="K626" s="4" t="s">
        <v>25</v>
      </c>
      <c r="L626" t="b">
        <v>0</v>
      </c>
    </row>
    <row r="627" spans="1:12" x14ac:dyDescent="0.25">
      <c r="A627" s="4" t="s">
        <v>1378</v>
      </c>
      <c r="B627" s="4" t="s">
        <v>40</v>
      </c>
      <c r="C627" s="4" t="s">
        <v>62</v>
      </c>
      <c r="D627">
        <v>25</v>
      </c>
      <c r="E627" s="4" t="s">
        <v>244</v>
      </c>
      <c r="F627" s="4" t="s">
        <v>30</v>
      </c>
      <c r="G627" s="1">
        <v>45029</v>
      </c>
      <c r="H627" s="4" t="s">
        <v>1379</v>
      </c>
      <c r="I627" s="4" t="s">
        <v>316</v>
      </c>
      <c r="J627">
        <v>-6015343323</v>
      </c>
      <c r="K627" s="4" t="s">
        <v>19</v>
      </c>
      <c r="L627" t="b">
        <v>1</v>
      </c>
    </row>
    <row r="628" spans="1:12" x14ac:dyDescent="0.25">
      <c r="A628" s="4" t="s">
        <v>1380</v>
      </c>
      <c r="B628" s="4" t="s">
        <v>80</v>
      </c>
      <c r="C628" s="4" t="s">
        <v>28</v>
      </c>
      <c r="E628" s="4" t="s">
        <v>229</v>
      </c>
      <c r="F628" s="4" t="s">
        <v>36</v>
      </c>
      <c r="G628" s="1">
        <v>45224</v>
      </c>
      <c r="H628" s="4" t="s">
        <v>1381</v>
      </c>
      <c r="I628" s="4" t="s">
        <v>89</v>
      </c>
      <c r="J628">
        <v>-9135779082</v>
      </c>
      <c r="K628" s="4" t="s">
        <v>19</v>
      </c>
      <c r="L628" t="b">
        <v>0</v>
      </c>
    </row>
    <row r="629" spans="1:12" x14ac:dyDescent="0.25">
      <c r="A629" s="4" t="s">
        <v>1382</v>
      </c>
      <c r="B629" s="4" t="s">
        <v>75</v>
      </c>
      <c r="C629" s="4" t="s">
        <v>106</v>
      </c>
      <c r="D629">
        <v>30</v>
      </c>
      <c r="E629" s="4" t="s">
        <v>229</v>
      </c>
      <c r="F629" s="4" t="s">
        <v>30</v>
      </c>
      <c r="G629" s="1">
        <v>44821</v>
      </c>
      <c r="H629" s="4" t="s">
        <v>1383</v>
      </c>
      <c r="I629" s="4" t="s">
        <v>153</v>
      </c>
      <c r="J629">
        <v>-3506158147</v>
      </c>
      <c r="K629" s="4" t="s">
        <v>45</v>
      </c>
      <c r="L629" t="b">
        <v>0</v>
      </c>
    </row>
    <row r="630" spans="1:12" x14ac:dyDescent="0.25">
      <c r="A630" s="4" t="s">
        <v>1384</v>
      </c>
      <c r="B630" s="4" t="s">
        <v>40</v>
      </c>
      <c r="C630" s="4" t="s">
        <v>14</v>
      </c>
      <c r="D630">
        <v>40</v>
      </c>
      <c r="E630" s="4" t="s">
        <v>63</v>
      </c>
      <c r="F630" s="4" t="s">
        <v>30</v>
      </c>
      <c r="G630" s="1">
        <v>44074</v>
      </c>
      <c r="H630" s="4" t="s">
        <v>1385</v>
      </c>
      <c r="I630" s="4" t="s">
        <v>59</v>
      </c>
      <c r="J630">
        <v>-8810798333</v>
      </c>
      <c r="K630" s="4" t="s">
        <v>25</v>
      </c>
      <c r="L630" t="b">
        <v>1</v>
      </c>
    </row>
    <row r="631" spans="1:12" x14ac:dyDescent="0.25">
      <c r="A631" s="4" t="s">
        <v>1386</v>
      </c>
      <c r="B631" s="4" t="s">
        <v>61</v>
      </c>
      <c r="C631" s="4" t="s">
        <v>14</v>
      </c>
      <c r="D631">
        <v>25</v>
      </c>
      <c r="E631" s="4" t="s">
        <v>102</v>
      </c>
      <c r="F631" s="4" t="s">
        <v>36</v>
      </c>
      <c r="G631" s="1">
        <v>45440</v>
      </c>
      <c r="H631" s="4" t="s">
        <v>1387</v>
      </c>
      <c r="I631" s="4" t="s">
        <v>200</v>
      </c>
      <c r="J631">
        <v>-2337209483</v>
      </c>
      <c r="K631" s="4" t="s">
        <v>33</v>
      </c>
      <c r="L631" t="b">
        <v>1</v>
      </c>
    </row>
    <row r="632" spans="1:12" x14ac:dyDescent="0.25">
      <c r="A632" s="4" t="s">
        <v>1388</v>
      </c>
      <c r="B632" s="4" t="s">
        <v>27</v>
      </c>
      <c r="C632" s="4" t="s">
        <v>142</v>
      </c>
      <c r="D632">
        <v>30</v>
      </c>
      <c r="E632" s="4" t="s">
        <v>116</v>
      </c>
      <c r="F632" s="4" t="s">
        <v>16</v>
      </c>
      <c r="G632" s="1">
        <v>45478</v>
      </c>
      <c r="H632" s="4" t="s">
        <v>1389</v>
      </c>
      <c r="I632" s="4" t="s">
        <v>217</v>
      </c>
      <c r="J632">
        <v>-1312840332</v>
      </c>
      <c r="K632" s="4" t="s">
        <v>19</v>
      </c>
      <c r="L632" t="b">
        <v>1</v>
      </c>
    </row>
    <row r="633" spans="1:12" x14ac:dyDescent="0.25">
      <c r="A633" s="4" t="s">
        <v>1390</v>
      </c>
      <c r="B633" s="4" t="s">
        <v>80</v>
      </c>
      <c r="C633" s="4" t="s">
        <v>21</v>
      </c>
      <c r="D633">
        <v>25</v>
      </c>
      <c r="E633" s="4" t="s">
        <v>312</v>
      </c>
      <c r="F633" s="4" t="s">
        <v>16</v>
      </c>
      <c r="G633" s="1">
        <v>44590</v>
      </c>
      <c r="H633" s="4" t="s">
        <v>1391</v>
      </c>
      <c r="I633" s="4" t="s">
        <v>240</v>
      </c>
      <c r="J633">
        <v>-9977180512</v>
      </c>
      <c r="K633" s="4" t="s">
        <v>33</v>
      </c>
      <c r="L633" t="b">
        <v>0</v>
      </c>
    </row>
    <row r="634" spans="1:12" x14ac:dyDescent="0.25">
      <c r="A634" s="4" t="s">
        <v>1392</v>
      </c>
      <c r="B634" s="4" t="s">
        <v>80</v>
      </c>
      <c r="C634" s="4" t="s">
        <v>28</v>
      </c>
      <c r="D634">
        <v>40</v>
      </c>
      <c r="E634" s="4" t="s">
        <v>259</v>
      </c>
      <c r="F634" s="4" t="s">
        <v>30</v>
      </c>
      <c r="G634" s="1">
        <v>44417</v>
      </c>
      <c r="H634" s="4" t="s">
        <v>1393</v>
      </c>
      <c r="I634" s="4" t="s">
        <v>89</v>
      </c>
      <c r="J634">
        <v>-7171731892</v>
      </c>
      <c r="K634" s="4" t="s">
        <v>33</v>
      </c>
      <c r="L634" t="b">
        <v>0</v>
      </c>
    </row>
    <row r="635" spans="1:12" x14ac:dyDescent="0.25">
      <c r="A635" s="4" t="s">
        <v>1394</v>
      </c>
      <c r="B635" s="4" t="s">
        <v>61</v>
      </c>
      <c r="C635" s="4" t="s">
        <v>142</v>
      </c>
      <c r="D635">
        <v>40</v>
      </c>
      <c r="E635" s="4" t="s">
        <v>22</v>
      </c>
      <c r="F635" s="4" t="s">
        <v>16</v>
      </c>
      <c r="G635" s="1">
        <v>45572</v>
      </c>
      <c r="H635" s="4" t="s">
        <v>1395</v>
      </c>
      <c r="I635" s="4" t="s">
        <v>231</v>
      </c>
      <c r="J635">
        <v>-9749096172</v>
      </c>
      <c r="K635" s="4" t="s">
        <v>19</v>
      </c>
      <c r="L635" t="b">
        <v>1</v>
      </c>
    </row>
    <row r="636" spans="1:12" x14ac:dyDescent="0.25">
      <c r="A636" s="4" t="s">
        <v>1396</v>
      </c>
      <c r="B636" s="4" t="s">
        <v>35</v>
      </c>
      <c r="C636" s="4" t="s">
        <v>62</v>
      </c>
      <c r="D636">
        <v>30</v>
      </c>
      <c r="E636" s="4" t="s">
        <v>110</v>
      </c>
      <c r="F636" s="4" t="s">
        <v>30</v>
      </c>
      <c r="G636" s="1">
        <v>44887</v>
      </c>
      <c r="H636" s="4" t="s">
        <v>1397</v>
      </c>
      <c r="I636" s="4" t="s">
        <v>380</v>
      </c>
      <c r="J636">
        <v>-9970469471</v>
      </c>
      <c r="K636" s="4" t="s">
        <v>33</v>
      </c>
      <c r="L636" t="b">
        <v>1</v>
      </c>
    </row>
    <row r="637" spans="1:12" x14ac:dyDescent="0.25">
      <c r="A637" s="4" t="s">
        <v>1398</v>
      </c>
      <c r="B637" s="4" t="s">
        <v>27</v>
      </c>
      <c r="C637" s="4" t="s">
        <v>62</v>
      </c>
      <c r="D637">
        <v>35</v>
      </c>
      <c r="E637" s="4" t="s">
        <v>29</v>
      </c>
      <c r="F637" s="4" t="s">
        <v>16</v>
      </c>
      <c r="G637" s="1">
        <v>44153</v>
      </c>
      <c r="H637" s="4" t="s">
        <v>1399</v>
      </c>
      <c r="I637" s="4" t="s">
        <v>177</v>
      </c>
      <c r="J637">
        <v>-5878444834</v>
      </c>
      <c r="K637" s="4" t="s">
        <v>19</v>
      </c>
      <c r="L637" t="b">
        <v>1</v>
      </c>
    </row>
    <row r="638" spans="1:12" x14ac:dyDescent="0.25">
      <c r="A638" s="4" t="s">
        <v>1400</v>
      </c>
      <c r="B638" s="4" t="s">
        <v>80</v>
      </c>
      <c r="C638" s="4" t="s">
        <v>142</v>
      </c>
      <c r="D638">
        <v>35</v>
      </c>
      <c r="E638" s="4" t="s">
        <v>270</v>
      </c>
      <c r="F638" s="4" t="s">
        <v>36</v>
      </c>
      <c r="G638" s="1">
        <v>45031</v>
      </c>
      <c r="H638" s="4" t="s">
        <v>322</v>
      </c>
      <c r="I638" s="4" t="s">
        <v>160</v>
      </c>
      <c r="J638">
        <v>-4884712704</v>
      </c>
      <c r="K638" s="4" t="s">
        <v>33</v>
      </c>
      <c r="L638" t="b">
        <v>1</v>
      </c>
    </row>
    <row r="639" spans="1:12" x14ac:dyDescent="0.25">
      <c r="A639" s="4" t="s">
        <v>1401</v>
      </c>
      <c r="B639" s="4" t="s">
        <v>13</v>
      </c>
      <c r="C639" s="4" t="s">
        <v>14</v>
      </c>
      <c r="D639">
        <v>25</v>
      </c>
      <c r="E639" s="4" t="s">
        <v>210</v>
      </c>
      <c r="F639" s="4" t="s">
        <v>30</v>
      </c>
      <c r="G639" s="1">
        <v>45530</v>
      </c>
      <c r="H639" s="4" t="s">
        <v>1402</v>
      </c>
      <c r="I639" s="4" t="s">
        <v>18</v>
      </c>
      <c r="J639">
        <v>-8772216416</v>
      </c>
      <c r="K639" s="4" t="s">
        <v>19</v>
      </c>
      <c r="L639" t="b">
        <v>0</v>
      </c>
    </row>
    <row r="640" spans="1:12" x14ac:dyDescent="0.25">
      <c r="A640" s="4" t="s">
        <v>1403</v>
      </c>
      <c r="B640" s="4" t="s">
        <v>40</v>
      </c>
      <c r="C640" s="4" t="s">
        <v>62</v>
      </c>
      <c r="D640">
        <v>35</v>
      </c>
      <c r="E640" s="4" t="s">
        <v>102</v>
      </c>
      <c r="F640" s="4" t="s">
        <v>16</v>
      </c>
      <c r="G640" s="1">
        <v>44762</v>
      </c>
      <c r="H640" s="4" t="s">
        <v>1404</v>
      </c>
      <c r="I640" s="4" t="s">
        <v>316</v>
      </c>
      <c r="J640">
        <v>-5823133483</v>
      </c>
      <c r="K640" s="4" t="s">
        <v>25</v>
      </c>
      <c r="L640" t="b">
        <v>1</v>
      </c>
    </row>
    <row r="641" spans="1:12" x14ac:dyDescent="0.25">
      <c r="A641" s="4" t="s">
        <v>1405</v>
      </c>
      <c r="B641" s="4" t="s">
        <v>35</v>
      </c>
      <c r="C641" s="4" t="s">
        <v>47</v>
      </c>
      <c r="D641">
        <v>30</v>
      </c>
      <c r="E641" s="4" t="s">
        <v>309</v>
      </c>
      <c r="F641" s="4" t="s">
        <v>16</v>
      </c>
      <c r="G641" s="1">
        <v>44975</v>
      </c>
      <c r="H641" s="4" t="s">
        <v>1406</v>
      </c>
      <c r="I641" s="4" t="s">
        <v>346</v>
      </c>
      <c r="J641">
        <v>-5871493924</v>
      </c>
      <c r="K641" s="4" t="s">
        <v>45</v>
      </c>
      <c r="L641" t="b">
        <v>1</v>
      </c>
    </row>
    <row r="642" spans="1:12" x14ac:dyDescent="0.25">
      <c r="A642" s="4" t="s">
        <v>1407</v>
      </c>
      <c r="B642" s="4" t="s">
        <v>13</v>
      </c>
      <c r="C642" s="4" t="s">
        <v>106</v>
      </c>
      <c r="E642" s="4" t="s">
        <v>229</v>
      </c>
      <c r="F642" s="4" t="s">
        <v>30</v>
      </c>
      <c r="G642" s="1">
        <v>44343</v>
      </c>
      <c r="H642" s="4" t="s">
        <v>1408</v>
      </c>
      <c r="I642" s="4" t="s">
        <v>108</v>
      </c>
      <c r="J642">
        <v>-2362292586</v>
      </c>
      <c r="K642" s="4" t="s">
        <v>19</v>
      </c>
      <c r="L642" t="b">
        <v>1</v>
      </c>
    </row>
    <row r="643" spans="1:12" x14ac:dyDescent="0.25">
      <c r="A643" s="4" t="s">
        <v>1409</v>
      </c>
      <c r="B643" s="4" t="s">
        <v>75</v>
      </c>
      <c r="C643" s="4" t="s">
        <v>106</v>
      </c>
      <c r="D643">
        <v>30</v>
      </c>
      <c r="E643" s="4" t="s">
        <v>251</v>
      </c>
      <c r="F643" s="4" t="s">
        <v>30</v>
      </c>
      <c r="G643" s="1">
        <v>44774</v>
      </c>
      <c r="H643" s="4" t="s">
        <v>1410</v>
      </c>
      <c r="I643" s="4" t="s">
        <v>153</v>
      </c>
      <c r="J643">
        <v>-9643474523</v>
      </c>
      <c r="K643" s="4" t="s">
        <v>19</v>
      </c>
      <c r="L643" t="b">
        <v>1</v>
      </c>
    </row>
    <row r="644" spans="1:12" x14ac:dyDescent="0.25">
      <c r="A644" s="4" t="s">
        <v>1411</v>
      </c>
      <c r="B644" s="4" t="s">
        <v>75</v>
      </c>
      <c r="C644" s="4" t="s">
        <v>47</v>
      </c>
      <c r="D644">
        <v>25</v>
      </c>
      <c r="E644" s="4" t="s">
        <v>165</v>
      </c>
      <c r="F644" s="4" t="s">
        <v>36</v>
      </c>
      <c r="G644" s="1">
        <v>45128</v>
      </c>
      <c r="H644" s="4" t="s">
        <v>1412</v>
      </c>
      <c r="I644" s="4" t="s">
        <v>300</v>
      </c>
      <c r="J644">
        <v>-5557469659</v>
      </c>
      <c r="K644" s="4" t="s">
        <v>45</v>
      </c>
      <c r="L644" t="b">
        <v>0</v>
      </c>
    </row>
    <row r="645" spans="1:12" x14ac:dyDescent="0.25">
      <c r="A645" s="4" t="s">
        <v>1413</v>
      </c>
      <c r="B645" s="4" t="s">
        <v>67</v>
      </c>
      <c r="C645" s="4" t="s">
        <v>142</v>
      </c>
      <c r="D645">
        <v>35</v>
      </c>
      <c r="E645" s="4" t="s">
        <v>81</v>
      </c>
      <c r="F645" s="4" t="s">
        <v>30</v>
      </c>
      <c r="G645" s="1">
        <v>44928</v>
      </c>
      <c r="H645" s="4" t="s">
        <v>1414</v>
      </c>
      <c r="I645" s="4" t="s">
        <v>402</v>
      </c>
      <c r="J645">
        <v>-6065274032</v>
      </c>
      <c r="K645" s="4" t="s">
        <v>19</v>
      </c>
      <c r="L645" t="b">
        <v>1</v>
      </c>
    </row>
    <row r="646" spans="1:12" x14ac:dyDescent="0.25">
      <c r="A646" s="4" t="s">
        <v>1415</v>
      </c>
      <c r="B646" s="4" t="s">
        <v>67</v>
      </c>
      <c r="C646" s="4" t="s">
        <v>47</v>
      </c>
      <c r="D646">
        <v>35</v>
      </c>
      <c r="E646" s="4" t="s">
        <v>42</v>
      </c>
      <c r="F646" s="4" t="s">
        <v>30</v>
      </c>
      <c r="G646" s="1">
        <v>45364</v>
      </c>
      <c r="H646" s="4" t="s">
        <v>1416</v>
      </c>
      <c r="I646" s="4" t="s">
        <v>118</v>
      </c>
      <c r="J646">
        <v>-4450566587</v>
      </c>
      <c r="K646" s="4" t="s">
        <v>19</v>
      </c>
      <c r="L646" t="b">
        <v>0</v>
      </c>
    </row>
    <row r="647" spans="1:12" x14ac:dyDescent="0.25">
      <c r="A647" s="4" t="s">
        <v>1417</v>
      </c>
      <c r="B647" s="4" t="s">
        <v>61</v>
      </c>
      <c r="C647" s="4" t="s">
        <v>28</v>
      </c>
      <c r="D647">
        <v>40</v>
      </c>
      <c r="E647" s="4" t="s">
        <v>172</v>
      </c>
      <c r="F647" s="4" t="s">
        <v>16</v>
      </c>
      <c r="G647" s="1">
        <v>45005</v>
      </c>
      <c r="H647" s="4" t="s">
        <v>1418</v>
      </c>
      <c r="I647" s="4" t="s">
        <v>140</v>
      </c>
      <c r="J647">
        <v>-3398741131</v>
      </c>
      <c r="K647" s="4" t="s">
        <v>33</v>
      </c>
      <c r="L647" t="b">
        <v>1</v>
      </c>
    </row>
    <row r="648" spans="1:12" x14ac:dyDescent="0.25">
      <c r="A648" s="4" t="s">
        <v>1419</v>
      </c>
      <c r="B648" s="4" t="s">
        <v>67</v>
      </c>
      <c r="C648" s="4" t="s">
        <v>28</v>
      </c>
      <c r="D648">
        <v>40</v>
      </c>
      <c r="E648" s="4" t="s">
        <v>63</v>
      </c>
      <c r="F648" s="4" t="s">
        <v>16</v>
      </c>
      <c r="G648" s="1">
        <v>45337</v>
      </c>
      <c r="H648" s="4" t="s">
        <v>1420</v>
      </c>
      <c r="I648" s="4" t="s">
        <v>283</v>
      </c>
      <c r="J648">
        <v>-5797067348</v>
      </c>
      <c r="K648" s="4" t="s">
        <v>45</v>
      </c>
      <c r="L648" t="b">
        <v>1</v>
      </c>
    </row>
    <row r="649" spans="1:12" x14ac:dyDescent="0.25">
      <c r="A649" s="4" t="s">
        <v>1421</v>
      </c>
      <c r="B649" s="4" t="s">
        <v>67</v>
      </c>
      <c r="C649" s="4" t="s">
        <v>142</v>
      </c>
      <c r="D649">
        <v>30</v>
      </c>
      <c r="E649" s="4" t="s">
        <v>102</v>
      </c>
      <c r="F649" s="4" t="s">
        <v>36</v>
      </c>
      <c r="G649" s="1">
        <v>44150</v>
      </c>
      <c r="H649" s="4" t="s">
        <v>1422</v>
      </c>
      <c r="I649" s="4" t="s">
        <v>402</v>
      </c>
      <c r="J649">
        <v>-9601054856</v>
      </c>
      <c r="K649" s="4" t="s">
        <v>25</v>
      </c>
      <c r="L649" t="b">
        <v>0</v>
      </c>
    </row>
    <row r="650" spans="1:12" x14ac:dyDescent="0.25">
      <c r="A650" s="4" t="s">
        <v>1423</v>
      </c>
      <c r="B650" s="4" t="s">
        <v>13</v>
      </c>
      <c r="C650" s="4" t="s">
        <v>47</v>
      </c>
      <c r="D650">
        <v>40</v>
      </c>
      <c r="E650" s="4" t="s">
        <v>48</v>
      </c>
      <c r="F650" s="4" t="s">
        <v>30</v>
      </c>
      <c r="G650" s="1">
        <v>43917</v>
      </c>
      <c r="H650" s="4" t="s">
        <v>1424</v>
      </c>
      <c r="I650" s="4" t="s">
        <v>180</v>
      </c>
      <c r="J650">
        <v>-4172156228</v>
      </c>
      <c r="K650" s="4" t="s">
        <v>19</v>
      </c>
      <c r="L650" t="b">
        <v>1</v>
      </c>
    </row>
    <row r="651" spans="1:12" x14ac:dyDescent="0.25">
      <c r="A651" s="4" t="s">
        <v>1425</v>
      </c>
      <c r="B651" s="4" t="s">
        <v>40</v>
      </c>
      <c r="C651" s="4" t="s">
        <v>28</v>
      </c>
      <c r="D651">
        <v>40</v>
      </c>
      <c r="E651" s="4" t="s">
        <v>210</v>
      </c>
      <c r="F651" s="4" t="s">
        <v>36</v>
      </c>
      <c r="G651" s="1">
        <v>44205</v>
      </c>
      <c r="H651" s="4" t="s">
        <v>1426</v>
      </c>
      <c r="I651" s="4" t="s">
        <v>53</v>
      </c>
      <c r="J651">
        <v>-4938173597</v>
      </c>
      <c r="K651" s="4" t="s">
        <v>45</v>
      </c>
      <c r="L651" t="b">
        <v>0</v>
      </c>
    </row>
    <row r="652" spans="1:12" x14ac:dyDescent="0.25">
      <c r="A652" s="4" t="s">
        <v>1427</v>
      </c>
      <c r="B652" s="4" t="s">
        <v>35</v>
      </c>
      <c r="C652" s="4" t="s">
        <v>14</v>
      </c>
      <c r="D652">
        <v>40</v>
      </c>
      <c r="E652" s="4" t="s">
        <v>102</v>
      </c>
      <c r="F652" s="4" t="s">
        <v>16</v>
      </c>
      <c r="G652" s="1">
        <v>43941</v>
      </c>
      <c r="H652" s="4" t="s">
        <v>1428</v>
      </c>
      <c r="I652" s="4" t="s">
        <v>38</v>
      </c>
      <c r="J652">
        <v>-4884021556</v>
      </c>
      <c r="K652" s="4" t="s">
        <v>33</v>
      </c>
      <c r="L652" t="b">
        <v>0</v>
      </c>
    </row>
    <row r="653" spans="1:12" x14ac:dyDescent="0.25">
      <c r="A653" s="4" t="s">
        <v>1429</v>
      </c>
      <c r="B653" s="4" t="s">
        <v>27</v>
      </c>
      <c r="C653" s="4" t="s">
        <v>47</v>
      </c>
      <c r="E653" s="4" t="s">
        <v>251</v>
      </c>
      <c r="F653" s="4" t="s">
        <v>30</v>
      </c>
      <c r="G653" s="1">
        <v>45420</v>
      </c>
      <c r="H653" s="4" t="s">
        <v>1430</v>
      </c>
      <c r="I653" s="4" t="s">
        <v>50</v>
      </c>
      <c r="J653">
        <v>-3257375533</v>
      </c>
      <c r="K653" s="4" t="s">
        <v>25</v>
      </c>
      <c r="L653" t="b">
        <v>1</v>
      </c>
    </row>
    <row r="654" spans="1:12" x14ac:dyDescent="0.25">
      <c r="A654" s="4" t="s">
        <v>1431</v>
      </c>
      <c r="B654" s="4" t="s">
        <v>75</v>
      </c>
      <c r="C654" s="4" t="s">
        <v>14</v>
      </c>
      <c r="D654">
        <v>35</v>
      </c>
      <c r="E654" s="4" t="s">
        <v>278</v>
      </c>
      <c r="F654" s="4" t="s">
        <v>16</v>
      </c>
      <c r="G654" s="1">
        <v>45211</v>
      </c>
      <c r="H654" s="4" t="s">
        <v>1432</v>
      </c>
      <c r="I654" s="4" t="s">
        <v>469</v>
      </c>
      <c r="J654">
        <v>-4902166669</v>
      </c>
      <c r="K654" s="4" t="s">
        <v>45</v>
      </c>
      <c r="L654" t="b">
        <v>0</v>
      </c>
    </row>
    <row r="655" spans="1:12" x14ac:dyDescent="0.25">
      <c r="A655" s="4" t="s">
        <v>1433</v>
      </c>
      <c r="B655" s="4" t="s">
        <v>40</v>
      </c>
      <c r="C655" s="4" t="s">
        <v>28</v>
      </c>
      <c r="D655">
        <v>35</v>
      </c>
      <c r="E655" s="4" t="s">
        <v>210</v>
      </c>
      <c r="F655" s="4" t="s">
        <v>16</v>
      </c>
      <c r="G655" s="1">
        <v>44954</v>
      </c>
      <c r="H655" s="4" t="s">
        <v>1434</v>
      </c>
      <c r="I655" s="4" t="s">
        <v>53</v>
      </c>
      <c r="J655">
        <v>-8085096084</v>
      </c>
      <c r="K655" s="4" t="s">
        <v>25</v>
      </c>
      <c r="L655" t="b">
        <v>0</v>
      </c>
    </row>
    <row r="656" spans="1:12" x14ac:dyDescent="0.25">
      <c r="A656" s="4" t="s">
        <v>1435</v>
      </c>
      <c r="B656" s="4" t="s">
        <v>40</v>
      </c>
      <c r="C656" s="4" t="s">
        <v>106</v>
      </c>
      <c r="D656">
        <v>35</v>
      </c>
      <c r="E656" s="4" t="s">
        <v>244</v>
      </c>
      <c r="F656" s="4" t="s">
        <v>36</v>
      </c>
      <c r="G656" s="1">
        <v>44262</v>
      </c>
      <c r="H656" s="4" t="s">
        <v>1436</v>
      </c>
      <c r="I656" s="4" t="s">
        <v>128</v>
      </c>
      <c r="J656">
        <v>-8749511917</v>
      </c>
      <c r="K656" s="4" t="s">
        <v>25</v>
      </c>
      <c r="L656" t="b">
        <v>0</v>
      </c>
    </row>
    <row r="657" spans="1:12" x14ac:dyDescent="0.25">
      <c r="A657" s="4" t="s">
        <v>1437</v>
      </c>
      <c r="B657" s="4" t="s">
        <v>40</v>
      </c>
      <c r="C657" s="4" t="s">
        <v>28</v>
      </c>
      <c r="D657">
        <v>40</v>
      </c>
      <c r="E657" s="4" t="s">
        <v>251</v>
      </c>
      <c r="F657" s="4" t="s">
        <v>16</v>
      </c>
      <c r="G657" s="1">
        <v>45001</v>
      </c>
      <c r="H657" s="4" t="s">
        <v>1438</v>
      </c>
      <c r="I657" s="4" t="s">
        <v>53</v>
      </c>
      <c r="J657">
        <v>-1828197930</v>
      </c>
      <c r="K657" s="4" t="s">
        <v>25</v>
      </c>
      <c r="L657" t="b">
        <v>0</v>
      </c>
    </row>
    <row r="658" spans="1:12" x14ac:dyDescent="0.25">
      <c r="A658" s="4" t="s">
        <v>1439</v>
      </c>
      <c r="B658" s="4" t="s">
        <v>67</v>
      </c>
      <c r="C658" s="4" t="s">
        <v>14</v>
      </c>
      <c r="D658">
        <v>25</v>
      </c>
      <c r="E658" s="4" t="s">
        <v>15</v>
      </c>
      <c r="F658" s="4" t="s">
        <v>16</v>
      </c>
      <c r="G658" s="1">
        <v>44968</v>
      </c>
      <c r="H658" s="4" t="s">
        <v>1440</v>
      </c>
      <c r="I658" s="4" t="s">
        <v>73</v>
      </c>
      <c r="J658">
        <v>-6477251294</v>
      </c>
      <c r="K658" s="4" t="s">
        <v>19</v>
      </c>
      <c r="L658" t="b">
        <v>0</v>
      </c>
    </row>
    <row r="659" spans="1:12" x14ac:dyDescent="0.25">
      <c r="A659" s="4" t="s">
        <v>1441</v>
      </c>
      <c r="B659" s="4" t="s">
        <v>61</v>
      </c>
      <c r="C659" s="4" t="s">
        <v>41</v>
      </c>
      <c r="D659">
        <v>30</v>
      </c>
      <c r="E659" s="4" t="s">
        <v>22</v>
      </c>
      <c r="F659" s="4" t="s">
        <v>16</v>
      </c>
      <c r="G659" s="1">
        <v>44694</v>
      </c>
      <c r="H659" s="4" t="s">
        <v>1442</v>
      </c>
      <c r="I659" s="4" t="s">
        <v>104</v>
      </c>
      <c r="J659">
        <v>-7860694095</v>
      </c>
      <c r="K659" s="4" t="s">
        <v>19</v>
      </c>
      <c r="L659" t="b">
        <v>0</v>
      </c>
    </row>
    <row r="660" spans="1:12" x14ac:dyDescent="0.25">
      <c r="A660" s="4" t="s">
        <v>1443</v>
      </c>
      <c r="B660" s="4" t="s">
        <v>40</v>
      </c>
      <c r="C660" s="4" t="s">
        <v>21</v>
      </c>
      <c r="D660">
        <v>40</v>
      </c>
      <c r="E660" s="4" t="s">
        <v>172</v>
      </c>
      <c r="F660" s="4" t="s">
        <v>30</v>
      </c>
      <c r="G660" s="1">
        <v>45589</v>
      </c>
      <c r="H660" s="4" t="s">
        <v>1444</v>
      </c>
      <c r="I660" s="4" t="s">
        <v>280</v>
      </c>
      <c r="J660">
        <v>-35624394</v>
      </c>
      <c r="K660" s="4" t="s">
        <v>33</v>
      </c>
      <c r="L660" t="b">
        <v>0</v>
      </c>
    </row>
    <row r="661" spans="1:12" x14ac:dyDescent="0.25">
      <c r="A661" s="4" t="s">
        <v>1445</v>
      </c>
      <c r="B661" s="4" t="s">
        <v>61</v>
      </c>
      <c r="C661" s="4" t="s">
        <v>62</v>
      </c>
      <c r="D661">
        <v>25</v>
      </c>
      <c r="E661" s="4" t="s">
        <v>138</v>
      </c>
      <c r="F661" s="4" t="s">
        <v>36</v>
      </c>
      <c r="G661" s="1">
        <v>45549</v>
      </c>
      <c r="H661" s="4" t="s">
        <v>1446</v>
      </c>
      <c r="I661" s="4" t="s">
        <v>65</v>
      </c>
      <c r="J661">
        <v>-8739592322</v>
      </c>
      <c r="K661" s="4" t="s">
        <v>33</v>
      </c>
      <c r="L661" t="b">
        <v>0</v>
      </c>
    </row>
    <row r="662" spans="1:12" x14ac:dyDescent="0.25">
      <c r="A662" s="4" t="s">
        <v>1447</v>
      </c>
      <c r="B662" s="4" t="s">
        <v>40</v>
      </c>
      <c r="C662" s="4" t="s">
        <v>47</v>
      </c>
      <c r="D662">
        <v>35</v>
      </c>
      <c r="E662" s="4" t="s">
        <v>172</v>
      </c>
      <c r="F662" s="4" t="s">
        <v>30</v>
      </c>
      <c r="G662" s="1">
        <v>44972</v>
      </c>
      <c r="H662" s="4" t="s">
        <v>1448</v>
      </c>
      <c r="I662" s="4" t="s">
        <v>214</v>
      </c>
      <c r="J662">
        <v>-4210890284</v>
      </c>
      <c r="K662" s="4" t="s">
        <v>45</v>
      </c>
      <c r="L662" t="b">
        <v>1</v>
      </c>
    </row>
    <row r="663" spans="1:12" x14ac:dyDescent="0.25">
      <c r="A663" s="4" t="s">
        <v>1449</v>
      </c>
      <c r="B663" s="4" t="s">
        <v>27</v>
      </c>
      <c r="C663" s="4" t="s">
        <v>41</v>
      </c>
      <c r="D663">
        <v>40</v>
      </c>
      <c r="E663" s="4" t="s">
        <v>312</v>
      </c>
      <c r="F663" s="4" t="s">
        <v>30</v>
      </c>
      <c r="G663" s="1">
        <v>45071</v>
      </c>
      <c r="H663" s="4" t="s">
        <v>1450</v>
      </c>
      <c r="I663" s="4" t="s">
        <v>431</v>
      </c>
      <c r="J663">
        <v>-1553334263</v>
      </c>
      <c r="K663" s="4" t="s">
        <v>33</v>
      </c>
      <c r="L663" t="b">
        <v>1</v>
      </c>
    </row>
    <row r="664" spans="1:12" x14ac:dyDescent="0.25">
      <c r="A664" s="4" t="s">
        <v>1451</v>
      </c>
      <c r="B664" s="4" t="s">
        <v>61</v>
      </c>
      <c r="C664" s="4" t="s">
        <v>28</v>
      </c>
      <c r="D664">
        <v>35</v>
      </c>
      <c r="E664" s="4" t="s">
        <v>172</v>
      </c>
      <c r="F664" s="4" t="s">
        <v>30</v>
      </c>
      <c r="G664" s="1">
        <v>44876</v>
      </c>
      <c r="H664" s="4" t="s">
        <v>1452</v>
      </c>
      <c r="I664" s="4" t="s">
        <v>140</v>
      </c>
      <c r="J664">
        <v>-3350271606</v>
      </c>
      <c r="K664" s="4" t="s">
        <v>25</v>
      </c>
      <c r="L664" t="b">
        <v>0</v>
      </c>
    </row>
    <row r="665" spans="1:12" x14ac:dyDescent="0.25">
      <c r="A665" s="4" t="s">
        <v>1453</v>
      </c>
      <c r="B665" s="4" t="s">
        <v>13</v>
      </c>
      <c r="C665" s="4" t="s">
        <v>106</v>
      </c>
      <c r="D665">
        <v>40</v>
      </c>
      <c r="E665" s="4" t="s">
        <v>210</v>
      </c>
      <c r="F665" s="4" t="s">
        <v>36</v>
      </c>
      <c r="G665" s="1">
        <v>45124</v>
      </c>
      <c r="H665" s="4" t="s">
        <v>1454</v>
      </c>
      <c r="I665" s="4" t="s">
        <v>108</v>
      </c>
      <c r="J665">
        <v>-3607763368</v>
      </c>
      <c r="K665" s="4" t="s">
        <v>25</v>
      </c>
      <c r="L665" t="b">
        <v>1</v>
      </c>
    </row>
    <row r="666" spans="1:12" x14ac:dyDescent="0.25">
      <c r="A666" s="4" t="s">
        <v>1455</v>
      </c>
      <c r="B666" s="4" t="s">
        <v>40</v>
      </c>
      <c r="C666" s="4" t="s">
        <v>142</v>
      </c>
      <c r="D666">
        <v>40</v>
      </c>
      <c r="E666" s="4" t="s">
        <v>91</v>
      </c>
      <c r="F666" s="4" t="s">
        <v>30</v>
      </c>
      <c r="G666" s="1">
        <v>44659</v>
      </c>
      <c r="H666" s="4" t="s">
        <v>1456</v>
      </c>
      <c r="I666" s="4" t="s">
        <v>163</v>
      </c>
      <c r="J666">
        <v>-1128981230</v>
      </c>
      <c r="K666" s="4" t="s">
        <v>19</v>
      </c>
      <c r="L666" t="b">
        <v>0</v>
      </c>
    </row>
    <row r="667" spans="1:12" x14ac:dyDescent="0.25">
      <c r="A667" s="4" t="s">
        <v>1457</v>
      </c>
      <c r="B667" s="4" t="s">
        <v>61</v>
      </c>
      <c r="C667" s="4" t="s">
        <v>28</v>
      </c>
      <c r="D667">
        <v>35</v>
      </c>
      <c r="E667" s="4" t="s">
        <v>138</v>
      </c>
      <c r="F667" s="4" t="s">
        <v>36</v>
      </c>
      <c r="G667" s="1">
        <v>45168</v>
      </c>
      <c r="H667" s="4" t="s">
        <v>1458</v>
      </c>
      <c r="I667" s="4" t="s">
        <v>140</v>
      </c>
      <c r="J667">
        <v>-7955633184</v>
      </c>
      <c r="K667" s="4" t="s">
        <v>25</v>
      </c>
      <c r="L667" t="b">
        <v>0</v>
      </c>
    </row>
    <row r="668" spans="1:12" x14ac:dyDescent="0.25">
      <c r="A668" s="4" t="s">
        <v>1459</v>
      </c>
      <c r="B668" s="4" t="s">
        <v>80</v>
      </c>
      <c r="C668" s="4" t="s">
        <v>106</v>
      </c>
      <c r="D668">
        <v>35</v>
      </c>
      <c r="E668" s="4" t="s">
        <v>81</v>
      </c>
      <c r="F668" s="4" t="s">
        <v>30</v>
      </c>
      <c r="G668" s="1">
        <v>45033</v>
      </c>
      <c r="H668" s="4" t="s">
        <v>1460</v>
      </c>
      <c r="I668" s="4" t="s">
        <v>197</v>
      </c>
      <c r="J668">
        <v>-7481700665</v>
      </c>
      <c r="K668" s="4" t="s">
        <v>45</v>
      </c>
      <c r="L668" t="b">
        <v>1</v>
      </c>
    </row>
    <row r="669" spans="1:12" x14ac:dyDescent="0.25">
      <c r="A669" s="4" t="s">
        <v>1461</v>
      </c>
      <c r="B669" s="4" t="s">
        <v>61</v>
      </c>
      <c r="C669" s="4" t="s">
        <v>21</v>
      </c>
      <c r="D669">
        <v>30</v>
      </c>
      <c r="E669" s="4" t="s">
        <v>68</v>
      </c>
      <c r="F669" s="4" t="s">
        <v>30</v>
      </c>
      <c r="G669" s="1">
        <v>44311</v>
      </c>
      <c r="H669" s="4" t="s">
        <v>1462</v>
      </c>
      <c r="I669" s="4" t="s">
        <v>147</v>
      </c>
      <c r="J669">
        <v>-1554164315</v>
      </c>
      <c r="K669" s="4" t="s">
        <v>25</v>
      </c>
      <c r="L669" t="b">
        <v>0</v>
      </c>
    </row>
    <row r="670" spans="1:12" x14ac:dyDescent="0.25">
      <c r="A670" s="4" t="s">
        <v>1463</v>
      </c>
      <c r="B670" s="4" t="s">
        <v>13</v>
      </c>
      <c r="C670" s="4" t="s">
        <v>28</v>
      </c>
      <c r="D670">
        <v>30</v>
      </c>
      <c r="E670" s="4" t="s">
        <v>244</v>
      </c>
      <c r="F670" s="4" t="s">
        <v>16</v>
      </c>
      <c r="G670" s="1">
        <v>44026</v>
      </c>
      <c r="H670" s="4" t="s">
        <v>1464</v>
      </c>
      <c r="I670" s="4" t="s">
        <v>56</v>
      </c>
      <c r="J670">
        <v>-7045023289</v>
      </c>
      <c r="K670" s="4" t="s">
        <v>25</v>
      </c>
      <c r="L670" t="b">
        <v>0</v>
      </c>
    </row>
    <row r="671" spans="1:12" x14ac:dyDescent="0.25">
      <c r="A671" s="4" t="s">
        <v>1465</v>
      </c>
      <c r="B671" s="4" t="s">
        <v>27</v>
      </c>
      <c r="C671" s="4" t="s">
        <v>14</v>
      </c>
      <c r="D671">
        <v>25</v>
      </c>
      <c r="E671" s="4" t="s">
        <v>309</v>
      </c>
      <c r="F671" s="4" t="s">
        <v>16</v>
      </c>
      <c r="G671" s="1">
        <v>44043</v>
      </c>
      <c r="H671" s="4" t="s">
        <v>1466</v>
      </c>
      <c r="I671" s="4" t="s">
        <v>191</v>
      </c>
      <c r="J671">
        <v>-2822700933</v>
      </c>
      <c r="K671" s="4" t="s">
        <v>45</v>
      </c>
      <c r="L671" t="b">
        <v>0</v>
      </c>
    </row>
    <row r="672" spans="1:12" x14ac:dyDescent="0.25">
      <c r="A672" s="4" t="s">
        <v>1467</v>
      </c>
      <c r="B672" s="4" t="s">
        <v>80</v>
      </c>
      <c r="C672" s="4" t="s">
        <v>142</v>
      </c>
      <c r="D672">
        <v>35</v>
      </c>
      <c r="E672" s="4" t="s">
        <v>233</v>
      </c>
      <c r="F672" s="4" t="s">
        <v>30</v>
      </c>
      <c r="G672" s="1">
        <v>44412</v>
      </c>
      <c r="H672" s="4" t="s">
        <v>1468</v>
      </c>
      <c r="I672" s="4" t="s">
        <v>160</v>
      </c>
      <c r="J672">
        <v>-5962622821</v>
      </c>
      <c r="K672" s="4" t="s">
        <v>33</v>
      </c>
      <c r="L672" t="b">
        <v>0</v>
      </c>
    </row>
    <row r="673" spans="1:12" x14ac:dyDescent="0.25">
      <c r="A673" s="4" t="s">
        <v>1469</v>
      </c>
      <c r="B673" s="4" t="s">
        <v>61</v>
      </c>
      <c r="C673" s="4" t="s">
        <v>106</v>
      </c>
      <c r="D673">
        <v>25</v>
      </c>
      <c r="E673" s="4" t="s">
        <v>98</v>
      </c>
      <c r="F673" s="4" t="s">
        <v>36</v>
      </c>
      <c r="G673" s="1">
        <v>45593</v>
      </c>
      <c r="H673" s="4" t="s">
        <v>1470</v>
      </c>
      <c r="I673" s="4" t="s">
        <v>607</v>
      </c>
      <c r="J673">
        <v>-5120734653</v>
      </c>
      <c r="K673" s="4" t="s">
        <v>33</v>
      </c>
      <c r="L673" t="b">
        <v>1</v>
      </c>
    </row>
    <row r="674" spans="1:12" x14ac:dyDescent="0.25">
      <c r="A674" s="4" t="s">
        <v>1471</v>
      </c>
      <c r="B674" s="4" t="s">
        <v>75</v>
      </c>
      <c r="C674" s="4" t="s">
        <v>106</v>
      </c>
      <c r="E674" s="4" t="s">
        <v>229</v>
      </c>
      <c r="F674" s="4" t="s">
        <v>36</v>
      </c>
      <c r="G674" s="1">
        <v>44107</v>
      </c>
      <c r="H674" s="4" t="s">
        <v>1472</v>
      </c>
      <c r="I674" s="4" t="s">
        <v>153</v>
      </c>
      <c r="J674">
        <v>-9500507025</v>
      </c>
      <c r="K674" s="4" t="s">
        <v>45</v>
      </c>
      <c r="L674" t="b">
        <v>0</v>
      </c>
    </row>
    <row r="675" spans="1:12" x14ac:dyDescent="0.25">
      <c r="A675" s="4" t="s">
        <v>1473</v>
      </c>
      <c r="B675" s="4" t="s">
        <v>61</v>
      </c>
      <c r="C675" s="4" t="s">
        <v>106</v>
      </c>
      <c r="E675" s="4" t="s">
        <v>87</v>
      </c>
      <c r="F675" s="4" t="s">
        <v>30</v>
      </c>
      <c r="G675" s="1">
        <v>45364</v>
      </c>
      <c r="H675" s="4" t="s">
        <v>1474</v>
      </c>
      <c r="I675" s="4" t="s">
        <v>607</v>
      </c>
      <c r="J675">
        <v>-869822104</v>
      </c>
      <c r="K675" s="4" t="s">
        <v>19</v>
      </c>
      <c r="L675" t="b">
        <v>0</v>
      </c>
    </row>
    <row r="676" spans="1:12" x14ac:dyDescent="0.25">
      <c r="A676" s="4" t="s">
        <v>1475</v>
      </c>
      <c r="B676" s="4" t="s">
        <v>35</v>
      </c>
      <c r="C676" s="4" t="s">
        <v>21</v>
      </c>
      <c r="D676">
        <v>35</v>
      </c>
      <c r="E676" s="4" t="s">
        <v>309</v>
      </c>
      <c r="F676" s="4" t="s">
        <v>16</v>
      </c>
      <c r="G676" s="1">
        <v>45479</v>
      </c>
      <c r="H676" s="4" t="s">
        <v>1476</v>
      </c>
      <c r="I676" s="4" t="s">
        <v>183</v>
      </c>
      <c r="J676">
        <v>-3161177686</v>
      </c>
      <c r="K676" s="4" t="s">
        <v>25</v>
      </c>
      <c r="L676" t="b">
        <v>0</v>
      </c>
    </row>
    <row r="677" spans="1:12" x14ac:dyDescent="0.25">
      <c r="A677" s="4" t="s">
        <v>1477</v>
      </c>
      <c r="B677" s="4" t="s">
        <v>80</v>
      </c>
      <c r="C677" s="4" t="s">
        <v>28</v>
      </c>
      <c r="D677">
        <v>35</v>
      </c>
      <c r="E677" s="4" t="s">
        <v>138</v>
      </c>
      <c r="F677" s="4" t="s">
        <v>16</v>
      </c>
      <c r="G677" s="1">
        <v>43831</v>
      </c>
      <c r="H677" s="4" t="s">
        <v>1478</v>
      </c>
      <c r="I677" s="4" t="s">
        <v>89</v>
      </c>
      <c r="J677">
        <v>-2904774257</v>
      </c>
      <c r="K677" s="4" t="s">
        <v>45</v>
      </c>
      <c r="L677" t="b">
        <v>1</v>
      </c>
    </row>
    <row r="678" spans="1:12" x14ac:dyDescent="0.25">
      <c r="A678" s="4" t="s">
        <v>1479</v>
      </c>
      <c r="B678" s="4" t="s">
        <v>61</v>
      </c>
      <c r="C678" s="4" t="s">
        <v>21</v>
      </c>
      <c r="D678">
        <v>35</v>
      </c>
      <c r="E678" s="4" t="s">
        <v>251</v>
      </c>
      <c r="F678" s="4" t="s">
        <v>30</v>
      </c>
      <c r="G678" s="1">
        <v>43848</v>
      </c>
      <c r="H678" s="4" t="s">
        <v>1480</v>
      </c>
      <c r="I678" s="4" t="s">
        <v>147</v>
      </c>
      <c r="J678">
        <v>-5917793237</v>
      </c>
      <c r="K678" s="4" t="s">
        <v>25</v>
      </c>
      <c r="L678" t="b">
        <v>0</v>
      </c>
    </row>
    <row r="679" spans="1:12" x14ac:dyDescent="0.25">
      <c r="A679" s="4" t="s">
        <v>1481</v>
      </c>
      <c r="B679" s="4" t="s">
        <v>75</v>
      </c>
      <c r="C679" s="4" t="s">
        <v>47</v>
      </c>
      <c r="D679">
        <v>35</v>
      </c>
      <c r="E679" s="4" t="s">
        <v>42</v>
      </c>
      <c r="F679" s="4" t="s">
        <v>36</v>
      </c>
      <c r="G679" s="1">
        <v>45053</v>
      </c>
      <c r="H679" s="4" t="s">
        <v>322</v>
      </c>
      <c r="I679" s="4" t="s">
        <v>300</v>
      </c>
      <c r="J679">
        <v>-2231164912</v>
      </c>
      <c r="K679" s="4" t="s">
        <v>19</v>
      </c>
      <c r="L679" t="b">
        <v>1</v>
      </c>
    </row>
    <row r="680" spans="1:12" x14ac:dyDescent="0.25">
      <c r="A680" s="4" t="s">
        <v>1482</v>
      </c>
      <c r="B680" s="4" t="s">
        <v>40</v>
      </c>
      <c r="C680" s="4" t="s">
        <v>62</v>
      </c>
      <c r="D680">
        <v>30</v>
      </c>
      <c r="E680" s="4" t="s">
        <v>309</v>
      </c>
      <c r="F680" s="4" t="s">
        <v>36</v>
      </c>
      <c r="G680" s="1">
        <v>44639</v>
      </c>
      <c r="H680" s="4" t="s">
        <v>1483</v>
      </c>
      <c r="I680" s="4" t="s">
        <v>316</v>
      </c>
      <c r="J680">
        <v>-3424579888</v>
      </c>
      <c r="K680" s="4" t="s">
        <v>25</v>
      </c>
      <c r="L680" t="b">
        <v>1</v>
      </c>
    </row>
    <row r="681" spans="1:12" x14ac:dyDescent="0.25">
      <c r="A681" s="4" t="s">
        <v>1484</v>
      </c>
      <c r="B681" s="4" t="s">
        <v>80</v>
      </c>
      <c r="C681" s="4" t="s">
        <v>62</v>
      </c>
      <c r="D681">
        <v>40</v>
      </c>
      <c r="E681" s="4" t="s">
        <v>138</v>
      </c>
      <c r="F681" s="4" t="s">
        <v>16</v>
      </c>
      <c r="G681" s="1">
        <v>44695</v>
      </c>
      <c r="H681" s="4" t="s">
        <v>1485</v>
      </c>
      <c r="I681" s="4" t="s">
        <v>150</v>
      </c>
      <c r="J681">
        <v>-4256529059</v>
      </c>
      <c r="K681" s="4" t="s">
        <v>45</v>
      </c>
      <c r="L681" t="b">
        <v>0</v>
      </c>
    </row>
    <row r="682" spans="1:12" x14ac:dyDescent="0.25">
      <c r="A682" s="4" t="s">
        <v>1486</v>
      </c>
      <c r="B682" s="4" t="s">
        <v>35</v>
      </c>
      <c r="C682" s="4" t="s">
        <v>47</v>
      </c>
      <c r="D682">
        <v>35</v>
      </c>
      <c r="E682" s="4" t="s">
        <v>386</v>
      </c>
      <c r="F682" s="4" t="s">
        <v>30</v>
      </c>
      <c r="G682" s="1">
        <v>45487</v>
      </c>
      <c r="H682" s="4" t="s">
        <v>1487</v>
      </c>
      <c r="I682" s="4" t="s">
        <v>346</v>
      </c>
      <c r="J682">
        <v>-3202032649</v>
      </c>
      <c r="K682" s="4" t="s">
        <v>25</v>
      </c>
      <c r="L682" t="b">
        <v>0</v>
      </c>
    </row>
    <row r="683" spans="1:12" x14ac:dyDescent="0.25">
      <c r="A683" s="4" t="s">
        <v>1488</v>
      </c>
      <c r="B683" s="4" t="s">
        <v>13</v>
      </c>
      <c r="C683" s="4" t="s">
        <v>28</v>
      </c>
      <c r="D683">
        <v>30</v>
      </c>
      <c r="E683" s="4" t="s">
        <v>138</v>
      </c>
      <c r="F683" s="4" t="s">
        <v>16</v>
      </c>
      <c r="G683" s="1">
        <v>45135</v>
      </c>
      <c r="H683" s="4" t="s">
        <v>1489</v>
      </c>
      <c r="I683" s="4" t="s">
        <v>56</v>
      </c>
      <c r="J683">
        <v>-9775396736</v>
      </c>
      <c r="K683" s="4" t="s">
        <v>33</v>
      </c>
      <c r="L683" t="b">
        <v>1</v>
      </c>
    </row>
    <row r="684" spans="1:12" x14ac:dyDescent="0.25">
      <c r="A684" s="4" t="s">
        <v>1490</v>
      </c>
      <c r="B684" s="4" t="s">
        <v>75</v>
      </c>
      <c r="C684" s="4" t="s">
        <v>14</v>
      </c>
      <c r="D684">
        <v>30</v>
      </c>
      <c r="E684" s="4" t="s">
        <v>165</v>
      </c>
      <c r="F684" s="4" t="s">
        <v>16</v>
      </c>
      <c r="G684" s="1">
        <v>43932</v>
      </c>
      <c r="H684" s="4" t="s">
        <v>1491</v>
      </c>
      <c r="I684" s="4" t="s">
        <v>469</v>
      </c>
      <c r="J684">
        <v>-9487148551</v>
      </c>
      <c r="K684" s="4" t="s">
        <v>19</v>
      </c>
      <c r="L684" t="b">
        <v>0</v>
      </c>
    </row>
    <row r="685" spans="1:12" x14ac:dyDescent="0.25">
      <c r="A685" s="4" t="s">
        <v>1492</v>
      </c>
      <c r="B685" s="4" t="s">
        <v>13</v>
      </c>
      <c r="C685" s="4" t="s">
        <v>21</v>
      </c>
      <c r="D685">
        <v>35</v>
      </c>
      <c r="E685" s="4" t="s">
        <v>76</v>
      </c>
      <c r="F685" s="4" t="s">
        <v>30</v>
      </c>
      <c r="G685" s="1">
        <v>44728</v>
      </c>
      <c r="H685" s="4" t="s">
        <v>1493</v>
      </c>
      <c r="I685" s="4" t="s">
        <v>24</v>
      </c>
      <c r="J685">
        <v>-4578715840</v>
      </c>
      <c r="K685" s="4" t="s">
        <v>19</v>
      </c>
      <c r="L685" t="b">
        <v>1</v>
      </c>
    </row>
    <row r="686" spans="1:12" x14ac:dyDescent="0.25">
      <c r="A686" s="4" t="s">
        <v>1494</v>
      </c>
      <c r="B686" s="4" t="s">
        <v>61</v>
      </c>
      <c r="C686" s="4" t="s">
        <v>142</v>
      </c>
      <c r="D686">
        <v>25</v>
      </c>
      <c r="E686" s="4" t="s">
        <v>267</v>
      </c>
      <c r="F686" s="4" t="s">
        <v>36</v>
      </c>
      <c r="G686" s="1">
        <v>44691</v>
      </c>
      <c r="H686" s="4" t="s">
        <v>1495</v>
      </c>
      <c r="I686" s="4" t="s">
        <v>231</v>
      </c>
      <c r="J686">
        <v>-5608213710</v>
      </c>
      <c r="K686" s="4" t="s">
        <v>19</v>
      </c>
      <c r="L686" t="b">
        <v>1</v>
      </c>
    </row>
    <row r="687" spans="1:12" x14ac:dyDescent="0.25">
      <c r="A687" s="4" t="s">
        <v>1496</v>
      </c>
      <c r="B687" s="4" t="s">
        <v>40</v>
      </c>
      <c r="C687" s="4" t="s">
        <v>106</v>
      </c>
      <c r="D687">
        <v>40</v>
      </c>
      <c r="E687" s="4" t="s">
        <v>278</v>
      </c>
      <c r="F687" s="4" t="s">
        <v>36</v>
      </c>
      <c r="G687" s="1">
        <v>43995</v>
      </c>
      <c r="H687" s="4" t="s">
        <v>1497</v>
      </c>
      <c r="I687" s="4" t="s">
        <v>128</v>
      </c>
      <c r="J687">
        <v>-8425476817</v>
      </c>
      <c r="K687" s="4" t="s">
        <v>45</v>
      </c>
      <c r="L687" t="b">
        <v>0</v>
      </c>
    </row>
    <row r="688" spans="1:12" x14ac:dyDescent="0.25">
      <c r="A688" s="4" t="s">
        <v>1498</v>
      </c>
      <c r="B688" s="4" t="s">
        <v>27</v>
      </c>
      <c r="C688" s="4" t="s">
        <v>106</v>
      </c>
      <c r="D688">
        <v>35</v>
      </c>
      <c r="E688" s="4" t="s">
        <v>22</v>
      </c>
      <c r="F688" s="4" t="s">
        <v>30</v>
      </c>
      <c r="G688" s="1">
        <v>44793</v>
      </c>
      <c r="H688" s="4" t="s">
        <v>1499</v>
      </c>
      <c r="I688" s="4" t="s">
        <v>194</v>
      </c>
      <c r="J688">
        <v>-2683230357</v>
      </c>
      <c r="K688" s="4" t="s">
        <v>19</v>
      </c>
      <c r="L688" t="b">
        <v>0</v>
      </c>
    </row>
    <row r="689" spans="1:12" x14ac:dyDescent="0.25">
      <c r="A689" s="4" t="s">
        <v>1500</v>
      </c>
      <c r="B689" s="4" t="s">
        <v>35</v>
      </c>
      <c r="C689" s="4" t="s">
        <v>28</v>
      </c>
      <c r="D689">
        <v>40</v>
      </c>
      <c r="E689" s="4" t="s">
        <v>187</v>
      </c>
      <c r="F689" s="4" t="s">
        <v>30</v>
      </c>
      <c r="G689" s="1">
        <v>44340</v>
      </c>
      <c r="H689" s="4" t="s">
        <v>1501</v>
      </c>
      <c r="I689" s="4" t="s">
        <v>323</v>
      </c>
      <c r="J689">
        <v>-9298808582</v>
      </c>
      <c r="K689" s="4" t="s">
        <v>33</v>
      </c>
      <c r="L689" t="b">
        <v>1</v>
      </c>
    </row>
    <row r="690" spans="1:12" x14ac:dyDescent="0.25">
      <c r="A690" s="4" t="s">
        <v>1502</v>
      </c>
      <c r="B690" s="4" t="s">
        <v>67</v>
      </c>
      <c r="C690" s="4" t="s">
        <v>14</v>
      </c>
      <c r="D690">
        <v>25</v>
      </c>
      <c r="E690" s="4" t="s">
        <v>244</v>
      </c>
      <c r="F690" s="4" t="s">
        <v>30</v>
      </c>
      <c r="G690" s="1">
        <v>45409</v>
      </c>
      <c r="H690" s="4" t="s">
        <v>1503</v>
      </c>
      <c r="I690" s="4" t="s">
        <v>73</v>
      </c>
      <c r="J690">
        <v>-8252129327</v>
      </c>
      <c r="K690" s="4" t="s">
        <v>45</v>
      </c>
      <c r="L690" t="b">
        <v>1</v>
      </c>
    </row>
    <row r="691" spans="1:12" x14ac:dyDescent="0.25">
      <c r="A691" s="4" t="s">
        <v>1504</v>
      </c>
      <c r="B691" s="4" t="s">
        <v>67</v>
      </c>
      <c r="C691" s="4" t="s">
        <v>62</v>
      </c>
      <c r="D691">
        <v>40</v>
      </c>
      <c r="E691" s="4" t="s">
        <v>116</v>
      </c>
      <c r="F691" s="4" t="s">
        <v>36</v>
      </c>
      <c r="G691" s="1">
        <v>44492</v>
      </c>
      <c r="H691" s="4" t="s">
        <v>1505</v>
      </c>
      <c r="I691" s="4" t="s">
        <v>257</v>
      </c>
      <c r="J691">
        <v>-9634064685</v>
      </c>
      <c r="K691" s="4" t="s">
        <v>33</v>
      </c>
      <c r="L691" t="b">
        <v>1</v>
      </c>
    </row>
    <row r="692" spans="1:12" x14ac:dyDescent="0.25">
      <c r="A692" s="4" t="s">
        <v>1506</v>
      </c>
      <c r="B692" s="4" t="s">
        <v>13</v>
      </c>
      <c r="C692" s="4" t="s">
        <v>62</v>
      </c>
      <c r="D692">
        <v>35</v>
      </c>
      <c r="E692" s="4" t="s">
        <v>116</v>
      </c>
      <c r="F692" s="4" t="s">
        <v>36</v>
      </c>
      <c r="G692" s="1">
        <v>44237</v>
      </c>
      <c r="H692" s="4" t="s">
        <v>1507</v>
      </c>
      <c r="I692" s="4" t="s">
        <v>237</v>
      </c>
      <c r="J692">
        <v>-7752401483</v>
      </c>
      <c r="K692" s="4" t="s">
        <v>25</v>
      </c>
      <c r="L692" t="b">
        <v>1</v>
      </c>
    </row>
    <row r="693" spans="1:12" x14ac:dyDescent="0.25">
      <c r="A693" s="4" t="s">
        <v>1508</v>
      </c>
      <c r="B693" s="4" t="s">
        <v>67</v>
      </c>
      <c r="C693" s="4" t="s">
        <v>106</v>
      </c>
      <c r="D693">
        <v>25</v>
      </c>
      <c r="E693" s="4" t="s">
        <v>29</v>
      </c>
      <c r="F693" s="4" t="s">
        <v>36</v>
      </c>
      <c r="G693" s="1">
        <v>44495</v>
      </c>
      <c r="H693" s="4" t="s">
        <v>1509</v>
      </c>
      <c r="I693" s="4" t="s">
        <v>124</v>
      </c>
      <c r="J693">
        <v>-3991062271</v>
      </c>
      <c r="K693" s="4" t="s">
        <v>25</v>
      </c>
      <c r="L693" t="b">
        <v>0</v>
      </c>
    </row>
    <row r="694" spans="1:12" x14ac:dyDescent="0.25">
      <c r="A694" s="4" t="s">
        <v>1510</v>
      </c>
      <c r="B694" s="4" t="s">
        <v>13</v>
      </c>
      <c r="C694" s="4" t="s">
        <v>28</v>
      </c>
      <c r="D694">
        <v>40</v>
      </c>
      <c r="E694" s="4" t="s">
        <v>120</v>
      </c>
      <c r="F694" s="4" t="s">
        <v>16</v>
      </c>
      <c r="G694" s="1">
        <v>45021</v>
      </c>
      <c r="H694" s="4" t="s">
        <v>1511</v>
      </c>
      <c r="I694" s="4" t="s">
        <v>56</v>
      </c>
      <c r="J694">
        <v>-3626693350</v>
      </c>
      <c r="K694" s="4" t="s">
        <v>25</v>
      </c>
      <c r="L694" t="b">
        <v>0</v>
      </c>
    </row>
    <row r="695" spans="1:12" x14ac:dyDescent="0.25">
      <c r="A695" s="4" t="s">
        <v>1512</v>
      </c>
      <c r="B695" s="4" t="s">
        <v>61</v>
      </c>
      <c r="C695" s="4" t="s">
        <v>21</v>
      </c>
      <c r="D695">
        <v>35</v>
      </c>
      <c r="E695" s="4" t="s">
        <v>68</v>
      </c>
      <c r="F695" s="4" t="s">
        <v>16</v>
      </c>
      <c r="G695" s="1">
        <v>44854</v>
      </c>
      <c r="H695" s="4" t="s">
        <v>1513</v>
      </c>
      <c r="I695" s="4" t="s">
        <v>147</v>
      </c>
      <c r="J695">
        <v>-3426192371</v>
      </c>
      <c r="K695" s="4" t="s">
        <v>25</v>
      </c>
      <c r="L695" t="b">
        <v>0</v>
      </c>
    </row>
    <row r="696" spans="1:12" x14ac:dyDescent="0.25">
      <c r="A696" s="4" t="s">
        <v>1514</v>
      </c>
      <c r="B696" s="4" t="s">
        <v>27</v>
      </c>
      <c r="C696" s="4" t="s">
        <v>62</v>
      </c>
      <c r="D696">
        <v>25</v>
      </c>
      <c r="E696" s="4" t="s">
        <v>175</v>
      </c>
      <c r="F696" s="4" t="s">
        <v>16</v>
      </c>
      <c r="G696" s="1">
        <v>45267</v>
      </c>
      <c r="H696" s="4" t="s">
        <v>1515</v>
      </c>
      <c r="I696" s="4" t="s">
        <v>177</v>
      </c>
      <c r="J696">
        <v>-4501848196</v>
      </c>
      <c r="K696" s="4" t="s">
        <v>33</v>
      </c>
      <c r="L696" t="b">
        <v>0</v>
      </c>
    </row>
    <row r="697" spans="1:12" x14ac:dyDescent="0.25">
      <c r="A697" s="4" t="s">
        <v>1516</v>
      </c>
      <c r="B697" s="4" t="s">
        <v>75</v>
      </c>
      <c r="C697" s="4" t="s">
        <v>21</v>
      </c>
      <c r="D697">
        <v>30</v>
      </c>
      <c r="E697" s="4" t="s">
        <v>229</v>
      </c>
      <c r="F697" s="4" t="s">
        <v>30</v>
      </c>
      <c r="G697" s="1">
        <v>45380</v>
      </c>
      <c r="H697" s="4" t="s">
        <v>1517</v>
      </c>
      <c r="I697" s="4" t="s">
        <v>480</v>
      </c>
      <c r="J697">
        <v>-3741897214</v>
      </c>
      <c r="K697" s="4" t="s">
        <v>45</v>
      </c>
      <c r="L697" t="b">
        <v>0</v>
      </c>
    </row>
    <row r="698" spans="1:12" x14ac:dyDescent="0.25">
      <c r="A698" s="4" t="s">
        <v>1518</v>
      </c>
      <c r="B698" s="4" t="s">
        <v>67</v>
      </c>
      <c r="C698" s="4" t="s">
        <v>14</v>
      </c>
      <c r="D698">
        <v>25</v>
      </c>
      <c r="E698" s="4" t="s">
        <v>270</v>
      </c>
      <c r="F698" s="4" t="s">
        <v>36</v>
      </c>
      <c r="G698" s="1">
        <v>45314</v>
      </c>
      <c r="H698" s="4" t="s">
        <v>1519</v>
      </c>
      <c r="I698" s="4" t="s">
        <v>73</v>
      </c>
      <c r="J698">
        <v>-4064176926</v>
      </c>
      <c r="K698" s="4" t="s">
        <v>45</v>
      </c>
      <c r="L698" t="b">
        <v>1</v>
      </c>
    </row>
    <row r="699" spans="1:12" x14ac:dyDescent="0.25">
      <c r="A699" s="4" t="s">
        <v>1520</v>
      </c>
      <c r="B699" s="4" t="s">
        <v>75</v>
      </c>
      <c r="C699" s="4" t="s">
        <v>62</v>
      </c>
      <c r="D699">
        <v>40</v>
      </c>
      <c r="E699" s="4" t="s">
        <v>210</v>
      </c>
      <c r="F699" s="4" t="s">
        <v>30</v>
      </c>
      <c r="G699" s="1">
        <v>45258</v>
      </c>
      <c r="H699" s="4" t="s">
        <v>1521</v>
      </c>
      <c r="I699" s="4" t="s">
        <v>132</v>
      </c>
      <c r="J699">
        <v>-4381199536</v>
      </c>
      <c r="K699" s="4" t="s">
        <v>19</v>
      </c>
      <c r="L699" t="b">
        <v>0</v>
      </c>
    </row>
    <row r="700" spans="1:12" x14ac:dyDescent="0.25">
      <c r="A700" s="4" t="s">
        <v>1522</v>
      </c>
      <c r="B700" s="4" t="s">
        <v>40</v>
      </c>
      <c r="C700" s="4" t="s">
        <v>62</v>
      </c>
      <c r="D700">
        <v>35</v>
      </c>
      <c r="E700" s="4" t="s">
        <v>270</v>
      </c>
      <c r="F700" s="4" t="s">
        <v>36</v>
      </c>
      <c r="G700" s="1">
        <v>45607</v>
      </c>
      <c r="H700" s="4" t="s">
        <v>1523</v>
      </c>
      <c r="I700" s="4" t="s">
        <v>316</v>
      </c>
      <c r="J700">
        <v>-6601444855</v>
      </c>
      <c r="K700" s="4" t="s">
        <v>33</v>
      </c>
      <c r="L700" t="b">
        <v>0</v>
      </c>
    </row>
    <row r="701" spans="1:12" x14ac:dyDescent="0.25">
      <c r="A701" s="4" t="s">
        <v>1524</v>
      </c>
      <c r="B701" s="4" t="s">
        <v>61</v>
      </c>
      <c r="C701" s="4" t="s">
        <v>41</v>
      </c>
      <c r="D701">
        <v>25</v>
      </c>
      <c r="E701" s="4" t="s">
        <v>126</v>
      </c>
      <c r="F701" s="4" t="s">
        <v>36</v>
      </c>
      <c r="G701" s="1">
        <v>44436</v>
      </c>
      <c r="H701" s="4" t="s">
        <v>1525</v>
      </c>
      <c r="I701" s="4" t="s">
        <v>104</v>
      </c>
      <c r="J701">
        <v>-4510173972</v>
      </c>
      <c r="K701" s="4" t="s">
        <v>25</v>
      </c>
      <c r="L701" t="b">
        <v>0</v>
      </c>
    </row>
    <row r="702" spans="1:12" x14ac:dyDescent="0.25">
      <c r="A702" s="4" t="s">
        <v>1526</v>
      </c>
      <c r="B702" s="4" t="s">
        <v>75</v>
      </c>
      <c r="C702" s="4" t="s">
        <v>62</v>
      </c>
      <c r="D702">
        <v>25</v>
      </c>
      <c r="E702" s="4" t="s">
        <v>91</v>
      </c>
      <c r="F702" s="4" t="s">
        <v>36</v>
      </c>
      <c r="G702" s="1">
        <v>45333</v>
      </c>
      <c r="H702" s="4" t="s">
        <v>322</v>
      </c>
      <c r="I702" s="4" t="s">
        <v>132</v>
      </c>
      <c r="J702">
        <v>-9641789968</v>
      </c>
      <c r="K702" s="4" t="s">
        <v>33</v>
      </c>
      <c r="L702" t="b">
        <v>0</v>
      </c>
    </row>
    <row r="703" spans="1:12" x14ac:dyDescent="0.25">
      <c r="A703" s="4" t="s">
        <v>1527</v>
      </c>
      <c r="B703" s="4" t="s">
        <v>40</v>
      </c>
      <c r="C703" s="4" t="s">
        <v>47</v>
      </c>
      <c r="E703" s="4" t="s">
        <v>138</v>
      </c>
      <c r="F703" s="4" t="s">
        <v>30</v>
      </c>
      <c r="G703" s="1">
        <v>43960</v>
      </c>
      <c r="H703" s="4" t="s">
        <v>1528</v>
      </c>
      <c r="I703" s="4" t="s">
        <v>214</v>
      </c>
      <c r="J703">
        <v>-8609191910</v>
      </c>
      <c r="K703" s="4" t="s">
        <v>19</v>
      </c>
      <c r="L703" t="b">
        <v>0</v>
      </c>
    </row>
    <row r="704" spans="1:12" x14ac:dyDescent="0.25">
      <c r="A704" s="4" t="s">
        <v>1529</v>
      </c>
      <c r="B704" s="4" t="s">
        <v>80</v>
      </c>
      <c r="C704" s="4" t="s">
        <v>142</v>
      </c>
      <c r="D704">
        <v>30</v>
      </c>
      <c r="E704" s="4" t="s">
        <v>259</v>
      </c>
      <c r="F704" s="4" t="s">
        <v>36</v>
      </c>
      <c r="G704" s="1">
        <v>45399</v>
      </c>
      <c r="H704" s="4" t="s">
        <v>1530</v>
      </c>
      <c r="I704" s="4" t="s">
        <v>160</v>
      </c>
      <c r="J704">
        <v>-3599660576</v>
      </c>
      <c r="K704" s="4" t="s">
        <v>19</v>
      </c>
      <c r="L704" t="b">
        <v>1</v>
      </c>
    </row>
    <row r="705" spans="1:12" x14ac:dyDescent="0.25">
      <c r="A705" s="4" t="s">
        <v>1531</v>
      </c>
      <c r="B705" s="4" t="s">
        <v>40</v>
      </c>
      <c r="C705" s="4" t="s">
        <v>47</v>
      </c>
      <c r="D705">
        <v>40</v>
      </c>
      <c r="E705" s="4" t="s">
        <v>15</v>
      </c>
      <c r="F705" s="4" t="s">
        <v>16</v>
      </c>
      <c r="G705" s="1">
        <v>44028</v>
      </c>
      <c r="H705" s="4" t="s">
        <v>1532</v>
      </c>
      <c r="I705" s="4" t="s">
        <v>214</v>
      </c>
      <c r="J705">
        <v>-9806603919</v>
      </c>
      <c r="K705" s="4" t="s">
        <v>33</v>
      </c>
      <c r="L705" t="b">
        <v>1</v>
      </c>
    </row>
    <row r="706" spans="1:12" x14ac:dyDescent="0.25">
      <c r="A706" s="4" t="s">
        <v>1533</v>
      </c>
      <c r="B706" s="4" t="s">
        <v>61</v>
      </c>
      <c r="C706" s="4" t="s">
        <v>28</v>
      </c>
      <c r="D706">
        <v>30</v>
      </c>
      <c r="E706" s="4" t="s">
        <v>68</v>
      </c>
      <c r="F706" s="4" t="s">
        <v>16</v>
      </c>
      <c r="G706" s="1">
        <v>44825</v>
      </c>
      <c r="H706" s="4" t="s">
        <v>1534</v>
      </c>
      <c r="I706" s="4" t="s">
        <v>140</v>
      </c>
      <c r="J706">
        <v>-5146074554</v>
      </c>
      <c r="K706" s="4" t="s">
        <v>33</v>
      </c>
      <c r="L706" t="b">
        <v>1</v>
      </c>
    </row>
    <row r="707" spans="1:12" x14ac:dyDescent="0.25">
      <c r="A707" s="4" t="s">
        <v>1535</v>
      </c>
      <c r="B707" s="4" t="s">
        <v>80</v>
      </c>
      <c r="C707" s="4" t="s">
        <v>28</v>
      </c>
      <c r="D707">
        <v>40</v>
      </c>
      <c r="E707" s="4" t="s">
        <v>113</v>
      </c>
      <c r="F707" s="4" t="s">
        <v>30</v>
      </c>
      <c r="G707" s="1">
        <v>45039</v>
      </c>
      <c r="H707" s="4" t="s">
        <v>1536</v>
      </c>
      <c r="I707" s="4" t="s">
        <v>89</v>
      </c>
      <c r="J707">
        <v>-3470574237</v>
      </c>
      <c r="K707" s="4" t="s">
        <v>33</v>
      </c>
      <c r="L707" t="b">
        <v>0</v>
      </c>
    </row>
    <row r="708" spans="1:12" x14ac:dyDescent="0.25">
      <c r="A708" s="4" t="s">
        <v>1537</v>
      </c>
      <c r="B708" s="4" t="s">
        <v>13</v>
      </c>
      <c r="C708" s="4" t="s">
        <v>21</v>
      </c>
      <c r="D708">
        <v>25</v>
      </c>
      <c r="E708" s="4" t="s">
        <v>29</v>
      </c>
      <c r="F708" s="4" t="s">
        <v>36</v>
      </c>
      <c r="G708" s="1">
        <v>45653</v>
      </c>
      <c r="H708" s="4" t="s">
        <v>1538</v>
      </c>
      <c r="I708" s="4" t="s">
        <v>24</v>
      </c>
      <c r="J708">
        <v>-8565271558</v>
      </c>
      <c r="K708" s="4" t="s">
        <v>45</v>
      </c>
      <c r="L708" t="b">
        <v>1</v>
      </c>
    </row>
    <row r="709" spans="1:12" x14ac:dyDescent="0.25">
      <c r="A709" s="4" t="s">
        <v>1539</v>
      </c>
      <c r="B709" s="4" t="s">
        <v>27</v>
      </c>
      <c r="C709" s="4" t="s">
        <v>47</v>
      </c>
      <c r="D709">
        <v>35</v>
      </c>
      <c r="E709" s="4" t="s">
        <v>259</v>
      </c>
      <c r="F709" s="4" t="s">
        <v>36</v>
      </c>
      <c r="G709" s="1">
        <v>45514</v>
      </c>
      <c r="H709" s="4" t="s">
        <v>1540</v>
      </c>
      <c r="I709" s="4" t="s">
        <v>50</v>
      </c>
      <c r="J709">
        <v>-8354116596</v>
      </c>
      <c r="K709" s="4" t="s">
        <v>25</v>
      </c>
      <c r="L709" t="b">
        <v>1</v>
      </c>
    </row>
    <row r="710" spans="1:12" x14ac:dyDescent="0.25">
      <c r="A710" s="4" t="s">
        <v>1541</v>
      </c>
      <c r="B710" s="4" t="s">
        <v>35</v>
      </c>
      <c r="C710" s="4" t="s">
        <v>47</v>
      </c>
      <c r="E710" s="4" t="s">
        <v>98</v>
      </c>
      <c r="F710" s="4" t="s">
        <v>16</v>
      </c>
      <c r="G710" s="1">
        <v>45539</v>
      </c>
      <c r="H710" s="4" t="s">
        <v>1542</v>
      </c>
      <c r="I710" s="4" t="s">
        <v>346</v>
      </c>
      <c r="J710">
        <v>-2634755751</v>
      </c>
      <c r="K710" s="4" t="s">
        <v>33</v>
      </c>
      <c r="L710" t="b">
        <v>0</v>
      </c>
    </row>
    <row r="711" spans="1:12" x14ac:dyDescent="0.25">
      <c r="A711" s="4" t="s">
        <v>1543</v>
      </c>
      <c r="B711" s="4" t="s">
        <v>13</v>
      </c>
      <c r="C711" s="4" t="s">
        <v>47</v>
      </c>
      <c r="D711">
        <v>25</v>
      </c>
      <c r="E711" s="4" t="s">
        <v>63</v>
      </c>
      <c r="F711" s="4" t="s">
        <v>30</v>
      </c>
      <c r="G711" s="1">
        <v>44620</v>
      </c>
      <c r="H711" s="4" t="s">
        <v>1544</v>
      </c>
      <c r="I711" s="4" t="s">
        <v>180</v>
      </c>
      <c r="J711">
        <v>-2501394883</v>
      </c>
      <c r="K711" s="4" t="s">
        <v>33</v>
      </c>
      <c r="L711" t="b">
        <v>0</v>
      </c>
    </row>
    <row r="712" spans="1:12" x14ac:dyDescent="0.25">
      <c r="A712" s="4" t="s">
        <v>1545</v>
      </c>
      <c r="B712" s="4" t="s">
        <v>67</v>
      </c>
      <c r="C712" s="4" t="s">
        <v>14</v>
      </c>
      <c r="E712" s="4" t="s">
        <v>63</v>
      </c>
      <c r="F712" s="4" t="s">
        <v>30</v>
      </c>
      <c r="G712" s="1">
        <v>45365</v>
      </c>
      <c r="H712" s="4" t="s">
        <v>1546</v>
      </c>
      <c r="I712" s="4" t="s">
        <v>73</v>
      </c>
      <c r="J712">
        <v>-8826913118</v>
      </c>
      <c r="K712" s="4" t="s">
        <v>33</v>
      </c>
      <c r="L712" t="b">
        <v>0</v>
      </c>
    </row>
    <row r="713" spans="1:12" x14ac:dyDescent="0.25">
      <c r="A713" s="4" t="s">
        <v>1547</v>
      </c>
      <c r="B713" s="4" t="s">
        <v>40</v>
      </c>
      <c r="C713" s="4" t="s">
        <v>62</v>
      </c>
      <c r="D713">
        <v>40</v>
      </c>
      <c r="E713" s="4" t="s">
        <v>386</v>
      </c>
      <c r="F713" s="4" t="s">
        <v>36</v>
      </c>
      <c r="G713" s="1">
        <v>45639</v>
      </c>
      <c r="H713" s="4" t="s">
        <v>1548</v>
      </c>
      <c r="I713" s="4" t="s">
        <v>316</v>
      </c>
      <c r="J713">
        <v>-6425856260</v>
      </c>
      <c r="K713" s="4" t="s">
        <v>19</v>
      </c>
      <c r="L713" t="b">
        <v>1</v>
      </c>
    </row>
    <row r="714" spans="1:12" x14ac:dyDescent="0.25">
      <c r="A714" s="4" t="s">
        <v>1549</v>
      </c>
      <c r="B714" s="4" t="s">
        <v>80</v>
      </c>
      <c r="C714" s="4" t="s">
        <v>142</v>
      </c>
      <c r="E714" s="4" t="s">
        <v>175</v>
      </c>
      <c r="F714" s="4" t="s">
        <v>16</v>
      </c>
      <c r="G714" s="1">
        <v>44924</v>
      </c>
      <c r="H714" s="4" t="s">
        <v>1550</v>
      </c>
      <c r="I714" s="4" t="s">
        <v>160</v>
      </c>
      <c r="J714">
        <v>-4991537037</v>
      </c>
      <c r="K714" s="4" t="s">
        <v>19</v>
      </c>
      <c r="L714" t="b">
        <v>1</v>
      </c>
    </row>
    <row r="715" spans="1:12" x14ac:dyDescent="0.25">
      <c r="A715" s="4" t="s">
        <v>1551</v>
      </c>
      <c r="B715" s="4" t="s">
        <v>40</v>
      </c>
      <c r="C715" s="4" t="s">
        <v>21</v>
      </c>
      <c r="D715">
        <v>35</v>
      </c>
      <c r="E715" s="4" t="s">
        <v>210</v>
      </c>
      <c r="F715" s="4" t="s">
        <v>36</v>
      </c>
      <c r="G715" s="1">
        <v>44675</v>
      </c>
      <c r="H715" s="4" t="s">
        <v>1552</v>
      </c>
      <c r="I715" s="4" t="s">
        <v>280</v>
      </c>
      <c r="J715">
        <v>-2407333372</v>
      </c>
      <c r="K715" s="4" t="s">
        <v>45</v>
      </c>
      <c r="L715" t="b">
        <v>0</v>
      </c>
    </row>
    <row r="716" spans="1:12" x14ac:dyDescent="0.25">
      <c r="A716" s="4" t="s">
        <v>1553</v>
      </c>
      <c r="B716" s="4" t="s">
        <v>40</v>
      </c>
      <c r="C716" s="4" t="s">
        <v>47</v>
      </c>
      <c r="E716" s="4" t="s">
        <v>102</v>
      </c>
      <c r="F716" s="4" t="s">
        <v>30</v>
      </c>
      <c r="G716" s="1">
        <v>44269</v>
      </c>
      <c r="H716" s="4" t="s">
        <v>1554</v>
      </c>
      <c r="I716" s="4" t="s">
        <v>214</v>
      </c>
      <c r="J716">
        <v>-2043097767</v>
      </c>
      <c r="K716" s="4" t="s">
        <v>25</v>
      </c>
      <c r="L716" t="b">
        <v>0</v>
      </c>
    </row>
    <row r="717" spans="1:12" x14ac:dyDescent="0.25">
      <c r="A717" s="4" t="s">
        <v>1555</v>
      </c>
      <c r="B717" s="4" t="s">
        <v>35</v>
      </c>
      <c r="C717" s="4" t="s">
        <v>47</v>
      </c>
      <c r="D717">
        <v>35</v>
      </c>
      <c r="E717" s="4" t="s">
        <v>130</v>
      </c>
      <c r="F717" s="4" t="s">
        <v>36</v>
      </c>
      <c r="G717" s="1">
        <v>43831</v>
      </c>
      <c r="H717" s="4" t="s">
        <v>1556</v>
      </c>
      <c r="I717" s="4" t="s">
        <v>346</v>
      </c>
      <c r="J717">
        <v>-8936289695</v>
      </c>
      <c r="K717" s="4" t="s">
        <v>45</v>
      </c>
      <c r="L717" t="b">
        <v>1</v>
      </c>
    </row>
    <row r="718" spans="1:12" x14ac:dyDescent="0.25">
      <c r="A718" s="4" t="s">
        <v>1557</v>
      </c>
      <c r="B718" s="4" t="s">
        <v>27</v>
      </c>
      <c r="C718" s="4" t="s">
        <v>41</v>
      </c>
      <c r="E718" s="4" t="s">
        <v>138</v>
      </c>
      <c r="F718" s="4" t="s">
        <v>16</v>
      </c>
      <c r="G718" s="1">
        <v>44446</v>
      </c>
      <c r="H718" s="4" t="s">
        <v>1558</v>
      </c>
      <c r="I718" s="4" t="s">
        <v>431</v>
      </c>
      <c r="J718">
        <v>-4546553584</v>
      </c>
      <c r="K718" s="4" t="s">
        <v>25</v>
      </c>
      <c r="L718" t="b">
        <v>1</v>
      </c>
    </row>
    <row r="719" spans="1:12" x14ac:dyDescent="0.25">
      <c r="A719" s="4" t="s">
        <v>1559</v>
      </c>
      <c r="B719" s="4" t="s">
        <v>40</v>
      </c>
      <c r="C719" s="4" t="s">
        <v>21</v>
      </c>
      <c r="D719">
        <v>25</v>
      </c>
      <c r="E719" s="4" t="s">
        <v>15</v>
      </c>
      <c r="F719" s="4" t="s">
        <v>30</v>
      </c>
      <c r="G719" s="1">
        <v>44878</v>
      </c>
      <c r="H719" s="4" t="s">
        <v>1560</v>
      </c>
      <c r="I719" s="4" t="s">
        <v>280</v>
      </c>
      <c r="J719">
        <v>-1253892186</v>
      </c>
      <c r="K719" s="4" t="s">
        <v>19</v>
      </c>
      <c r="L719" t="b">
        <v>0</v>
      </c>
    </row>
    <row r="720" spans="1:12" x14ac:dyDescent="0.25">
      <c r="A720" s="4" t="s">
        <v>1561</v>
      </c>
      <c r="B720" s="4" t="s">
        <v>61</v>
      </c>
      <c r="C720" s="4" t="s">
        <v>47</v>
      </c>
      <c r="D720">
        <v>25</v>
      </c>
      <c r="E720" s="4" t="s">
        <v>42</v>
      </c>
      <c r="F720" s="4" t="s">
        <v>36</v>
      </c>
      <c r="G720" s="1">
        <v>44150</v>
      </c>
      <c r="H720" s="4" t="s">
        <v>1562</v>
      </c>
      <c r="I720" s="4" t="s">
        <v>100</v>
      </c>
      <c r="J720">
        <v>-8519358373</v>
      </c>
      <c r="K720" s="4" t="s">
        <v>19</v>
      </c>
      <c r="L720" t="b">
        <v>0</v>
      </c>
    </row>
    <row r="721" spans="1:12" x14ac:dyDescent="0.25">
      <c r="A721" s="4" t="s">
        <v>1563</v>
      </c>
      <c r="B721" s="4" t="s">
        <v>67</v>
      </c>
      <c r="C721" s="4" t="s">
        <v>21</v>
      </c>
      <c r="D721">
        <v>30</v>
      </c>
      <c r="E721" s="4" t="s">
        <v>172</v>
      </c>
      <c r="F721" s="4" t="s">
        <v>16</v>
      </c>
      <c r="G721" s="1">
        <v>44999</v>
      </c>
      <c r="H721" s="4" t="s">
        <v>1564</v>
      </c>
      <c r="I721" s="4" t="s">
        <v>265</v>
      </c>
      <c r="J721">
        <v>-9079779611</v>
      </c>
      <c r="K721" s="4" t="s">
        <v>19</v>
      </c>
      <c r="L721" t="b">
        <v>1</v>
      </c>
    </row>
    <row r="722" spans="1:12" x14ac:dyDescent="0.25">
      <c r="A722" s="4" t="s">
        <v>1565</v>
      </c>
      <c r="B722" s="4" t="s">
        <v>13</v>
      </c>
      <c r="C722" s="4" t="s">
        <v>62</v>
      </c>
      <c r="D722">
        <v>35</v>
      </c>
      <c r="E722" s="4" t="s">
        <v>267</v>
      </c>
      <c r="F722" s="4" t="s">
        <v>36</v>
      </c>
      <c r="G722" s="1">
        <v>45522</v>
      </c>
      <c r="H722" s="4" t="s">
        <v>1566</v>
      </c>
      <c r="I722" s="4" t="s">
        <v>237</v>
      </c>
      <c r="J722">
        <v>-878057214</v>
      </c>
      <c r="K722" s="4" t="s">
        <v>45</v>
      </c>
      <c r="L722" t="b">
        <v>0</v>
      </c>
    </row>
    <row r="723" spans="1:12" x14ac:dyDescent="0.25">
      <c r="A723" s="4" t="s">
        <v>1567</v>
      </c>
      <c r="B723" s="4" t="s">
        <v>13</v>
      </c>
      <c r="C723" s="4" t="s">
        <v>41</v>
      </c>
      <c r="E723" s="4" t="s">
        <v>15</v>
      </c>
      <c r="F723" s="4" t="s">
        <v>16</v>
      </c>
      <c r="G723" s="1">
        <v>45327</v>
      </c>
      <c r="H723" s="4" t="s">
        <v>1568</v>
      </c>
      <c r="I723" s="4" t="s">
        <v>170</v>
      </c>
      <c r="J723">
        <v>-1494097625</v>
      </c>
      <c r="K723" s="4" t="s">
        <v>33</v>
      </c>
      <c r="L723" t="b">
        <v>1</v>
      </c>
    </row>
    <row r="724" spans="1:12" x14ac:dyDescent="0.25">
      <c r="A724" s="4" t="s">
        <v>1569</v>
      </c>
      <c r="B724" s="4" t="s">
        <v>27</v>
      </c>
      <c r="C724" s="4" t="s">
        <v>21</v>
      </c>
      <c r="D724">
        <v>35</v>
      </c>
      <c r="E724" s="4" t="s">
        <v>251</v>
      </c>
      <c r="F724" s="4" t="s">
        <v>36</v>
      </c>
      <c r="G724" s="1">
        <v>45608</v>
      </c>
      <c r="H724" s="4" t="s">
        <v>1570</v>
      </c>
      <c r="I724" s="4" t="s">
        <v>93</v>
      </c>
      <c r="J724">
        <v>-3748453985</v>
      </c>
      <c r="K724" s="4" t="s">
        <v>33</v>
      </c>
      <c r="L724" t="b">
        <v>1</v>
      </c>
    </row>
    <row r="725" spans="1:12" x14ac:dyDescent="0.25">
      <c r="A725" s="4" t="s">
        <v>1571</v>
      </c>
      <c r="B725" s="4" t="s">
        <v>27</v>
      </c>
      <c r="C725" s="4" t="s">
        <v>142</v>
      </c>
      <c r="D725">
        <v>40</v>
      </c>
      <c r="E725" s="4" t="s">
        <v>312</v>
      </c>
      <c r="F725" s="4" t="s">
        <v>30</v>
      </c>
      <c r="G725" s="1">
        <v>43915</v>
      </c>
      <c r="H725" s="4" t="s">
        <v>1572</v>
      </c>
      <c r="I725" s="4" t="s">
        <v>217</v>
      </c>
      <c r="J725">
        <v>-2895090590</v>
      </c>
      <c r="K725" s="4" t="s">
        <v>19</v>
      </c>
      <c r="L725" t="b">
        <v>1</v>
      </c>
    </row>
    <row r="726" spans="1:12" x14ac:dyDescent="0.25">
      <c r="A726" s="4" t="s">
        <v>1573</v>
      </c>
      <c r="B726" s="4" t="s">
        <v>40</v>
      </c>
      <c r="C726" s="4" t="s">
        <v>142</v>
      </c>
      <c r="E726" s="4" t="s">
        <v>63</v>
      </c>
      <c r="F726" s="4" t="s">
        <v>16</v>
      </c>
      <c r="G726" s="1">
        <v>43934</v>
      </c>
      <c r="H726" s="4" t="s">
        <v>1574</v>
      </c>
      <c r="I726" s="4" t="s">
        <v>163</v>
      </c>
      <c r="J726">
        <v>-1918623391</v>
      </c>
      <c r="K726" s="4" t="s">
        <v>33</v>
      </c>
      <c r="L726" t="b">
        <v>1</v>
      </c>
    </row>
    <row r="727" spans="1:12" x14ac:dyDescent="0.25">
      <c r="A727" s="4" t="s">
        <v>1575</v>
      </c>
      <c r="B727" s="4" t="s">
        <v>75</v>
      </c>
      <c r="C727" s="4" t="s">
        <v>28</v>
      </c>
      <c r="E727" s="4" t="s">
        <v>113</v>
      </c>
      <c r="F727" s="4" t="s">
        <v>16</v>
      </c>
      <c r="G727" s="1">
        <v>44285</v>
      </c>
      <c r="H727" s="4" t="s">
        <v>1576</v>
      </c>
      <c r="I727" s="4" t="s">
        <v>375</v>
      </c>
      <c r="J727">
        <v>-2071511695</v>
      </c>
      <c r="K727" s="4" t="s">
        <v>33</v>
      </c>
      <c r="L727" t="b">
        <v>0</v>
      </c>
    </row>
    <row r="728" spans="1:12" x14ac:dyDescent="0.25">
      <c r="A728" s="4" t="s">
        <v>1577</v>
      </c>
      <c r="B728" s="4" t="s">
        <v>61</v>
      </c>
      <c r="C728" s="4" t="s">
        <v>41</v>
      </c>
      <c r="D728">
        <v>30</v>
      </c>
      <c r="E728" s="4" t="s">
        <v>165</v>
      </c>
      <c r="F728" s="4" t="s">
        <v>36</v>
      </c>
      <c r="G728" s="1">
        <v>45001</v>
      </c>
      <c r="H728" s="4" t="s">
        <v>1578</v>
      </c>
      <c r="I728" s="4" t="s">
        <v>104</v>
      </c>
      <c r="J728">
        <v>-6672521451</v>
      </c>
      <c r="K728" s="4" t="s">
        <v>45</v>
      </c>
      <c r="L728" t="b">
        <v>0</v>
      </c>
    </row>
    <row r="729" spans="1:12" x14ac:dyDescent="0.25">
      <c r="A729" s="4" t="s">
        <v>1579</v>
      </c>
      <c r="B729" s="4" t="s">
        <v>35</v>
      </c>
      <c r="C729" s="4" t="s">
        <v>41</v>
      </c>
      <c r="D729">
        <v>25</v>
      </c>
      <c r="E729" s="4" t="s">
        <v>309</v>
      </c>
      <c r="F729" s="4" t="s">
        <v>36</v>
      </c>
      <c r="G729" s="1">
        <v>45415</v>
      </c>
      <c r="H729" s="4" t="s">
        <v>1580</v>
      </c>
      <c r="I729" s="4" t="s">
        <v>167</v>
      </c>
      <c r="J729">
        <v>-6471246334</v>
      </c>
      <c r="K729" s="4" t="s">
        <v>25</v>
      </c>
      <c r="L729" t="b">
        <v>1</v>
      </c>
    </row>
    <row r="730" spans="1:12" x14ac:dyDescent="0.25">
      <c r="A730" s="4" t="s">
        <v>1581</v>
      </c>
      <c r="B730" s="4" t="s">
        <v>75</v>
      </c>
      <c r="C730" s="4" t="s">
        <v>28</v>
      </c>
      <c r="E730" s="4" t="s">
        <v>244</v>
      </c>
      <c r="F730" s="4" t="s">
        <v>36</v>
      </c>
      <c r="G730" s="1">
        <v>45166</v>
      </c>
      <c r="H730" s="4" t="s">
        <v>1582</v>
      </c>
      <c r="I730" s="4" t="s">
        <v>375</v>
      </c>
      <c r="J730">
        <v>-1571840907</v>
      </c>
      <c r="K730" s="4" t="s">
        <v>19</v>
      </c>
      <c r="L730" t="b">
        <v>1</v>
      </c>
    </row>
    <row r="731" spans="1:12" x14ac:dyDescent="0.25">
      <c r="A731" s="4" t="s">
        <v>1583</v>
      </c>
      <c r="B731" s="4" t="s">
        <v>67</v>
      </c>
      <c r="C731" s="4" t="s">
        <v>21</v>
      </c>
      <c r="D731">
        <v>30</v>
      </c>
      <c r="E731" s="4" t="s">
        <v>312</v>
      </c>
      <c r="F731" s="4" t="s">
        <v>36</v>
      </c>
      <c r="G731" s="1">
        <v>44493</v>
      </c>
      <c r="H731" s="4" t="s">
        <v>1584</v>
      </c>
      <c r="I731" s="4" t="s">
        <v>265</v>
      </c>
      <c r="J731">
        <v>-512080055</v>
      </c>
      <c r="K731" s="4" t="s">
        <v>19</v>
      </c>
      <c r="L731" t="b">
        <v>1</v>
      </c>
    </row>
    <row r="732" spans="1:12" x14ac:dyDescent="0.25">
      <c r="A732" s="4" t="s">
        <v>1585</v>
      </c>
      <c r="B732" s="4" t="s">
        <v>13</v>
      </c>
      <c r="C732" s="4" t="s">
        <v>41</v>
      </c>
      <c r="D732">
        <v>40</v>
      </c>
      <c r="E732" s="4" t="s">
        <v>81</v>
      </c>
      <c r="F732" s="4" t="s">
        <v>36</v>
      </c>
      <c r="G732" s="1">
        <v>44221</v>
      </c>
      <c r="H732" s="4" t="s">
        <v>1586</v>
      </c>
      <c r="I732" s="4" t="s">
        <v>170</v>
      </c>
      <c r="J732">
        <v>-4099512396</v>
      </c>
      <c r="K732" s="4" t="s">
        <v>45</v>
      </c>
      <c r="L732" t="b">
        <v>1</v>
      </c>
    </row>
    <row r="733" spans="1:12" x14ac:dyDescent="0.25">
      <c r="A733" s="4" t="s">
        <v>1587</v>
      </c>
      <c r="B733" s="4" t="s">
        <v>27</v>
      </c>
      <c r="C733" s="4" t="s">
        <v>142</v>
      </c>
      <c r="D733">
        <v>35</v>
      </c>
      <c r="E733" s="4" t="s">
        <v>138</v>
      </c>
      <c r="F733" s="4" t="s">
        <v>30</v>
      </c>
      <c r="G733" s="1">
        <v>45513</v>
      </c>
      <c r="H733" s="4" t="s">
        <v>1588</v>
      </c>
      <c r="I733" s="4" t="s">
        <v>217</v>
      </c>
      <c r="J733">
        <v>-2835129591</v>
      </c>
      <c r="K733" s="4" t="s">
        <v>45</v>
      </c>
      <c r="L733" t="b">
        <v>1</v>
      </c>
    </row>
    <row r="734" spans="1:12" x14ac:dyDescent="0.25">
      <c r="A734" s="4" t="s">
        <v>1589</v>
      </c>
      <c r="B734" s="4" t="s">
        <v>61</v>
      </c>
      <c r="C734" s="4" t="s">
        <v>142</v>
      </c>
      <c r="D734">
        <v>40</v>
      </c>
      <c r="E734" s="4" t="s">
        <v>68</v>
      </c>
      <c r="F734" s="4" t="s">
        <v>16</v>
      </c>
      <c r="G734" s="1">
        <v>45234</v>
      </c>
      <c r="H734" s="4" t="s">
        <v>1590</v>
      </c>
      <c r="I734" s="4" t="s">
        <v>231</v>
      </c>
      <c r="J734">
        <v>-7282709080</v>
      </c>
      <c r="K734" s="4" t="s">
        <v>33</v>
      </c>
      <c r="L734" t="b">
        <v>0</v>
      </c>
    </row>
    <row r="735" spans="1:12" x14ac:dyDescent="0.25">
      <c r="A735" s="4" t="s">
        <v>1591</v>
      </c>
      <c r="B735" s="4" t="s">
        <v>13</v>
      </c>
      <c r="C735" s="4" t="s">
        <v>47</v>
      </c>
      <c r="D735">
        <v>25</v>
      </c>
      <c r="E735" s="4" t="s">
        <v>278</v>
      </c>
      <c r="F735" s="4" t="s">
        <v>16</v>
      </c>
      <c r="G735" s="1">
        <v>45102</v>
      </c>
      <c r="H735" s="4" t="s">
        <v>1592</v>
      </c>
      <c r="I735" s="4" t="s">
        <v>180</v>
      </c>
      <c r="J735">
        <v>-4415298216</v>
      </c>
      <c r="K735" s="4" t="s">
        <v>19</v>
      </c>
      <c r="L735" t="b">
        <v>0</v>
      </c>
    </row>
    <row r="736" spans="1:12" x14ac:dyDescent="0.25">
      <c r="A736" s="4" t="s">
        <v>1593</v>
      </c>
      <c r="B736" s="4" t="s">
        <v>35</v>
      </c>
      <c r="C736" s="4" t="s">
        <v>62</v>
      </c>
      <c r="D736">
        <v>25</v>
      </c>
      <c r="E736" s="4" t="s">
        <v>175</v>
      </c>
      <c r="F736" s="4" t="s">
        <v>16</v>
      </c>
      <c r="G736" s="1">
        <v>44455</v>
      </c>
      <c r="H736" s="4" t="s">
        <v>1594</v>
      </c>
      <c r="I736" s="4" t="s">
        <v>380</v>
      </c>
      <c r="J736">
        <v>-3929578670</v>
      </c>
      <c r="K736" s="4" t="s">
        <v>25</v>
      </c>
      <c r="L736" t="b">
        <v>0</v>
      </c>
    </row>
    <row r="737" spans="1:12" x14ac:dyDescent="0.25">
      <c r="A737" s="4" t="s">
        <v>1595</v>
      </c>
      <c r="B737" s="4" t="s">
        <v>67</v>
      </c>
      <c r="C737" s="4" t="s">
        <v>41</v>
      </c>
      <c r="E737" s="4" t="s">
        <v>233</v>
      </c>
      <c r="F737" s="4" t="s">
        <v>30</v>
      </c>
      <c r="G737" s="1">
        <v>44902</v>
      </c>
      <c r="H737" s="4" t="s">
        <v>1596</v>
      </c>
      <c r="I737" s="4" t="s">
        <v>70</v>
      </c>
      <c r="J737">
        <v>-8153523735</v>
      </c>
      <c r="K737" s="4" t="s">
        <v>45</v>
      </c>
      <c r="L737" t="b">
        <v>0</v>
      </c>
    </row>
    <row r="738" spans="1:12" x14ac:dyDescent="0.25">
      <c r="A738" s="4" t="s">
        <v>1597</v>
      </c>
      <c r="B738" s="4" t="s">
        <v>61</v>
      </c>
      <c r="C738" s="4" t="s">
        <v>21</v>
      </c>
      <c r="D738">
        <v>25</v>
      </c>
      <c r="E738" s="4" t="s">
        <v>309</v>
      </c>
      <c r="F738" s="4" t="s">
        <v>30</v>
      </c>
      <c r="G738" s="1">
        <v>44909</v>
      </c>
      <c r="H738" s="4" t="s">
        <v>1598</v>
      </c>
      <c r="I738" s="4" t="s">
        <v>147</v>
      </c>
      <c r="J738">
        <v>-507918157</v>
      </c>
      <c r="K738" s="4" t="s">
        <v>25</v>
      </c>
      <c r="L738" t="b">
        <v>1</v>
      </c>
    </row>
    <row r="739" spans="1:12" x14ac:dyDescent="0.25">
      <c r="A739" s="4" t="s">
        <v>1599</v>
      </c>
      <c r="B739" s="4" t="s">
        <v>35</v>
      </c>
      <c r="C739" s="4" t="s">
        <v>28</v>
      </c>
      <c r="D739">
        <v>30</v>
      </c>
      <c r="E739" s="4" t="s">
        <v>91</v>
      </c>
      <c r="F739" s="4" t="s">
        <v>36</v>
      </c>
      <c r="G739" s="1">
        <v>43939</v>
      </c>
      <c r="H739" s="4" t="s">
        <v>1600</v>
      </c>
      <c r="I739" s="4" t="s">
        <v>323</v>
      </c>
      <c r="J739">
        <v>-9988683451</v>
      </c>
      <c r="K739" s="4" t="s">
        <v>25</v>
      </c>
      <c r="L739" t="b">
        <v>1</v>
      </c>
    </row>
    <row r="740" spans="1:12" x14ac:dyDescent="0.25">
      <c r="A740" s="4" t="s">
        <v>1601</v>
      </c>
      <c r="B740" s="4" t="s">
        <v>13</v>
      </c>
      <c r="C740" s="4" t="s">
        <v>28</v>
      </c>
      <c r="D740">
        <v>40</v>
      </c>
      <c r="E740" s="4" t="s">
        <v>15</v>
      </c>
      <c r="F740" s="4" t="s">
        <v>30</v>
      </c>
      <c r="G740" s="1">
        <v>45576</v>
      </c>
      <c r="H740" s="4" t="s">
        <v>1602</v>
      </c>
      <c r="I740" s="4" t="s">
        <v>56</v>
      </c>
      <c r="J740">
        <v>-7346666169</v>
      </c>
      <c r="K740" s="4" t="s">
        <v>19</v>
      </c>
      <c r="L740" t="b">
        <v>1</v>
      </c>
    </row>
    <row r="741" spans="1:12" x14ac:dyDescent="0.25">
      <c r="A741" s="4" t="s">
        <v>1603</v>
      </c>
      <c r="B741" s="4" t="s">
        <v>13</v>
      </c>
      <c r="C741" s="4" t="s">
        <v>21</v>
      </c>
      <c r="D741">
        <v>25</v>
      </c>
      <c r="E741" s="4" t="s">
        <v>175</v>
      </c>
      <c r="F741" s="4" t="s">
        <v>36</v>
      </c>
      <c r="G741" s="1">
        <v>44304</v>
      </c>
      <c r="H741" s="4" t="s">
        <v>1604</v>
      </c>
      <c r="I741" s="4" t="s">
        <v>24</v>
      </c>
      <c r="J741">
        <v>-7158796473</v>
      </c>
      <c r="K741" s="4" t="s">
        <v>19</v>
      </c>
      <c r="L741" t="b">
        <v>1</v>
      </c>
    </row>
    <row r="742" spans="1:12" x14ac:dyDescent="0.25">
      <c r="A742" s="4" t="s">
        <v>1605</v>
      </c>
      <c r="B742" s="4" t="s">
        <v>13</v>
      </c>
      <c r="C742" s="4" t="s">
        <v>14</v>
      </c>
      <c r="D742">
        <v>35</v>
      </c>
      <c r="E742" s="4" t="s">
        <v>309</v>
      </c>
      <c r="F742" s="4" t="s">
        <v>30</v>
      </c>
      <c r="G742" s="1">
        <v>44011</v>
      </c>
      <c r="H742" s="4" t="s">
        <v>1606</v>
      </c>
      <c r="I742" s="4" t="s">
        <v>18</v>
      </c>
      <c r="J742">
        <v>-803149981</v>
      </c>
      <c r="K742" s="4" t="s">
        <v>45</v>
      </c>
      <c r="L742" t="b">
        <v>1</v>
      </c>
    </row>
    <row r="743" spans="1:12" x14ac:dyDescent="0.25">
      <c r="A743" s="4" t="s">
        <v>1607</v>
      </c>
      <c r="B743" s="4" t="s">
        <v>75</v>
      </c>
      <c r="C743" s="4" t="s">
        <v>106</v>
      </c>
      <c r="E743" s="4" t="s">
        <v>278</v>
      </c>
      <c r="F743" s="4" t="s">
        <v>16</v>
      </c>
      <c r="G743" s="1">
        <v>44337</v>
      </c>
      <c r="H743" s="4" t="s">
        <v>1608</v>
      </c>
      <c r="I743" s="4" t="s">
        <v>153</v>
      </c>
      <c r="J743">
        <v>-5080046357</v>
      </c>
      <c r="K743" s="4" t="s">
        <v>19</v>
      </c>
      <c r="L743" t="b">
        <v>0</v>
      </c>
    </row>
    <row r="744" spans="1:12" x14ac:dyDescent="0.25">
      <c r="A744" s="4" t="s">
        <v>1609</v>
      </c>
      <c r="B744" s="4" t="s">
        <v>75</v>
      </c>
      <c r="C744" s="4" t="s">
        <v>62</v>
      </c>
      <c r="D744">
        <v>40</v>
      </c>
      <c r="E744" s="4" t="s">
        <v>63</v>
      </c>
      <c r="F744" s="4" t="s">
        <v>16</v>
      </c>
      <c r="G744" s="1">
        <v>44541</v>
      </c>
      <c r="H744" s="4" t="s">
        <v>1610</v>
      </c>
      <c r="I744" s="4" t="s">
        <v>132</v>
      </c>
      <c r="J744">
        <v>-688285030</v>
      </c>
      <c r="K744" s="4" t="s">
        <v>19</v>
      </c>
      <c r="L744" t="b">
        <v>1</v>
      </c>
    </row>
    <row r="745" spans="1:12" x14ac:dyDescent="0.25">
      <c r="A745" s="4" t="s">
        <v>1611</v>
      </c>
      <c r="B745" s="4" t="s">
        <v>35</v>
      </c>
      <c r="C745" s="4" t="s">
        <v>28</v>
      </c>
      <c r="D745">
        <v>30</v>
      </c>
      <c r="E745" s="4" t="s">
        <v>210</v>
      </c>
      <c r="F745" s="4" t="s">
        <v>16</v>
      </c>
      <c r="G745" s="1">
        <v>45112</v>
      </c>
      <c r="H745" s="4" t="s">
        <v>1612</v>
      </c>
      <c r="I745" s="4" t="s">
        <v>323</v>
      </c>
      <c r="J745">
        <v>-7235137398</v>
      </c>
      <c r="K745" s="4" t="s">
        <v>19</v>
      </c>
      <c r="L745" t="b">
        <v>0</v>
      </c>
    </row>
    <row r="746" spans="1:12" x14ac:dyDescent="0.25">
      <c r="A746" s="4" t="s">
        <v>1613</v>
      </c>
      <c r="B746" s="4" t="s">
        <v>27</v>
      </c>
      <c r="C746" s="4" t="s">
        <v>41</v>
      </c>
      <c r="E746" s="4" t="s">
        <v>76</v>
      </c>
      <c r="F746" s="4" t="s">
        <v>16</v>
      </c>
      <c r="G746" s="1">
        <v>44530</v>
      </c>
      <c r="H746" s="4" t="s">
        <v>1614</v>
      </c>
      <c r="I746" s="4" t="s">
        <v>431</v>
      </c>
      <c r="J746">
        <v>-63140351</v>
      </c>
      <c r="K746" s="4" t="s">
        <v>25</v>
      </c>
      <c r="L746" t="b">
        <v>0</v>
      </c>
    </row>
    <row r="747" spans="1:12" x14ac:dyDescent="0.25">
      <c r="A747" s="4" t="s">
        <v>1615</v>
      </c>
      <c r="B747" s="4" t="s">
        <v>13</v>
      </c>
      <c r="C747" s="4" t="s">
        <v>62</v>
      </c>
      <c r="D747">
        <v>40</v>
      </c>
      <c r="E747" s="4" t="s">
        <v>259</v>
      </c>
      <c r="F747" s="4" t="s">
        <v>30</v>
      </c>
      <c r="G747" s="1">
        <v>45618</v>
      </c>
      <c r="H747" s="4" t="s">
        <v>1616</v>
      </c>
      <c r="I747" s="4" t="s">
        <v>237</v>
      </c>
      <c r="J747">
        <v>-6356022938</v>
      </c>
      <c r="K747" s="4" t="s">
        <v>45</v>
      </c>
      <c r="L747" t="b">
        <v>0</v>
      </c>
    </row>
    <row r="748" spans="1:12" x14ac:dyDescent="0.25">
      <c r="A748" s="4" t="s">
        <v>1617</v>
      </c>
      <c r="B748" s="4" t="s">
        <v>67</v>
      </c>
      <c r="C748" s="4" t="s">
        <v>41</v>
      </c>
      <c r="E748" s="4" t="s">
        <v>244</v>
      </c>
      <c r="F748" s="4" t="s">
        <v>36</v>
      </c>
      <c r="G748" s="1">
        <v>45070</v>
      </c>
      <c r="H748" s="4" t="s">
        <v>1618</v>
      </c>
      <c r="I748" s="4" t="s">
        <v>70</v>
      </c>
      <c r="J748">
        <v>-4694346065</v>
      </c>
      <c r="K748" s="4" t="s">
        <v>33</v>
      </c>
      <c r="L748" t="b">
        <v>0</v>
      </c>
    </row>
    <row r="749" spans="1:12" x14ac:dyDescent="0.25">
      <c r="A749" s="4" t="s">
        <v>1619</v>
      </c>
      <c r="B749" s="4" t="s">
        <v>67</v>
      </c>
      <c r="C749" s="4" t="s">
        <v>14</v>
      </c>
      <c r="D749">
        <v>30</v>
      </c>
      <c r="E749" s="4" t="s">
        <v>113</v>
      </c>
      <c r="F749" s="4" t="s">
        <v>30</v>
      </c>
      <c r="G749" s="1">
        <v>45469</v>
      </c>
      <c r="H749" s="4" t="s">
        <v>1620</v>
      </c>
      <c r="I749" s="4" t="s">
        <v>73</v>
      </c>
      <c r="J749">
        <v>-6437490606</v>
      </c>
      <c r="K749" s="4" t="s">
        <v>25</v>
      </c>
      <c r="L749" t="b">
        <v>1</v>
      </c>
    </row>
    <row r="750" spans="1:12" x14ac:dyDescent="0.25">
      <c r="A750" s="4" t="s">
        <v>1621</v>
      </c>
      <c r="B750" s="4" t="s">
        <v>61</v>
      </c>
      <c r="C750" s="4" t="s">
        <v>142</v>
      </c>
      <c r="D750">
        <v>40</v>
      </c>
      <c r="E750" s="4" t="s">
        <v>29</v>
      </c>
      <c r="F750" s="4" t="s">
        <v>30</v>
      </c>
      <c r="G750" s="1">
        <v>44154</v>
      </c>
      <c r="H750" s="4" t="s">
        <v>1622</v>
      </c>
      <c r="I750" s="4" t="s">
        <v>231</v>
      </c>
      <c r="J750">
        <v>-2311127127</v>
      </c>
      <c r="K750" s="4" t="s">
        <v>19</v>
      </c>
      <c r="L750" t="b">
        <v>0</v>
      </c>
    </row>
    <row r="751" spans="1:12" x14ac:dyDescent="0.25">
      <c r="A751" s="4" t="s">
        <v>1623</v>
      </c>
      <c r="B751" s="4" t="s">
        <v>13</v>
      </c>
      <c r="C751" s="4" t="s">
        <v>62</v>
      </c>
      <c r="D751">
        <v>30</v>
      </c>
      <c r="E751" s="4" t="s">
        <v>76</v>
      </c>
      <c r="F751" s="4" t="s">
        <v>30</v>
      </c>
      <c r="G751" s="1">
        <v>43891</v>
      </c>
      <c r="H751" s="4" t="s">
        <v>1624</v>
      </c>
      <c r="I751" s="4" t="s">
        <v>237</v>
      </c>
      <c r="J751">
        <v>-5246484493</v>
      </c>
      <c r="K751" s="4" t="s">
        <v>25</v>
      </c>
      <c r="L751" t="b">
        <v>0</v>
      </c>
    </row>
    <row r="752" spans="1:12" x14ac:dyDescent="0.25">
      <c r="A752" s="4" t="s">
        <v>1625</v>
      </c>
      <c r="B752" s="4" t="s">
        <v>80</v>
      </c>
      <c r="C752" s="4" t="s">
        <v>47</v>
      </c>
      <c r="D752">
        <v>40</v>
      </c>
      <c r="E752" s="4" t="s">
        <v>251</v>
      </c>
      <c r="F752" s="4" t="s">
        <v>30</v>
      </c>
      <c r="G752" s="1">
        <v>45513</v>
      </c>
      <c r="H752" s="4" t="s">
        <v>1626</v>
      </c>
      <c r="I752" s="4" t="s">
        <v>96</v>
      </c>
      <c r="J752">
        <v>-1163187327</v>
      </c>
      <c r="K752" s="4" t="s">
        <v>19</v>
      </c>
      <c r="L752" t="b">
        <v>0</v>
      </c>
    </row>
    <row r="753" spans="1:12" x14ac:dyDescent="0.25">
      <c r="A753" s="4" t="s">
        <v>1627</v>
      </c>
      <c r="B753" s="4" t="s">
        <v>35</v>
      </c>
      <c r="C753" s="4" t="s">
        <v>28</v>
      </c>
      <c r="D753">
        <v>30</v>
      </c>
      <c r="E753" s="4" t="s">
        <v>120</v>
      </c>
      <c r="F753" s="4" t="s">
        <v>16</v>
      </c>
      <c r="G753" s="1">
        <v>44209</v>
      </c>
      <c r="H753" s="4" t="s">
        <v>1628</v>
      </c>
      <c r="I753" s="4" t="s">
        <v>323</v>
      </c>
      <c r="J753">
        <v>-771130620</v>
      </c>
      <c r="K753" s="4" t="s">
        <v>19</v>
      </c>
      <c r="L753" t="b">
        <v>1</v>
      </c>
    </row>
    <row r="754" spans="1:12" x14ac:dyDescent="0.25">
      <c r="A754" s="4" t="s">
        <v>1629</v>
      </c>
      <c r="B754" s="4" t="s">
        <v>35</v>
      </c>
      <c r="C754" s="4" t="s">
        <v>62</v>
      </c>
      <c r="E754" s="4" t="s">
        <v>113</v>
      </c>
      <c r="F754" s="4" t="s">
        <v>16</v>
      </c>
      <c r="G754" s="1">
        <v>45052</v>
      </c>
      <c r="H754" s="4" t="s">
        <v>1630</v>
      </c>
      <c r="I754" s="4" t="s">
        <v>380</v>
      </c>
      <c r="J754">
        <v>-1369572789</v>
      </c>
      <c r="K754" s="4" t="s">
        <v>25</v>
      </c>
      <c r="L754" t="b">
        <v>1</v>
      </c>
    </row>
    <row r="755" spans="1:12" x14ac:dyDescent="0.25">
      <c r="A755" s="4" t="s">
        <v>1631</v>
      </c>
      <c r="B755" s="4" t="s">
        <v>40</v>
      </c>
      <c r="C755" s="4" t="s">
        <v>62</v>
      </c>
      <c r="D755">
        <v>25</v>
      </c>
      <c r="E755" s="4" t="s">
        <v>270</v>
      </c>
      <c r="F755" s="4" t="s">
        <v>16</v>
      </c>
      <c r="G755" s="1">
        <v>44859</v>
      </c>
      <c r="H755" s="4" t="s">
        <v>1632</v>
      </c>
      <c r="I755" s="4" t="s">
        <v>316</v>
      </c>
      <c r="J755">
        <v>-8335090253</v>
      </c>
      <c r="K755" s="4" t="s">
        <v>45</v>
      </c>
      <c r="L755" t="b">
        <v>1</v>
      </c>
    </row>
    <row r="756" spans="1:12" x14ac:dyDescent="0.25">
      <c r="A756" s="4" t="s">
        <v>1633</v>
      </c>
      <c r="B756" s="4" t="s">
        <v>40</v>
      </c>
      <c r="C756" s="4" t="s">
        <v>62</v>
      </c>
      <c r="D756">
        <v>30</v>
      </c>
      <c r="E756" s="4" t="s">
        <v>130</v>
      </c>
      <c r="F756" s="4" t="s">
        <v>36</v>
      </c>
      <c r="G756" s="1">
        <v>44112</v>
      </c>
      <c r="H756" s="4" t="s">
        <v>1634</v>
      </c>
      <c r="I756" s="4" t="s">
        <v>316</v>
      </c>
      <c r="J756">
        <v>-2573066247</v>
      </c>
      <c r="K756" s="4" t="s">
        <v>19</v>
      </c>
      <c r="L756" t="b">
        <v>0</v>
      </c>
    </row>
    <row r="757" spans="1:12" x14ac:dyDescent="0.25">
      <c r="A757" s="4" t="s">
        <v>1635</v>
      </c>
      <c r="B757" s="4" t="s">
        <v>80</v>
      </c>
      <c r="C757" s="4" t="s">
        <v>106</v>
      </c>
      <c r="D757">
        <v>25</v>
      </c>
      <c r="E757" s="4" t="s">
        <v>251</v>
      </c>
      <c r="F757" s="4" t="s">
        <v>16</v>
      </c>
      <c r="G757" s="1">
        <v>45351</v>
      </c>
      <c r="H757" s="4" t="s">
        <v>1636</v>
      </c>
      <c r="I757" s="4" t="s">
        <v>197</v>
      </c>
      <c r="J757">
        <v>-1323570712</v>
      </c>
      <c r="K757" s="4" t="s">
        <v>45</v>
      </c>
      <c r="L757" t="b">
        <v>0</v>
      </c>
    </row>
    <row r="758" spans="1:12" x14ac:dyDescent="0.25">
      <c r="A758" s="4" t="s">
        <v>1637</v>
      </c>
      <c r="B758" s="4" t="s">
        <v>67</v>
      </c>
      <c r="C758" s="4" t="s">
        <v>62</v>
      </c>
      <c r="D758">
        <v>25</v>
      </c>
      <c r="E758" s="4" t="s">
        <v>244</v>
      </c>
      <c r="F758" s="4" t="s">
        <v>30</v>
      </c>
      <c r="G758" s="1">
        <v>44834</v>
      </c>
      <c r="H758" s="4" t="s">
        <v>1638</v>
      </c>
      <c r="I758" s="4" t="s">
        <v>257</v>
      </c>
      <c r="J758">
        <v>-9848228500</v>
      </c>
      <c r="K758" s="4" t="s">
        <v>33</v>
      </c>
      <c r="L758" t="b">
        <v>1</v>
      </c>
    </row>
    <row r="759" spans="1:12" x14ac:dyDescent="0.25">
      <c r="A759" s="4" t="s">
        <v>1639</v>
      </c>
      <c r="B759" s="4" t="s">
        <v>67</v>
      </c>
      <c r="C759" s="4" t="s">
        <v>41</v>
      </c>
      <c r="D759">
        <v>40</v>
      </c>
      <c r="E759" s="4" t="s">
        <v>22</v>
      </c>
      <c r="F759" s="4" t="s">
        <v>30</v>
      </c>
      <c r="G759" s="1">
        <v>45336</v>
      </c>
      <c r="H759" s="4" t="s">
        <v>1640</v>
      </c>
      <c r="I759" s="4" t="s">
        <v>70</v>
      </c>
      <c r="J759">
        <v>-1688092549</v>
      </c>
      <c r="K759" s="4" t="s">
        <v>19</v>
      </c>
      <c r="L759" t="b">
        <v>0</v>
      </c>
    </row>
    <row r="760" spans="1:12" x14ac:dyDescent="0.25">
      <c r="A760" s="4" t="s">
        <v>1641</v>
      </c>
      <c r="B760" s="4" t="s">
        <v>80</v>
      </c>
      <c r="C760" s="4" t="s">
        <v>142</v>
      </c>
      <c r="E760" s="4" t="s">
        <v>91</v>
      </c>
      <c r="F760" s="4" t="s">
        <v>30</v>
      </c>
      <c r="G760" s="1">
        <v>44929</v>
      </c>
      <c r="H760" s="4" t="s">
        <v>1642</v>
      </c>
      <c r="I760" s="4" t="s">
        <v>160</v>
      </c>
      <c r="J760">
        <v>-2130609068</v>
      </c>
      <c r="K760" s="4" t="s">
        <v>45</v>
      </c>
      <c r="L760" t="b">
        <v>1</v>
      </c>
    </row>
    <row r="761" spans="1:12" x14ac:dyDescent="0.25">
      <c r="A761" s="4" t="s">
        <v>1643</v>
      </c>
      <c r="B761" s="4" t="s">
        <v>27</v>
      </c>
      <c r="C761" s="4" t="s">
        <v>14</v>
      </c>
      <c r="E761" s="4" t="s">
        <v>42</v>
      </c>
      <c r="F761" s="4" t="s">
        <v>36</v>
      </c>
      <c r="G761" s="1">
        <v>45524</v>
      </c>
      <c r="H761" s="4" t="s">
        <v>1644</v>
      </c>
      <c r="I761" s="4" t="s">
        <v>191</v>
      </c>
      <c r="J761">
        <v>-1309810795</v>
      </c>
      <c r="K761" s="4" t="s">
        <v>45</v>
      </c>
      <c r="L761" t="b">
        <v>1</v>
      </c>
    </row>
    <row r="762" spans="1:12" x14ac:dyDescent="0.25">
      <c r="A762" s="4" t="s">
        <v>1645</v>
      </c>
      <c r="B762" s="4" t="s">
        <v>67</v>
      </c>
      <c r="C762" s="4" t="s">
        <v>21</v>
      </c>
      <c r="E762" s="4" t="s">
        <v>87</v>
      </c>
      <c r="F762" s="4" t="s">
        <v>30</v>
      </c>
      <c r="G762" s="1">
        <v>43911</v>
      </c>
      <c r="H762" s="4" t="s">
        <v>1646</v>
      </c>
      <c r="I762" s="4" t="s">
        <v>265</v>
      </c>
      <c r="J762">
        <v>-4967379456</v>
      </c>
      <c r="K762" s="4" t="s">
        <v>33</v>
      </c>
      <c r="L762" t="b">
        <v>0</v>
      </c>
    </row>
    <row r="763" spans="1:12" x14ac:dyDescent="0.25">
      <c r="A763" s="4" t="s">
        <v>1647</v>
      </c>
      <c r="B763" s="4" t="s">
        <v>27</v>
      </c>
      <c r="C763" s="4" t="s">
        <v>62</v>
      </c>
      <c r="D763">
        <v>30</v>
      </c>
      <c r="E763" s="4" t="s">
        <v>251</v>
      </c>
      <c r="F763" s="4" t="s">
        <v>36</v>
      </c>
      <c r="G763" s="1">
        <v>45642</v>
      </c>
      <c r="H763" s="4" t="s">
        <v>1648</v>
      </c>
      <c r="I763" s="4" t="s">
        <v>177</v>
      </c>
      <c r="J763">
        <v>-7278532425</v>
      </c>
      <c r="K763" s="4" t="s">
        <v>45</v>
      </c>
      <c r="L763" t="b">
        <v>0</v>
      </c>
    </row>
    <row r="764" spans="1:12" x14ac:dyDescent="0.25">
      <c r="A764" s="4" t="s">
        <v>1649</v>
      </c>
      <c r="B764" s="4" t="s">
        <v>75</v>
      </c>
      <c r="C764" s="4" t="s">
        <v>28</v>
      </c>
      <c r="D764">
        <v>30</v>
      </c>
      <c r="E764" s="4" t="s">
        <v>81</v>
      </c>
      <c r="F764" s="4" t="s">
        <v>30</v>
      </c>
      <c r="G764" s="1">
        <v>43942</v>
      </c>
      <c r="H764" s="4" t="s">
        <v>1650</v>
      </c>
      <c r="I764" s="4" t="s">
        <v>375</v>
      </c>
      <c r="J764">
        <v>-4250642075</v>
      </c>
      <c r="K764" s="4" t="s">
        <v>45</v>
      </c>
      <c r="L764" t="b">
        <v>0</v>
      </c>
    </row>
    <row r="765" spans="1:12" x14ac:dyDescent="0.25">
      <c r="A765" s="4" t="s">
        <v>1651</v>
      </c>
      <c r="B765" s="4" t="s">
        <v>75</v>
      </c>
      <c r="C765" s="4" t="s">
        <v>62</v>
      </c>
      <c r="D765">
        <v>40</v>
      </c>
      <c r="E765" s="4" t="s">
        <v>98</v>
      </c>
      <c r="F765" s="4" t="s">
        <v>30</v>
      </c>
      <c r="G765" s="1">
        <v>44062</v>
      </c>
      <c r="H765" s="4" t="s">
        <v>1652</v>
      </c>
      <c r="I765" s="4" t="s">
        <v>132</v>
      </c>
      <c r="J765">
        <v>-8362536666</v>
      </c>
      <c r="K765" s="4" t="s">
        <v>33</v>
      </c>
      <c r="L765" t="b">
        <v>0</v>
      </c>
    </row>
    <row r="766" spans="1:12" x14ac:dyDescent="0.25">
      <c r="A766" s="4" t="s">
        <v>1653</v>
      </c>
      <c r="B766" s="4" t="s">
        <v>61</v>
      </c>
      <c r="C766" s="4" t="s">
        <v>28</v>
      </c>
      <c r="D766">
        <v>40</v>
      </c>
      <c r="E766" s="4" t="s">
        <v>81</v>
      </c>
      <c r="F766" s="4" t="s">
        <v>36</v>
      </c>
      <c r="G766" s="1">
        <v>43882</v>
      </c>
      <c r="H766" s="4" t="s">
        <v>1654</v>
      </c>
      <c r="I766" s="4" t="s">
        <v>140</v>
      </c>
      <c r="J766">
        <v>-7767555627</v>
      </c>
      <c r="K766" s="4" t="s">
        <v>19</v>
      </c>
      <c r="L766" t="b">
        <v>1</v>
      </c>
    </row>
    <row r="767" spans="1:12" x14ac:dyDescent="0.25">
      <c r="A767" s="4" t="s">
        <v>1655</v>
      </c>
      <c r="B767" s="4" t="s">
        <v>67</v>
      </c>
      <c r="C767" s="4" t="s">
        <v>41</v>
      </c>
      <c r="D767">
        <v>40</v>
      </c>
      <c r="E767" s="4" t="s">
        <v>312</v>
      </c>
      <c r="F767" s="4" t="s">
        <v>36</v>
      </c>
      <c r="G767" s="1">
        <v>45247</v>
      </c>
      <c r="H767" s="4" t="s">
        <v>1656</v>
      </c>
      <c r="I767" s="4" t="s">
        <v>70</v>
      </c>
      <c r="J767">
        <v>-3333939577</v>
      </c>
      <c r="K767" s="4" t="s">
        <v>45</v>
      </c>
      <c r="L767" t="b">
        <v>1</v>
      </c>
    </row>
    <row r="768" spans="1:12" x14ac:dyDescent="0.25">
      <c r="A768" s="4" t="s">
        <v>1657</v>
      </c>
      <c r="B768" s="4" t="s">
        <v>61</v>
      </c>
      <c r="C768" s="4" t="s">
        <v>28</v>
      </c>
      <c r="D768">
        <v>25</v>
      </c>
      <c r="E768" s="4" t="s">
        <v>187</v>
      </c>
      <c r="F768" s="4" t="s">
        <v>30</v>
      </c>
      <c r="G768" s="1">
        <v>44751</v>
      </c>
      <c r="H768" s="4" t="s">
        <v>1658</v>
      </c>
      <c r="I768" s="4" t="s">
        <v>140</v>
      </c>
      <c r="J768">
        <v>-6543627186</v>
      </c>
      <c r="K768" s="4" t="s">
        <v>45</v>
      </c>
      <c r="L768" t="b">
        <v>1</v>
      </c>
    </row>
    <row r="769" spans="1:12" x14ac:dyDescent="0.25">
      <c r="A769" s="4" t="s">
        <v>1659</v>
      </c>
      <c r="B769" s="4" t="s">
        <v>80</v>
      </c>
      <c r="C769" s="4" t="s">
        <v>47</v>
      </c>
      <c r="E769" s="4" t="s">
        <v>126</v>
      </c>
      <c r="F769" s="4" t="s">
        <v>36</v>
      </c>
      <c r="G769" s="1">
        <v>44958</v>
      </c>
      <c r="H769" s="4" t="s">
        <v>1660</v>
      </c>
      <c r="I769" s="4" t="s">
        <v>96</v>
      </c>
      <c r="J769">
        <v>-4960335825</v>
      </c>
      <c r="K769" s="4" t="s">
        <v>45</v>
      </c>
      <c r="L769" t="b">
        <v>1</v>
      </c>
    </row>
    <row r="770" spans="1:12" x14ac:dyDescent="0.25">
      <c r="A770" s="4" t="s">
        <v>1661</v>
      </c>
      <c r="B770" s="4" t="s">
        <v>40</v>
      </c>
      <c r="C770" s="4" t="s">
        <v>21</v>
      </c>
      <c r="E770" s="4" t="s">
        <v>63</v>
      </c>
      <c r="F770" s="4" t="s">
        <v>16</v>
      </c>
      <c r="G770" s="1">
        <v>45610</v>
      </c>
      <c r="H770" s="4" t="s">
        <v>1662</v>
      </c>
      <c r="I770" s="4" t="s">
        <v>280</v>
      </c>
      <c r="J770">
        <v>-8627036923</v>
      </c>
      <c r="K770" s="4" t="s">
        <v>25</v>
      </c>
      <c r="L770" t="b">
        <v>1</v>
      </c>
    </row>
    <row r="771" spans="1:12" x14ac:dyDescent="0.25">
      <c r="A771" s="4" t="s">
        <v>1663</v>
      </c>
      <c r="B771" s="4" t="s">
        <v>27</v>
      </c>
      <c r="C771" s="4" t="s">
        <v>142</v>
      </c>
      <c r="D771">
        <v>40</v>
      </c>
      <c r="E771" s="4" t="s">
        <v>172</v>
      </c>
      <c r="F771" s="4" t="s">
        <v>30</v>
      </c>
      <c r="G771" s="1">
        <v>45405</v>
      </c>
      <c r="H771" s="4" t="s">
        <v>1664</v>
      </c>
      <c r="I771" s="4" t="s">
        <v>217</v>
      </c>
      <c r="J771">
        <v>-9269326572</v>
      </c>
      <c r="K771" s="4" t="s">
        <v>33</v>
      </c>
      <c r="L771" t="b">
        <v>0</v>
      </c>
    </row>
    <row r="772" spans="1:12" x14ac:dyDescent="0.25">
      <c r="A772" s="4" t="s">
        <v>1665</v>
      </c>
      <c r="B772" s="4" t="s">
        <v>61</v>
      </c>
      <c r="C772" s="4" t="s">
        <v>28</v>
      </c>
      <c r="D772">
        <v>25</v>
      </c>
      <c r="E772" s="4" t="s">
        <v>233</v>
      </c>
      <c r="F772" s="4" t="s">
        <v>16</v>
      </c>
      <c r="G772" s="1">
        <v>45106</v>
      </c>
      <c r="H772" s="4" t="s">
        <v>322</v>
      </c>
      <c r="I772" s="4" t="s">
        <v>140</v>
      </c>
      <c r="J772">
        <v>-2759980110</v>
      </c>
      <c r="K772" s="4" t="s">
        <v>25</v>
      </c>
      <c r="L772" t="b">
        <v>1</v>
      </c>
    </row>
    <row r="773" spans="1:12" x14ac:dyDescent="0.25">
      <c r="A773" s="4" t="s">
        <v>1666</v>
      </c>
      <c r="B773" s="4" t="s">
        <v>75</v>
      </c>
      <c r="C773" s="4" t="s">
        <v>28</v>
      </c>
      <c r="D773">
        <v>40</v>
      </c>
      <c r="E773" s="4" t="s">
        <v>48</v>
      </c>
      <c r="F773" s="4" t="s">
        <v>30</v>
      </c>
      <c r="G773" s="1">
        <v>45638</v>
      </c>
      <c r="H773" s="4" t="s">
        <v>1667</v>
      </c>
      <c r="I773" s="4" t="s">
        <v>375</v>
      </c>
      <c r="J773">
        <v>-5155322</v>
      </c>
      <c r="K773" s="4" t="s">
        <v>33</v>
      </c>
      <c r="L773" t="b">
        <v>1</v>
      </c>
    </row>
    <row r="774" spans="1:12" x14ac:dyDescent="0.25">
      <c r="A774" s="4" t="s">
        <v>1668</v>
      </c>
      <c r="B774" s="4" t="s">
        <v>75</v>
      </c>
      <c r="C774" s="4" t="s">
        <v>142</v>
      </c>
      <c r="D774">
        <v>40</v>
      </c>
      <c r="E774" s="4" t="s">
        <v>130</v>
      </c>
      <c r="F774" s="4" t="s">
        <v>16</v>
      </c>
      <c r="G774" s="1">
        <v>45062</v>
      </c>
      <c r="H774" s="4" t="s">
        <v>1669</v>
      </c>
      <c r="I774" s="4" t="s">
        <v>436</v>
      </c>
      <c r="J774">
        <v>-4159597751</v>
      </c>
      <c r="K774" s="4" t="s">
        <v>19</v>
      </c>
      <c r="L774" t="b">
        <v>1</v>
      </c>
    </row>
    <row r="775" spans="1:12" x14ac:dyDescent="0.25">
      <c r="A775" s="4" t="s">
        <v>1670</v>
      </c>
      <c r="B775" s="4" t="s">
        <v>35</v>
      </c>
      <c r="C775" s="4" t="s">
        <v>21</v>
      </c>
      <c r="E775" s="4" t="s">
        <v>91</v>
      </c>
      <c r="F775" s="4" t="s">
        <v>16</v>
      </c>
      <c r="G775" s="1">
        <v>43931</v>
      </c>
      <c r="H775" s="4" t="s">
        <v>1671</v>
      </c>
      <c r="I775" s="4" t="s">
        <v>183</v>
      </c>
      <c r="J775">
        <v>-4418222617</v>
      </c>
      <c r="K775" s="4" t="s">
        <v>19</v>
      </c>
      <c r="L775" t="b">
        <v>0</v>
      </c>
    </row>
    <row r="776" spans="1:12" x14ac:dyDescent="0.25">
      <c r="A776" s="4" t="s">
        <v>1672</v>
      </c>
      <c r="B776" s="4" t="s">
        <v>40</v>
      </c>
      <c r="C776" s="4" t="s">
        <v>62</v>
      </c>
      <c r="D776">
        <v>25</v>
      </c>
      <c r="E776" s="4" t="s">
        <v>120</v>
      </c>
      <c r="F776" s="4" t="s">
        <v>30</v>
      </c>
      <c r="G776" s="1">
        <v>45014</v>
      </c>
      <c r="H776" s="4" t="s">
        <v>1673</v>
      </c>
      <c r="I776" s="4" t="s">
        <v>316</v>
      </c>
      <c r="J776">
        <v>-9628874311</v>
      </c>
      <c r="K776" s="4" t="s">
        <v>45</v>
      </c>
      <c r="L776" t="b">
        <v>0</v>
      </c>
    </row>
    <row r="777" spans="1:12" x14ac:dyDescent="0.25">
      <c r="A777" s="4" t="s">
        <v>1674</v>
      </c>
      <c r="B777" s="4" t="s">
        <v>13</v>
      </c>
      <c r="C777" s="4" t="s">
        <v>28</v>
      </c>
      <c r="D777">
        <v>25</v>
      </c>
      <c r="E777" s="4" t="s">
        <v>42</v>
      </c>
      <c r="F777" s="4" t="s">
        <v>16</v>
      </c>
      <c r="G777" s="1">
        <v>44161</v>
      </c>
      <c r="H777" s="4" t="s">
        <v>1675</v>
      </c>
      <c r="I777" s="4" t="s">
        <v>56</v>
      </c>
      <c r="J777">
        <v>-7102676719</v>
      </c>
      <c r="K777" s="4" t="s">
        <v>33</v>
      </c>
      <c r="L777" t="b">
        <v>0</v>
      </c>
    </row>
    <row r="778" spans="1:12" x14ac:dyDescent="0.25">
      <c r="A778" s="4" t="s">
        <v>1676</v>
      </c>
      <c r="B778" s="4" t="s">
        <v>61</v>
      </c>
      <c r="C778" s="4" t="s">
        <v>142</v>
      </c>
      <c r="D778">
        <v>40</v>
      </c>
      <c r="E778" s="4" t="s">
        <v>91</v>
      </c>
      <c r="F778" s="4" t="s">
        <v>36</v>
      </c>
      <c r="G778" s="1">
        <v>43904</v>
      </c>
      <c r="H778" s="4" t="s">
        <v>1677</v>
      </c>
      <c r="I778" s="4" t="s">
        <v>231</v>
      </c>
      <c r="J778">
        <v>-9579927078</v>
      </c>
      <c r="K778" s="4" t="s">
        <v>19</v>
      </c>
      <c r="L778" t="b">
        <v>0</v>
      </c>
    </row>
    <row r="779" spans="1:12" x14ac:dyDescent="0.25">
      <c r="A779" s="4" t="s">
        <v>1678</v>
      </c>
      <c r="B779" s="4" t="s">
        <v>40</v>
      </c>
      <c r="C779" s="4" t="s">
        <v>47</v>
      </c>
      <c r="D779">
        <v>40</v>
      </c>
      <c r="E779" s="4" t="s">
        <v>42</v>
      </c>
      <c r="F779" s="4" t="s">
        <v>30</v>
      </c>
      <c r="G779" s="1">
        <v>43963</v>
      </c>
      <c r="H779" s="4" t="s">
        <v>1679</v>
      </c>
      <c r="I779" s="4" t="s">
        <v>214</v>
      </c>
      <c r="J779">
        <v>-5515122945</v>
      </c>
      <c r="K779" s="4" t="s">
        <v>33</v>
      </c>
      <c r="L779" t="b">
        <v>1</v>
      </c>
    </row>
    <row r="780" spans="1:12" x14ac:dyDescent="0.25">
      <c r="A780" s="4" t="s">
        <v>1680</v>
      </c>
      <c r="B780" s="4" t="s">
        <v>35</v>
      </c>
      <c r="C780" s="4" t="s">
        <v>47</v>
      </c>
      <c r="D780">
        <v>35</v>
      </c>
      <c r="E780" s="4" t="s">
        <v>87</v>
      </c>
      <c r="F780" s="4" t="s">
        <v>30</v>
      </c>
      <c r="G780" s="1">
        <v>44260</v>
      </c>
      <c r="H780" s="4" t="s">
        <v>1681</v>
      </c>
      <c r="I780" s="4" t="s">
        <v>346</v>
      </c>
      <c r="J780">
        <v>-2135415969</v>
      </c>
      <c r="K780" s="4" t="s">
        <v>19</v>
      </c>
      <c r="L780" t="b">
        <v>1</v>
      </c>
    </row>
    <row r="781" spans="1:12" x14ac:dyDescent="0.25">
      <c r="A781" s="4" t="s">
        <v>1682</v>
      </c>
      <c r="B781" s="4" t="s">
        <v>13</v>
      </c>
      <c r="C781" s="4" t="s">
        <v>41</v>
      </c>
      <c r="E781" s="4" t="s">
        <v>386</v>
      </c>
      <c r="F781" s="4" t="s">
        <v>30</v>
      </c>
      <c r="G781" s="1">
        <v>44010</v>
      </c>
      <c r="H781" s="4" t="s">
        <v>1683</v>
      </c>
      <c r="I781" s="4" t="s">
        <v>170</v>
      </c>
      <c r="J781">
        <v>-9962543847</v>
      </c>
      <c r="K781" s="4" t="s">
        <v>25</v>
      </c>
      <c r="L781" t="b">
        <v>0</v>
      </c>
    </row>
    <row r="782" spans="1:12" x14ac:dyDescent="0.25">
      <c r="A782" s="4" t="s">
        <v>1684</v>
      </c>
      <c r="B782" s="4" t="s">
        <v>35</v>
      </c>
      <c r="C782" s="4" t="s">
        <v>142</v>
      </c>
      <c r="D782">
        <v>40</v>
      </c>
      <c r="E782" s="4" t="s">
        <v>210</v>
      </c>
      <c r="F782" s="4" t="s">
        <v>36</v>
      </c>
      <c r="G782" s="1">
        <v>44907</v>
      </c>
      <c r="H782" s="4" t="s">
        <v>1685</v>
      </c>
      <c r="I782" s="4" t="s">
        <v>632</v>
      </c>
      <c r="J782">
        <v>-752034475</v>
      </c>
      <c r="K782" s="4" t="s">
        <v>19</v>
      </c>
      <c r="L782" t="b">
        <v>0</v>
      </c>
    </row>
    <row r="783" spans="1:12" x14ac:dyDescent="0.25">
      <c r="A783" s="4" t="s">
        <v>1686</v>
      </c>
      <c r="B783" s="4" t="s">
        <v>61</v>
      </c>
      <c r="C783" s="4" t="s">
        <v>41</v>
      </c>
      <c r="E783" s="4" t="s">
        <v>87</v>
      </c>
      <c r="F783" s="4" t="s">
        <v>30</v>
      </c>
      <c r="G783" s="1">
        <v>45324</v>
      </c>
      <c r="H783" s="4" t="s">
        <v>1687</v>
      </c>
      <c r="I783" s="4" t="s">
        <v>104</v>
      </c>
      <c r="J783">
        <v>-5047158028</v>
      </c>
      <c r="K783" s="4" t="s">
        <v>25</v>
      </c>
      <c r="L783" t="b">
        <v>1</v>
      </c>
    </row>
    <row r="784" spans="1:12" x14ac:dyDescent="0.25">
      <c r="A784" s="4" t="s">
        <v>1688</v>
      </c>
      <c r="B784" s="4" t="s">
        <v>61</v>
      </c>
      <c r="C784" s="4" t="s">
        <v>47</v>
      </c>
      <c r="E784" s="4" t="s">
        <v>29</v>
      </c>
      <c r="F784" s="4" t="s">
        <v>36</v>
      </c>
      <c r="G784" s="1">
        <v>44227</v>
      </c>
      <c r="H784" s="4" t="s">
        <v>1689</v>
      </c>
      <c r="I784" s="4" t="s">
        <v>100</v>
      </c>
      <c r="J784">
        <v>-904637659</v>
      </c>
      <c r="K784" s="4" t="s">
        <v>19</v>
      </c>
      <c r="L784" t="b">
        <v>1</v>
      </c>
    </row>
    <row r="785" spans="1:12" x14ac:dyDescent="0.25">
      <c r="A785" s="4" t="s">
        <v>1690</v>
      </c>
      <c r="B785" s="4" t="s">
        <v>13</v>
      </c>
      <c r="C785" s="4" t="s">
        <v>21</v>
      </c>
      <c r="D785">
        <v>30</v>
      </c>
      <c r="E785" s="4" t="s">
        <v>87</v>
      </c>
      <c r="F785" s="4" t="s">
        <v>36</v>
      </c>
      <c r="G785" s="1">
        <v>43924</v>
      </c>
      <c r="H785" s="4" t="s">
        <v>1691</v>
      </c>
      <c r="I785" s="4" t="s">
        <v>24</v>
      </c>
      <c r="J785">
        <v>-4655866524</v>
      </c>
      <c r="K785" s="4" t="s">
        <v>45</v>
      </c>
      <c r="L785" t="b">
        <v>0</v>
      </c>
    </row>
    <row r="786" spans="1:12" x14ac:dyDescent="0.25">
      <c r="A786" s="4" t="s">
        <v>1692</v>
      </c>
      <c r="B786" s="4" t="s">
        <v>67</v>
      </c>
      <c r="C786" s="4" t="s">
        <v>62</v>
      </c>
      <c r="D786">
        <v>25</v>
      </c>
      <c r="E786" s="4" t="s">
        <v>63</v>
      </c>
      <c r="F786" s="4" t="s">
        <v>30</v>
      </c>
      <c r="G786" s="1">
        <v>44407</v>
      </c>
      <c r="H786" s="4" t="s">
        <v>1693</v>
      </c>
      <c r="I786" s="4" t="s">
        <v>257</v>
      </c>
      <c r="J786">
        <v>-4837441714</v>
      </c>
      <c r="K786" s="4" t="s">
        <v>25</v>
      </c>
      <c r="L786" t="b">
        <v>0</v>
      </c>
    </row>
    <row r="787" spans="1:12" x14ac:dyDescent="0.25">
      <c r="A787" s="4" t="s">
        <v>1694</v>
      </c>
      <c r="B787" s="4" t="s">
        <v>35</v>
      </c>
      <c r="C787" s="4" t="s">
        <v>142</v>
      </c>
      <c r="E787" s="4" t="s">
        <v>210</v>
      </c>
      <c r="F787" s="4" t="s">
        <v>16</v>
      </c>
      <c r="G787" s="1">
        <v>44064</v>
      </c>
      <c r="H787" s="4" t="s">
        <v>1695</v>
      </c>
      <c r="I787" s="4" t="s">
        <v>632</v>
      </c>
      <c r="J787">
        <v>-8102131250</v>
      </c>
      <c r="K787" s="4" t="s">
        <v>19</v>
      </c>
      <c r="L787" t="b">
        <v>0</v>
      </c>
    </row>
    <row r="788" spans="1:12" x14ac:dyDescent="0.25">
      <c r="A788" s="4" t="s">
        <v>1696</v>
      </c>
      <c r="B788" s="4" t="s">
        <v>27</v>
      </c>
      <c r="C788" s="4" t="s">
        <v>14</v>
      </c>
      <c r="D788">
        <v>30</v>
      </c>
      <c r="E788" s="4" t="s">
        <v>138</v>
      </c>
      <c r="F788" s="4" t="s">
        <v>36</v>
      </c>
      <c r="G788" s="1">
        <v>45208</v>
      </c>
      <c r="H788" s="4" t="s">
        <v>1697</v>
      </c>
      <c r="I788" s="4" t="s">
        <v>191</v>
      </c>
      <c r="J788">
        <v>-2931100590</v>
      </c>
      <c r="K788" s="4" t="s">
        <v>45</v>
      </c>
      <c r="L788" t="b">
        <v>0</v>
      </c>
    </row>
    <row r="789" spans="1:12" x14ac:dyDescent="0.25">
      <c r="A789" s="4" t="s">
        <v>1698</v>
      </c>
      <c r="B789" s="4" t="s">
        <v>27</v>
      </c>
      <c r="C789" s="4" t="s">
        <v>47</v>
      </c>
      <c r="D789">
        <v>30</v>
      </c>
      <c r="E789" s="4" t="s">
        <v>267</v>
      </c>
      <c r="F789" s="4" t="s">
        <v>30</v>
      </c>
      <c r="G789" s="1">
        <v>44774</v>
      </c>
      <c r="H789" s="4" t="s">
        <v>1699</v>
      </c>
      <c r="I789" s="4" t="s">
        <v>50</v>
      </c>
      <c r="J789">
        <v>-2975191022</v>
      </c>
      <c r="K789" s="4" t="s">
        <v>25</v>
      </c>
      <c r="L789" t="b">
        <v>1</v>
      </c>
    </row>
    <row r="790" spans="1:12" x14ac:dyDescent="0.25">
      <c r="A790" s="4" t="s">
        <v>1700</v>
      </c>
      <c r="B790" s="4" t="s">
        <v>40</v>
      </c>
      <c r="C790" s="4" t="s">
        <v>47</v>
      </c>
      <c r="D790">
        <v>40</v>
      </c>
      <c r="E790" s="4" t="s">
        <v>116</v>
      </c>
      <c r="F790" s="4" t="s">
        <v>16</v>
      </c>
      <c r="G790" s="1">
        <v>45541</v>
      </c>
      <c r="H790" s="4" t="s">
        <v>1701</v>
      </c>
      <c r="I790" s="4" t="s">
        <v>214</v>
      </c>
      <c r="J790">
        <v>-1211063300</v>
      </c>
      <c r="K790" s="4" t="s">
        <v>45</v>
      </c>
      <c r="L790" t="b">
        <v>1</v>
      </c>
    </row>
    <row r="791" spans="1:12" x14ac:dyDescent="0.25">
      <c r="A791" s="4" t="s">
        <v>1702</v>
      </c>
      <c r="B791" s="4" t="s">
        <v>40</v>
      </c>
      <c r="C791" s="4" t="s">
        <v>14</v>
      </c>
      <c r="E791" s="4" t="s">
        <v>48</v>
      </c>
      <c r="F791" s="4" t="s">
        <v>16</v>
      </c>
      <c r="G791" s="1">
        <v>45013</v>
      </c>
      <c r="H791" s="4" t="s">
        <v>1703</v>
      </c>
      <c r="I791" s="4" t="s">
        <v>59</v>
      </c>
      <c r="J791">
        <v>-6583737926</v>
      </c>
      <c r="K791" s="4" t="s">
        <v>33</v>
      </c>
      <c r="L791" t="b">
        <v>1</v>
      </c>
    </row>
    <row r="792" spans="1:12" x14ac:dyDescent="0.25">
      <c r="A792" s="4" t="s">
        <v>1704</v>
      </c>
      <c r="B792" s="4" t="s">
        <v>40</v>
      </c>
      <c r="C792" s="4" t="s">
        <v>106</v>
      </c>
      <c r="D792">
        <v>25</v>
      </c>
      <c r="E792" s="4" t="s">
        <v>138</v>
      </c>
      <c r="F792" s="4" t="s">
        <v>16</v>
      </c>
      <c r="G792" s="1">
        <v>44525</v>
      </c>
      <c r="H792" s="4" t="s">
        <v>1705</v>
      </c>
      <c r="I792" s="4" t="s">
        <v>128</v>
      </c>
      <c r="J792">
        <v>-4907280122</v>
      </c>
      <c r="K792" s="4" t="s">
        <v>33</v>
      </c>
      <c r="L792" t="b">
        <v>0</v>
      </c>
    </row>
    <row r="793" spans="1:12" x14ac:dyDescent="0.25">
      <c r="A793" s="4" t="s">
        <v>1706</v>
      </c>
      <c r="B793" s="4" t="s">
        <v>61</v>
      </c>
      <c r="C793" s="4" t="s">
        <v>47</v>
      </c>
      <c r="E793" s="4" t="s">
        <v>87</v>
      </c>
      <c r="F793" s="4" t="s">
        <v>16</v>
      </c>
      <c r="G793" s="1">
        <v>45049</v>
      </c>
      <c r="H793" s="4" t="s">
        <v>1707</v>
      </c>
      <c r="I793" s="4" t="s">
        <v>100</v>
      </c>
      <c r="J793">
        <v>-4289311324</v>
      </c>
      <c r="K793" s="4" t="s">
        <v>25</v>
      </c>
      <c r="L793" t="b">
        <v>0</v>
      </c>
    </row>
    <row r="794" spans="1:12" x14ac:dyDescent="0.25">
      <c r="A794" s="4" t="s">
        <v>1708</v>
      </c>
      <c r="B794" s="4" t="s">
        <v>35</v>
      </c>
      <c r="C794" s="4" t="s">
        <v>28</v>
      </c>
      <c r="D794">
        <v>35</v>
      </c>
      <c r="E794" s="4" t="s">
        <v>278</v>
      </c>
      <c r="F794" s="4" t="s">
        <v>36</v>
      </c>
      <c r="G794" s="1">
        <v>44678</v>
      </c>
      <c r="H794" s="4" t="s">
        <v>1709</v>
      </c>
      <c r="I794" s="4" t="s">
        <v>323</v>
      </c>
      <c r="J794">
        <v>-3269496842</v>
      </c>
      <c r="K794" s="4" t="s">
        <v>19</v>
      </c>
      <c r="L794" t="b">
        <v>1</v>
      </c>
    </row>
    <row r="795" spans="1:12" x14ac:dyDescent="0.25">
      <c r="A795" s="4" t="s">
        <v>1710</v>
      </c>
      <c r="B795" s="4" t="s">
        <v>40</v>
      </c>
      <c r="C795" s="4" t="s">
        <v>21</v>
      </c>
      <c r="D795">
        <v>40</v>
      </c>
      <c r="E795" s="4" t="s">
        <v>76</v>
      </c>
      <c r="F795" s="4" t="s">
        <v>30</v>
      </c>
      <c r="G795" s="1">
        <v>44450</v>
      </c>
      <c r="H795" s="4" t="s">
        <v>1711</v>
      </c>
      <c r="I795" s="4" t="s">
        <v>280</v>
      </c>
      <c r="J795">
        <v>-6453804420</v>
      </c>
      <c r="K795" s="4" t="s">
        <v>25</v>
      </c>
      <c r="L795" t="b">
        <v>1</v>
      </c>
    </row>
    <row r="796" spans="1:12" x14ac:dyDescent="0.25">
      <c r="A796" s="4" t="s">
        <v>1712</v>
      </c>
      <c r="B796" s="4" t="s">
        <v>27</v>
      </c>
      <c r="C796" s="4" t="s">
        <v>142</v>
      </c>
      <c r="D796">
        <v>30</v>
      </c>
      <c r="E796" s="4" t="s">
        <v>42</v>
      </c>
      <c r="F796" s="4" t="s">
        <v>30</v>
      </c>
      <c r="G796" s="1">
        <v>43882</v>
      </c>
      <c r="H796" s="4" t="s">
        <v>1713</v>
      </c>
      <c r="I796" s="4" t="s">
        <v>217</v>
      </c>
      <c r="J796">
        <v>-175096169</v>
      </c>
      <c r="K796" s="4" t="s">
        <v>45</v>
      </c>
      <c r="L796" t="b">
        <v>1</v>
      </c>
    </row>
    <row r="797" spans="1:12" x14ac:dyDescent="0.25">
      <c r="A797" s="4" t="s">
        <v>1714</v>
      </c>
      <c r="B797" s="4" t="s">
        <v>61</v>
      </c>
      <c r="C797" s="4" t="s">
        <v>14</v>
      </c>
      <c r="D797">
        <v>30</v>
      </c>
      <c r="E797" s="4" t="s">
        <v>251</v>
      </c>
      <c r="F797" s="4" t="s">
        <v>30</v>
      </c>
      <c r="G797" s="1">
        <v>45620</v>
      </c>
      <c r="H797" s="4" t="s">
        <v>1715</v>
      </c>
      <c r="I797" s="4" t="s">
        <v>200</v>
      </c>
      <c r="J797">
        <v>-1595919456</v>
      </c>
      <c r="K797" s="4" t="s">
        <v>19</v>
      </c>
      <c r="L797" t="b">
        <v>1</v>
      </c>
    </row>
    <row r="798" spans="1:12" x14ac:dyDescent="0.25">
      <c r="A798" s="4" t="s">
        <v>1716</v>
      </c>
      <c r="B798" s="4" t="s">
        <v>61</v>
      </c>
      <c r="C798" s="4" t="s">
        <v>28</v>
      </c>
      <c r="D798">
        <v>25</v>
      </c>
      <c r="E798" s="4" t="s">
        <v>259</v>
      </c>
      <c r="F798" s="4" t="s">
        <v>16</v>
      </c>
      <c r="G798" s="1">
        <v>44251</v>
      </c>
      <c r="H798" s="4" t="s">
        <v>1717</v>
      </c>
      <c r="I798" s="4" t="s">
        <v>140</v>
      </c>
      <c r="J798">
        <v>-5757475832</v>
      </c>
      <c r="K798" s="4" t="s">
        <v>33</v>
      </c>
      <c r="L798" t="b">
        <v>0</v>
      </c>
    </row>
    <row r="799" spans="1:12" x14ac:dyDescent="0.25">
      <c r="A799" s="4" t="s">
        <v>1718</v>
      </c>
      <c r="B799" s="4" t="s">
        <v>13</v>
      </c>
      <c r="C799" s="4" t="s">
        <v>14</v>
      </c>
      <c r="D799">
        <v>25</v>
      </c>
      <c r="E799" s="4" t="s">
        <v>165</v>
      </c>
      <c r="F799" s="4" t="s">
        <v>30</v>
      </c>
      <c r="G799" s="1">
        <v>45567</v>
      </c>
      <c r="H799" s="4" t="s">
        <v>1719</v>
      </c>
      <c r="I799" s="4" t="s">
        <v>18</v>
      </c>
      <c r="J799">
        <v>-9205677566</v>
      </c>
      <c r="K799" s="4" t="s">
        <v>19</v>
      </c>
      <c r="L799" t="b">
        <v>1</v>
      </c>
    </row>
    <row r="800" spans="1:12" x14ac:dyDescent="0.25">
      <c r="A800" s="4" t="s">
        <v>1720</v>
      </c>
      <c r="B800" s="4" t="s">
        <v>75</v>
      </c>
      <c r="C800" s="4" t="s">
        <v>142</v>
      </c>
      <c r="D800">
        <v>25</v>
      </c>
      <c r="E800" s="4" t="s">
        <v>110</v>
      </c>
      <c r="F800" s="4" t="s">
        <v>30</v>
      </c>
      <c r="G800" s="1">
        <v>45357</v>
      </c>
      <c r="H800" s="4" t="s">
        <v>1721</v>
      </c>
      <c r="I800" s="4" t="s">
        <v>436</v>
      </c>
      <c r="J800">
        <v>-7722660255</v>
      </c>
      <c r="K800" s="4" t="s">
        <v>33</v>
      </c>
      <c r="L800" t="b">
        <v>1</v>
      </c>
    </row>
    <row r="801" spans="1:12" x14ac:dyDescent="0.25">
      <c r="A801" s="4" t="s">
        <v>1722</v>
      </c>
      <c r="B801" s="4" t="s">
        <v>35</v>
      </c>
      <c r="C801" s="4" t="s">
        <v>41</v>
      </c>
      <c r="D801">
        <v>30</v>
      </c>
      <c r="E801" s="4" t="s">
        <v>76</v>
      </c>
      <c r="F801" s="4" t="s">
        <v>16</v>
      </c>
      <c r="G801" s="1">
        <v>44417</v>
      </c>
      <c r="H801" s="4" t="s">
        <v>1723</v>
      </c>
      <c r="I801" s="4" t="s">
        <v>167</v>
      </c>
      <c r="J801">
        <v>-2650622922</v>
      </c>
      <c r="K801" s="4" t="s">
        <v>19</v>
      </c>
      <c r="L801" t="b">
        <v>1</v>
      </c>
    </row>
    <row r="802" spans="1:12" x14ac:dyDescent="0.25">
      <c r="A802" s="4" t="s">
        <v>1724</v>
      </c>
      <c r="B802" s="4" t="s">
        <v>75</v>
      </c>
      <c r="C802" s="4" t="s">
        <v>142</v>
      </c>
      <c r="D802">
        <v>25</v>
      </c>
      <c r="E802" s="4" t="s">
        <v>76</v>
      </c>
      <c r="F802" s="4" t="s">
        <v>16</v>
      </c>
      <c r="G802" s="1">
        <v>44391</v>
      </c>
      <c r="H802" s="4" t="s">
        <v>1725</v>
      </c>
      <c r="I802" s="4" t="s">
        <v>436</v>
      </c>
      <c r="J802">
        <v>-1067245306</v>
      </c>
      <c r="K802" s="4" t="s">
        <v>19</v>
      </c>
      <c r="L802" t="b">
        <v>1</v>
      </c>
    </row>
    <row r="803" spans="1:12" x14ac:dyDescent="0.25">
      <c r="A803" s="4" t="s">
        <v>1726</v>
      </c>
      <c r="B803" s="4" t="s">
        <v>13</v>
      </c>
      <c r="C803" s="4" t="s">
        <v>106</v>
      </c>
      <c r="D803">
        <v>30</v>
      </c>
      <c r="E803" s="4" t="s">
        <v>210</v>
      </c>
      <c r="F803" s="4" t="s">
        <v>30</v>
      </c>
      <c r="G803" s="1">
        <v>44483</v>
      </c>
      <c r="H803" s="4" t="s">
        <v>1727</v>
      </c>
      <c r="I803" s="4" t="s">
        <v>108</v>
      </c>
      <c r="J803">
        <v>-6248433796</v>
      </c>
      <c r="K803" s="4" t="s">
        <v>19</v>
      </c>
      <c r="L803" t="b">
        <v>1</v>
      </c>
    </row>
    <row r="804" spans="1:12" x14ac:dyDescent="0.25">
      <c r="A804" s="4" t="s">
        <v>1728</v>
      </c>
      <c r="B804" s="4" t="s">
        <v>35</v>
      </c>
      <c r="C804" s="4" t="s">
        <v>142</v>
      </c>
      <c r="E804" s="4" t="s">
        <v>233</v>
      </c>
      <c r="F804" s="4" t="s">
        <v>16</v>
      </c>
      <c r="G804" s="1">
        <v>44468</v>
      </c>
      <c r="H804" s="4" t="s">
        <v>1729</v>
      </c>
      <c r="I804" s="4" t="s">
        <v>632</v>
      </c>
      <c r="J804">
        <v>-6627051156</v>
      </c>
      <c r="K804" s="4" t="s">
        <v>45</v>
      </c>
      <c r="L804" t="b">
        <v>1</v>
      </c>
    </row>
    <row r="805" spans="1:12" x14ac:dyDescent="0.25">
      <c r="A805" s="4" t="s">
        <v>1730</v>
      </c>
      <c r="B805" s="4" t="s">
        <v>75</v>
      </c>
      <c r="C805" s="4" t="s">
        <v>142</v>
      </c>
      <c r="D805">
        <v>25</v>
      </c>
      <c r="E805" s="4" t="s">
        <v>120</v>
      </c>
      <c r="F805" s="4" t="s">
        <v>36</v>
      </c>
      <c r="G805" s="1">
        <v>45214</v>
      </c>
      <c r="H805" s="4" t="s">
        <v>1731</v>
      </c>
      <c r="I805" s="4" t="s">
        <v>436</v>
      </c>
      <c r="J805">
        <v>-9423873669</v>
      </c>
      <c r="K805" s="4" t="s">
        <v>45</v>
      </c>
      <c r="L805" t="b">
        <v>1</v>
      </c>
    </row>
    <row r="806" spans="1:12" x14ac:dyDescent="0.25">
      <c r="A806" s="4" t="s">
        <v>1732</v>
      </c>
      <c r="B806" s="4" t="s">
        <v>13</v>
      </c>
      <c r="C806" s="4" t="s">
        <v>106</v>
      </c>
      <c r="D806">
        <v>40</v>
      </c>
      <c r="E806" s="4" t="s">
        <v>267</v>
      </c>
      <c r="F806" s="4" t="s">
        <v>30</v>
      </c>
      <c r="G806" s="1">
        <v>45051</v>
      </c>
      <c r="H806" s="4" t="s">
        <v>1733</v>
      </c>
      <c r="I806" s="4" t="s">
        <v>108</v>
      </c>
      <c r="J806">
        <v>-4254969191</v>
      </c>
      <c r="K806" s="4" t="s">
        <v>25</v>
      </c>
      <c r="L806" t="b">
        <v>0</v>
      </c>
    </row>
    <row r="807" spans="1:12" x14ac:dyDescent="0.25">
      <c r="A807" s="4" t="s">
        <v>1734</v>
      </c>
      <c r="B807" s="4" t="s">
        <v>75</v>
      </c>
      <c r="C807" s="4" t="s">
        <v>21</v>
      </c>
      <c r="E807" s="4" t="s">
        <v>172</v>
      </c>
      <c r="F807" s="4" t="s">
        <v>36</v>
      </c>
      <c r="G807" s="1">
        <v>45505</v>
      </c>
      <c r="H807" s="4" t="s">
        <v>1735</v>
      </c>
      <c r="I807" s="4" t="s">
        <v>480</v>
      </c>
      <c r="J807">
        <v>-8455259709</v>
      </c>
      <c r="K807" s="4" t="s">
        <v>25</v>
      </c>
      <c r="L807" t="b">
        <v>0</v>
      </c>
    </row>
    <row r="808" spans="1:12" x14ac:dyDescent="0.25">
      <c r="A808" s="4" t="s">
        <v>1736</v>
      </c>
      <c r="B808" s="4" t="s">
        <v>13</v>
      </c>
      <c r="C808" s="4" t="s">
        <v>47</v>
      </c>
      <c r="D808">
        <v>40</v>
      </c>
      <c r="E808" s="4" t="s">
        <v>126</v>
      </c>
      <c r="F808" s="4" t="s">
        <v>16</v>
      </c>
      <c r="G808" s="1">
        <v>45495</v>
      </c>
      <c r="H808" s="4" t="s">
        <v>1737</v>
      </c>
      <c r="I808" s="4" t="s">
        <v>180</v>
      </c>
      <c r="J808">
        <v>-7563353573</v>
      </c>
      <c r="K808" s="4" t="s">
        <v>33</v>
      </c>
      <c r="L808" t="b">
        <v>0</v>
      </c>
    </row>
    <row r="809" spans="1:12" x14ac:dyDescent="0.25">
      <c r="A809" s="4" t="s">
        <v>1738</v>
      </c>
      <c r="B809" s="4" t="s">
        <v>13</v>
      </c>
      <c r="C809" s="4" t="s">
        <v>142</v>
      </c>
      <c r="D809">
        <v>40</v>
      </c>
      <c r="E809" s="4" t="s">
        <v>175</v>
      </c>
      <c r="F809" s="4" t="s">
        <v>30</v>
      </c>
      <c r="G809" s="1">
        <v>45285</v>
      </c>
      <c r="H809" s="4" t="s">
        <v>1739</v>
      </c>
      <c r="I809" s="4" t="s">
        <v>144</v>
      </c>
      <c r="J809">
        <v>-8595325938</v>
      </c>
      <c r="K809" s="4" t="s">
        <v>45</v>
      </c>
      <c r="L809" t="b">
        <v>0</v>
      </c>
    </row>
    <row r="810" spans="1:12" x14ac:dyDescent="0.25">
      <c r="A810" s="4" t="s">
        <v>1740</v>
      </c>
      <c r="B810" s="4" t="s">
        <v>67</v>
      </c>
      <c r="C810" s="4" t="s">
        <v>106</v>
      </c>
      <c r="D810">
        <v>30</v>
      </c>
      <c r="E810" s="4" t="s">
        <v>210</v>
      </c>
      <c r="F810" s="4" t="s">
        <v>36</v>
      </c>
      <c r="G810" s="1">
        <v>44633</v>
      </c>
      <c r="H810" s="4" t="s">
        <v>1741</v>
      </c>
      <c r="I810" s="4" t="s">
        <v>124</v>
      </c>
      <c r="J810">
        <v>-9337970580</v>
      </c>
      <c r="K810" s="4" t="s">
        <v>33</v>
      </c>
      <c r="L810" t="b">
        <v>1</v>
      </c>
    </row>
    <row r="811" spans="1:12" x14ac:dyDescent="0.25">
      <c r="A811" s="4" t="s">
        <v>1742</v>
      </c>
      <c r="B811" s="4" t="s">
        <v>40</v>
      </c>
      <c r="C811" s="4" t="s">
        <v>28</v>
      </c>
      <c r="D811">
        <v>35</v>
      </c>
      <c r="E811" s="4" t="s">
        <v>130</v>
      </c>
      <c r="F811" s="4" t="s">
        <v>16</v>
      </c>
      <c r="G811" s="1">
        <v>43964</v>
      </c>
      <c r="H811" s="4" t="s">
        <v>1743</v>
      </c>
      <c r="I811" s="4" t="s">
        <v>53</v>
      </c>
      <c r="J811">
        <v>-6295187793</v>
      </c>
      <c r="K811" s="4" t="s">
        <v>25</v>
      </c>
      <c r="L811" t="b">
        <v>0</v>
      </c>
    </row>
    <row r="812" spans="1:12" x14ac:dyDescent="0.25">
      <c r="A812" s="4" t="s">
        <v>1744</v>
      </c>
      <c r="B812" s="4" t="s">
        <v>75</v>
      </c>
      <c r="C812" s="4" t="s">
        <v>41</v>
      </c>
      <c r="D812">
        <v>30</v>
      </c>
      <c r="E812" s="4" t="s">
        <v>172</v>
      </c>
      <c r="F812" s="4" t="s">
        <v>30</v>
      </c>
      <c r="G812" s="1">
        <v>45007</v>
      </c>
      <c r="H812" s="4" t="s">
        <v>1745</v>
      </c>
      <c r="I812" s="4" t="s">
        <v>78</v>
      </c>
      <c r="J812">
        <v>-1763425072</v>
      </c>
      <c r="K812" s="4" t="s">
        <v>33</v>
      </c>
      <c r="L812" t="b">
        <v>0</v>
      </c>
    </row>
    <row r="813" spans="1:12" x14ac:dyDescent="0.25">
      <c r="A813" s="4" t="s">
        <v>1746</v>
      </c>
      <c r="B813" s="4" t="s">
        <v>13</v>
      </c>
      <c r="C813" s="4" t="s">
        <v>41</v>
      </c>
      <c r="D813">
        <v>35</v>
      </c>
      <c r="E813" s="4" t="s">
        <v>259</v>
      </c>
      <c r="F813" s="4" t="s">
        <v>16</v>
      </c>
      <c r="G813" s="1">
        <v>45453</v>
      </c>
      <c r="H813" s="4" t="s">
        <v>1747</v>
      </c>
      <c r="I813" s="4" t="s">
        <v>170</v>
      </c>
      <c r="J813">
        <v>-3055978244</v>
      </c>
      <c r="K813" s="4" t="s">
        <v>25</v>
      </c>
      <c r="L813" t="b">
        <v>1</v>
      </c>
    </row>
    <row r="814" spans="1:12" x14ac:dyDescent="0.25">
      <c r="A814" s="4" t="s">
        <v>1748</v>
      </c>
      <c r="B814" s="4" t="s">
        <v>80</v>
      </c>
      <c r="C814" s="4" t="s">
        <v>142</v>
      </c>
      <c r="D814">
        <v>30</v>
      </c>
      <c r="E814" s="4" t="s">
        <v>126</v>
      </c>
      <c r="F814" s="4" t="s">
        <v>30</v>
      </c>
      <c r="G814" s="1">
        <v>44156</v>
      </c>
      <c r="H814" s="4" t="s">
        <v>1749</v>
      </c>
      <c r="I814" s="4" t="s">
        <v>160</v>
      </c>
      <c r="J814">
        <v>-7598339913</v>
      </c>
      <c r="K814" s="4" t="s">
        <v>45</v>
      </c>
      <c r="L814" t="b">
        <v>1</v>
      </c>
    </row>
    <row r="815" spans="1:12" x14ac:dyDescent="0.25">
      <c r="A815" s="4" t="s">
        <v>1750</v>
      </c>
      <c r="B815" s="4" t="s">
        <v>40</v>
      </c>
      <c r="C815" s="4" t="s">
        <v>21</v>
      </c>
      <c r="D815">
        <v>30</v>
      </c>
      <c r="E815" s="4" t="s">
        <v>91</v>
      </c>
      <c r="F815" s="4" t="s">
        <v>36</v>
      </c>
      <c r="G815" s="1">
        <v>45437</v>
      </c>
      <c r="H815" s="4" t="s">
        <v>1751</v>
      </c>
      <c r="I815" s="4" t="s">
        <v>280</v>
      </c>
      <c r="J815">
        <v>-388436603</v>
      </c>
      <c r="K815" s="4" t="s">
        <v>19</v>
      </c>
      <c r="L815" t="b">
        <v>0</v>
      </c>
    </row>
    <row r="816" spans="1:12" x14ac:dyDescent="0.25">
      <c r="A816" s="4" t="s">
        <v>1752</v>
      </c>
      <c r="B816" s="4" t="s">
        <v>40</v>
      </c>
      <c r="C816" s="4" t="s">
        <v>21</v>
      </c>
      <c r="E816" s="4" t="s">
        <v>63</v>
      </c>
      <c r="F816" s="4" t="s">
        <v>16</v>
      </c>
      <c r="G816" s="1">
        <v>45188</v>
      </c>
      <c r="H816" s="4" t="s">
        <v>1753</v>
      </c>
      <c r="I816" s="4" t="s">
        <v>280</v>
      </c>
      <c r="J816">
        <v>-4324006156</v>
      </c>
      <c r="K816" s="4" t="s">
        <v>45</v>
      </c>
      <c r="L816" t="b">
        <v>0</v>
      </c>
    </row>
    <row r="817" spans="1:12" x14ac:dyDescent="0.25">
      <c r="A817" s="4" t="s">
        <v>1754</v>
      </c>
      <c r="B817" s="4" t="s">
        <v>75</v>
      </c>
      <c r="C817" s="4" t="s">
        <v>28</v>
      </c>
      <c r="D817">
        <v>25</v>
      </c>
      <c r="E817" s="4" t="s">
        <v>113</v>
      </c>
      <c r="F817" s="4" t="s">
        <v>36</v>
      </c>
      <c r="G817" s="1">
        <v>44497</v>
      </c>
      <c r="H817" s="4" t="s">
        <v>1755</v>
      </c>
      <c r="I817" s="4" t="s">
        <v>375</v>
      </c>
      <c r="J817">
        <v>-2768297513</v>
      </c>
      <c r="K817" s="4" t="s">
        <v>33</v>
      </c>
      <c r="L817" t="b">
        <v>1</v>
      </c>
    </row>
    <row r="818" spans="1:12" x14ac:dyDescent="0.25">
      <c r="A818" s="4" t="s">
        <v>1756</v>
      </c>
      <c r="B818" s="4" t="s">
        <v>61</v>
      </c>
      <c r="C818" s="4" t="s">
        <v>142</v>
      </c>
      <c r="D818">
        <v>35</v>
      </c>
      <c r="E818" s="4" t="s">
        <v>22</v>
      </c>
      <c r="F818" s="4" t="s">
        <v>30</v>
      </c>
      <c r="G818" s="1">
        <v>44053</v>
      </c>
      <c r="H818" s="4" t="s">
        <v>1757</v>
      </c>
      <c r="I818" s="4" t="s">
        <v>231</v>
      </c>
      <c r="J818">
        <v>-7439742924</v>
      </c>
      <c r="K818" s="4" t="s">
        <v>33</v>
      </c>
      <c r="L818" t="b">
        <v>0</v>
      </c>
    </row>
    <row r="819" spans="1:12" x14ac:dyDescent="0.25">
      <c r="A819" s="4" t="s">
        <v>1758</v>
      </c>
      <c r="B819" s="4" t="s">
        <v>80</v>
      </c>
      <c r="C819" s="4" t="s">
        <v>41</v>
      </c>
      <c r="D819">
        <v>35</v>
      </c>
      <c r="E819" s="4" t="s">
        <v>116</v>
      </c>
      <c r="F819" s="4" t="s">
        <v>30</v>
      </c>
      <c r="G819" s="1">
        <v>43956</v>
      </c>
      <c r="H819" s="4" t="s">
        <v>1759</v>
      </c>
      <c r="I819" s="4" t="s">
        <v>83</v>
      </c>
      <c r="J819">
        <v>-105875255</v>
      </c>
      <c r="K819" s="4" t="s">
        <v>45</v>
      </c>
      <c r="L819" t="b">
        <v>1</v>
      </c>
    </row>
    <row r="820" spans="1:12" x14ac:dyDescent="0.25">
      <c r="A820" s="4" t="s">
        <v>1760</v>
      </c>
      <c r="B820" s="4" t="s">
        <v>27</v>
      </c>
      <c r="C820" s="4" t="s">
        <v>21</v>
      </c>
      <c r="D820">
        <v>30</v>
      </c>
      <c r="E820" s="4" t="s">
        <v>63</v>
      </c>
      <c r="F820" s="4" t="s">
        <v>36</v>
      </c>
      <c r="G820" s="1">
        <v>44919</v>
      </c>
      <c r="H820" s="4" t="s">
        <v>1761</v>
      </c>
      <c r="I820" s="4" t="s">
        <v>93</v>
      </c>
      <c r="J820">
        <v>-8065625903</v>
      </c>
      <c r="K820" s="4" t="s">
        <v>45</v>
      </c>
      <c r="L820" t="b">
        <v>1</v>
      </c>
    </row>
    <row r="821" spans="1:12" x14ac:dyDescent="0.25">
      <c r="A821" s="4" t="s">
        <v>1762</v>
      </c>
      <c r="B821" s="4" t="s">
        <v>75</v>
      </c>
      <c r="C821" s="4" t="s">
        <v>142</v>
      </c>
      <c r="D821">
        <v>30</v>
      </c>
      <c r="E821" s="4" t="s">
        <v>29</v>
      </c>
      <c r="F821" s="4" t="s">
        <v>36</v>
      </c>
      <c r="G821" s="1">
        <v>44444</v>
      </c>
      <c r="H821" s="4" t="s">
        <v>1763</v>
      </c>
      <c r="I821" s="4" t="s">
        <v>436</v>
      </c>
      <c r="J821">
        <v>-5990802710</v>
      </c>
      <c r="K821" s="4" t="s">
        <v>25</v>
      </c>
      <c r="L821" t="b">
        <v>1</v>
      </c>
    </row>
    <row r="822" spans="1:12" x14ac:dyDescent="0.25">
      <c r="A822" s="4" t="s">
        <v>1764</v>
      </c>
      <c r="B822" s="4" t="s">
        <v>35</v>
      </c>
      <c r="C822" s="4" t="s">
        <v>14</v>
      </c>
      <c r="D822">
        <v>40</v>
      </c>
      <c r="E822" s="4" t="s">
        <v>15</v>
      </c>
      <c r="F822" s="4" t="s">
        <v>16</v>
      </c>
      <c r="G822" s="1">
        <v>45024</v>
      </c>
      <c r="H822" s="4" t="s">
        <v>1765</v>
      </c>
      <c r="I822" s="4" t="s">
        <v>38</v>
      </c>
      <c r="J822">
        <v>-2218231554</v>
      </c>
      <c r="K822" s="4" t="s">
        <v>33</v>
      </c>
      <c r="L822" t="b">
        <v>1</v>
      </c>
    </row>
    <row r="823" spans="1:12" x14ac:dyDescent="0.25">
      <c r="A823" s="4" t="s">
        <v>1766</v>
      </c>
      <c r="B823" s="4" t="s">
        <v>80</v>
      </c>
      <c r="C823" s="4" t="s">
        <v>21</v>
      </c>
      <c r="D823">
        <v>30</v>
      </c>
      <c r="E823" s="4" t="s">
        <v>165</v>
      </c>
      <c r="F823" s="4" t="s">
        <v>36</v>
      </c>
      <c r="G823" s="1">
        <v>44955</v>
      </c>
      <c r="H823" s="4" t="s">
        <v>322</v>
      </c>
      <c r="I823" s="4" t="s">
        <v>240</v>
      </c>
      <c r="J823">
        <v>-1651768085</v>
      </c>
      <c r="K823" s="4" t="s">
        <v>33</v>
      </c>
      <c r="L823" t="b">
        <v>0</v>
      </c>
    </row>
    <row r="824" spans="1:12" x14ac:dyDescent="0.25">
      <c r="A824" s="4" t="s">
        <v>1767</v>
      </c>
      <c r="B824" s="4" t="s">
        <v>40</v>
      </c>
      <c r="C824" s="4" t="s">
        <v>106</v>
      </c>
      <c r="D824">
        <v>25</v>
      </c>
      <c r="E824" s="4" t="s">
        <v>165</v>
      </c>
      <c r="F824" s="4" t="s">
        <v>16</v>
      </c>
      <c r="G824" s="1">
        <v>44715</v>
      </c>
      <c r="H824" s="4" t="s">
        <v>1768</v>
      </c>
      <c r="I824" s="4" t="s">
        <v>128</v>
      </c>
      <c r="J824">
        <v>-6281372142</v>
      </c>
      <c r="K824" s="4" t="s">
        <v>45</v>
      </c>
      <c r="L824" t="b">
        <v>1</v>
      </c>
    </row>
    <row r="825" spans="1:12" x14ac:dyDescent="0.25">
      <c r="A825" s="4" t="s">
        <v>1769</v>
      </c>
      <c r="B825" s="4" t="s">
        <v>40</v>
      </c>
      <c r="C825" s="4" t="s">
        <v>14</v>
      </c>
      <c r="D825">
        <v>40</v>
      </c>
      <c r="E825" s="4" t="s">
        <v>130</v>
      </c>
      <c r="F825" s="4" t="s">
        <v>36</v>
      </c>
      <c r="G825" s="1">
        <v>44947</v>
      </c>
      <c r="H825" s="4" t="s">
        <v>1770</v>
      </c>
      <c r="I825" s="4" t="s">
        <v>59</v>
      </c>
      <c r="J825">
        <v>-3080037002</v>
      </c>
      <c r="K825" s="4" t="s">
        <v>19</v>
      </c>
      <c r="L825" t="b">
        <v>1</v>
      </c>
    </row>
    <row r="826" spans="1:12" x14ac:dyDescent="0.25">
      <c r="A826" s="4" t="s">
        <v>1771</v>
      </c>
      <c r="B826" s="4" t="s">
        <v>61</v>
      </c>
      <c r="C826" s="4" t="s">
        <v>47</v>
      </c>
      <c r="D826">
        <v>30</v>
      </c>
      <c r="E826" s="4" t="s">
        <v>87</v>
      </c>
      <c r="F826" s="4" t="s">
        <v>36</v>
      </c>
      <c r="G826" s="1">
        <v>45551</v>
      </c>
      <c r="H826" s="4" t="s">
        <v>1772</v>
      </c>
      <c r="I826" s="4" t="s">
        <v>100</v>
      </c>
      <c r="J826">
        <v>-3228556607</v>
      </c>
      <c r="K826" s="4" t="s">
        <v>33</v>
      </c>
      <c r="L826" t="b">
        <v>0</v>
      </c>
    </row>
    <row r="827" spans="1:12" x14ac:dyDescent="0.25">
      <c r="A827" s="4" t="s">
        <v>1773</v>
      </c>
      <c r="B827" s="4" t="s">
        <v>61</v>
      </c>
      <c r="C827" s="4" t="s">
        <v>21</v>
      </c>
      <c r="D827">
        <v>30</v>
      </c>
      <c r="E827" s="4" t="s">
        <v>187</v>
      </c>
      <c r="F827" s="4" t="s">
        <v>30</v>
      </c>
      <c r="G827" s="1">
        <v>43863</v>
      </c>
      <c r="H827" s="4" t="s">
        <v>1774</v>
      </c>
      <c r="I827" s="4" t="s">
        <v>147</v>
      </c>
      <c r="J827">
        <v>-4706810389</v>
      </c>
      <c r="K827" s="4" t="s">
        <v>19</v>
      </c>
      <c r="L827" t="b">
        <v>1</v>
      </c>
    </row>
    <row r="828" spans="1:12" x14ac:dyDescent="0.25">
      <c r="A828" s="4" t="s">
        <v>1775</v>
      </c>
      <c r="B828" s="4" t="s">
        <v>80</v>
      </c>
      <c r="C828" s="4" t="s">
        <v>41</v>
      </c>
      <c r="D828">
        <v>30</v>
      </c>
      <c r="E828" s="4" t="s">
        <v>68</v>
      </c>
      <c r="F828" s="4" t="s">
        <v>30</v>
      </c>
      <c r="G828" s="1">
        <v>45481</v>
      </c>
      <c r="H828" s="4" t="s">
        <v>1776</v>
      </c>
      <c r="I828" s="4" t="s">
        <v>83</v>
      </c>
      <c r="J828">
        <v>-3397051957</v>
      </c>
      <c r="K828" s="4" t="s">
        <v>45</v>
      </c>
      <c r="L828" t="b">
        <v>0</v>
      </c>
    </row>
    <row r="829" spans="1:12" x14ac:dyDescent="0.25">
      <c r="A829" s="4" t="s">
        <v>1777</v>
      </c>
      <c r="B829" s="4" t="s">
        <v>80</v>
      </c>
      <c r="C829" s="4" t="s">
        <v>62</v>
      </c>
      <c r="E829" s="4" t="s">
        <v>244</v>
      </c>
      <c r="F829" s="4" t="s">
        <v>30</v>
      </c>
      <c r="G829" s="1">
        <v>44699</v>
      </c>
      <c r="H829" s="4" t="s">
        <v>1778</v>
      </c>
      <c r="I829" s="4" t="s">
        <v>150</v>
      </c>
      <c r="J829">
        <v>-2632809447</v>
      </c>
      <c r="K829" s="4" t="s">
        <v>45</v>
      </c>
      <c r="L829" t="b">
        <v>0</v>
      </c>
    </row>
    <row r="830" spans="1:12" x14ac:dyDescent="0.25">
      <c r="A830" s="4" t="s">
        <v>1779</v>
      </c>
      <c r="B830" s="4" t="s">
        <v>40</v>
      </c>
      <c r="C830" s="4" t="s">
        <v>14</v>
      </c>
      <c r="D830">
        <v>30</v>
      </c>
      <c r="E830" s="4" t="s">
        <v>244</v>
      </c>
      <c r="F830" s="4" t="s">
        <v>30</v>
      </c>
      <c r="G830" s="1">
        <v>43846</v>
      </c>
      <c r="H830" s="4" t="s">
        <v>1780</v>
      </c>
      <c r="I830" s="4" t="s">
        <v>59</v>
      </c>
      <c r="J830">
        <v>-5862394534</v>
      </c>
      <c r="K830" s="4" t="s">
        <v>25</v>
      </c>
      <c r="L830" t="b">
        <v>0</v>
      </c>
    </row>
    <row r="831" spans="1:12" x14ac:dyDescent="0.25">
      <c r="A831" s="4" t="s">
        <v>1781</v>
      </c>
      <c r="B831" s="4" t="s">
        <v>67</v>
      </c>
      <c r="C831" s="4" t="s">
        <v>47</v>
      </c>
      <c r="E831" s="4" t="s">
        <v>251</v>
      </c>
      <c r="F831" s="4" t="s">
        <v>30</v>
      </c>
      <c r="G831" s="1">
        <v>45011</v>
      </c>
      <c r="H831" s="4" t="s">
        <v>1782</v>
      </c>
      <c r="I831" s="4" t="s">
        <v>118</v>
      </c>
      <c r="J831">
        <v>-4614707985</v>
      </c>
      <c r="K831" s="4" t="s">
        <v>33</v>
      </c>
      <c r="L831" t="b">
        <v>1</v>
      </c>
    </row>
    <row r="832" spans="1:12" x14ac:dyDescent="0.25">
      <c r="A832" s="4" t="s">
        <v>1783</v>
      </c>
      <c r="B832" s="4" t="s">
        <v>75</v>
      </c>
      <c r="C832" s="4" t="s">
        <v>28</v>
      </c>
      <c r="D832">
        <v>35</v>
      </c>
      <c r="E832" s="4" t="s">
        <v>110</v>
      </c>
      <c r="F832" s="4" t="s">
        <v>36</v>
      </c>
      <c r="G832" s="1">
        <v>45245</v>
      </c>
      <c r="H832" s="4" t="s">
        <v>1784</v>
      </c>
      <c r="I832" s="4" t="s">
        <v>375</v>
      </c>
      <c r="J832">
        <v>-3210613393</v>
      </c>
      <c r="K832" s="4" t="s">
        <v>19</v>
      </c>
      <c r="L832" t="b">
        <v>0</v>
      </c>
    </row>
    <row r="833" spans="1:12" x14ac:dyDescent="0.25">
      <c r="A833" s="4" t="s">
        <v>1785</v>
      </c>
      <c r="B833" s="4" t="s">
        <v>35</v>
      </c>
      <c r="C833" s="4" t="s">
        <v>28</v>
      </c>
      <c r="D833">
        <v>40</v>
      </c>
      <c r="E833" s="4" t="s">
        <v>48</v>
      </c>
      <c r="F833" s="4" t="s">
        <v>30</v>
      </c>
      <c r="G833" s="1">
        <v>45653</v>
      </c>
      <c r="H833" s="4" t="s">
        <v>1786</v>
      </c>
      <c r="I833" s="4" t="s">
        <v>323</v>
      </c>
      <c r="J833">
        <v>-3945703942</v>
      </c>
      <c r="K833" s="4" t="s">
        <v>25</v>
      </c>
      <c r="L833" t="b">
        <v>0</v>
      </c>
    </row>
    <row r="834" spans="1:12" x14ac:dyDescent="0.25">
      <c r="A834" s="4" t="s">
        <v>1787</v>
      </c>
      <c r="B834" s="4" t="s">
        <v>13</v>
      </c>
      <c r="C834" s="4" t="s">
        <v>41</v>
      </c>
      <c r="E834" s="4" t="s">
        <v>210</v>
      </c>
      <c r="F834" s="4" t="s">
        <v>30</v>
      </c>
      <c r="G834" s="1">
        <v>43939</v>
      </c>
      <c r="H834" s="4" t="s">
        <v>1788</v>
      </c>
      <c r="I834" s="4" t="s">
        <v>170</v>
      </c>
      <c r="J834">
        <v>-8040325375</v>
      </c>
      <c r="K834" s="4" t="s">
        <v>33</v>
      </c>
      <c r="L834" t="b">
        <v>1</v>
      </c>
    </row>
    <row r="835" spans="1:12" x14ac:dyDescent="0.25">
      <c r="A835" s="4" t="s">
        <v>1789</v>
      </c>
      <c r="B835" s="4" t="s">
        <v>27</v>
      </c>
      <c r="C835" s="4" t="s">
        <v>21</v>
      </c>
      <c r="D835">
        <v>40</v>
      </c>
      <c r="E835" s="4" t="s">
        <v>309</v>
      </c>
      <c r="F835" s="4" t="s">
        <v>36</v>
      </c>
      <c r="G835" s="1">
        <v>45006</v>
      </c>
      <c r="H835" s="4" t="s">
        <v>1790</v>
      </c>
      <c r="I835" s="4" t="s">
        <v>93</v>
      </c>
      <c r="J835">
        <v>-5769277893</v>
      </c>
      <c r="K835" s="4" t="s">
        <v>25</v>
      </c>
      <c r="L835" t="b">
        <v>0</v>
      </c>
    </row>
    <row r="836" spans="1:12" x14ac:dyDescent="0.25">
      <c r="A836" s="4" t="s">
        <v>1791</v>
      </c>
      <c r="B836" s="4" t="s">
        <v>35</v>
      </c>
      <c r="C836" s="4" t="s">
        <v>142</v>
      </c>
      <c r="D836">
        <v>35</v>
      </c>
      <c r="E836" s="4" t="s">
        <v>120</v>
      </c>
      <c r="F836" s="4" t="s">
        <v>30</v>
      </c>
      <c r="G836" s="1">
        <v>45054</v>
      </c>
      <c r="H836" s="4" t="s">
        <v>1792</v>
      </c>
      <c r="I836" s="4" t="s">
        <v>632</v>
      </c>
      <c r="J836">
        <v>-3191009003</v>
      </c>
      <c r="K836" s="4" t="s">
        <v>45</v>
      </c>
      <c r="L836" t="b">
        <v>0</v>
      </c>
    </row>
    <row r="837" spans="1:12" x14ac:dyDescent="0.25">
      <c r="A837" s="4" t="s">
        <v>1793</v>
      </c>
      <c r="B837" s="4" t="s">
        <v>35</v>
      </c>
      <c r="C837" s="4" t="s">
        <v>21</v>
      </c>
      <c r="D837">
        <v>25</v>
      </c>
      <c r="E837" s="4" t="s">
        <v>270</v>
      </c>
      <c r="F837" s="4" t="s">
        <v>30</v>
      </c>
      <c r="G837" s="1">
        <v>44177</v>
      </c>
      <c r="H837" s="4" t="s">
        <v>1794</v>
      </c>
      <c r="I837" s="4" t="s">
        <v>183</v>
      </c>
      <c r="J837">
        <v>-476921052</v>
      </c>
      <c r="K837" s="4" t="s">
        <v>33</v>
      </c>
      <c r="L837" t="b">
        <v>0</v>
      </c>
    </row>
    <row r="838" spans="1:12" x14ac:dyDescent="0.25">
      <c r="A838" s="4" t="s">
        <v>1795</v>
      </c>
      <c r="B838" s="4" t="s">
        <v>35</v>
      </c>
      <c r="C838" s="4" t="s">
        <v>41</v>
      </c>
      <c r="E838" s="4" t="s">
        <v>312</v>
      </c>
      <c r="F838" s="4" t="s">
        <v>36</v>
      </c>
      <c r="G838" s="1">
        <v>43999</v>
      </c>
      <c r="H838" s="4" t="s">
        <v>1796</v>
      </c>
      <c r="I838" s="4" t="s">
        <v>167</v>
      </c>
      <c r="J838">
        <v>-3651460400</v>
      </c>
      <c r="K838" s="4" t="s">
        <v>25</v>
      </c>
      <c r="L838" t="b">
        <v>0</v>
      </c>
    </row>
    <row r="839" spans="1:12" x14ac:dyDescent="0.25">
      <c r="A839" s="4" t="s">
        <v>1797</v>
      </c>
      <c r="B839" s="4" t="s">
        <v>35</v>
      </c>
      <c r="C839" s="4" t="s">
        <v>28</v>
      </c>
      <c r="D839">
        <v>35</v>
      </c>
      <c r="E839" s="4" t="s">
        <v>102</v>
      </c>
      <c r="F839" s="4" t="s">
        <v>36</v>
      </c>
      <c r="G839" s="1">
        <v>44394</v>
      </c>
      <c r="H839" s="4" t="s">
        <v>322</v>
      </c>
      <c r="I839" s="4" t="s">
        <v>323</v>
      </c>
      <c r="J839">
        <v>-4247310719</v>
      </c>
      <c r="K839" s="4" t="s">
        <v>25</v>
      </c>
      <c r="L839" t="b">
        <v>0</v>
      </c>
    </row>
    <row r="840" spans="1:12" x14ac:dyDescent="0.25">
      <c r="A840" s="4" t="s">
        <v>1798</v>
      </c>
      <c r="B840" s="4" t="s">
        <v>13</v>
      </c>
      <c r="C840" s="4" t="s">
        <v>21</v>
      </c>
      <c r="E840" s="4" t="s">
        <v>102</v>
      </c>
      <c r="F840" s="4" t="s">
        <v>30</v>
      </c>
      <c r="G840" s="1">
        <v>44140</v>
      </c>
      <c r="H840" s="4" t="s">
        <v>1799</v>
      </c>
      <c r="I840" s="4" t="s">
        <v>24</v>
      </c>
      <c r="J840">
        <v>-1137984408</v>
      </c>
      <c r="K840" s="4" t="s">
        <v>19</v>
      </c>
      <c r="L840" t="b">
        <v>1</v>
      </c>
    </row>
    <row r="841" spans="1:12" x14ac:dyDescent="0.25">
      <c r="A841" s="4" t="s">
        <v>1800</v>
      </c>
      <c r="B841" s="4" t="s">
        <v>61</v>
      </c>
      <c r="C841" s="4" t="s">
        <v>28</v>
      </c>
      <c r="D841">
        <v>35</v>
      </c>
      <c r="E841" s="4" t="s">
        <v>63</v>
      </c>
      <c r="F841" s="4" t="s">
        <v>36</v>
      </c>
      <c r="G841" s="1">
        <v>44201</v>
      </c>
      <c r="H841" s="4" t="s">
        <v>1801</v>
      </c>
      <c r="I841" s="4" t="s">
        <v>140</v>
      </c>
      <c r="J841">
        <v>-7123166006</v>
      </c>
      <c r="K841" s="4" t="s">
        <v>25</v>
      </c>
      <c r="L841" t="b">
        <v>0</v>
      </c>
    </row>
    <row r="842" spans="1:12" x14ac:dyDescent="0.25">
      <c r="A842" s="4" t="s">
        <v>1802</v>
      </c>
      <c r="B842" s="4" t="s">
        <v>40</v>
      </c>
      <c r="C842" s="4" t="s">
        <v>14</v>
      </c>
      <c r="D842">
        <v>25</v>
      </c>
      <c r="E842" s="4" t="s">
        <v>102</v>
      </c>
      <c r="F842" s="4" t="s">
        <v>16</v>
      </c>
      <c r="G842" s="1">
        <v>45546</v>
      </c>
      <c r="H842" s="4" t="s">
        <v>1803</v>
      </c>
      <c r="I842" s="4" t="s">
        <v>59</v>
      </c>
      <c r="J842">
        <v>-6762090143</v>
      </c>
      <c r="K842" s="4" t="s">
        <v>33</v>
      </c>
      <c r="L842" t="b">
        <v>0</v>
      </c>
    </row>
    <row r="843" spans="1:12" x14ac:dyDescent="0.25">
      <c r="A843" s="4" t="s">
        <v>1804</v>
      </c>
      <c r="B843" s="4" t="s">
        <v>80</v>
      </c>
      <c r="C843" s="4" t="s">
        <v>47</v>
      </c>
      <c r="D843">
        <v>30</v>
      </c>
      <c r="E843" s="4" t="s">
        <v>270</v>
      </c>
      <c r="F843" s="4" t="s">
        <v>30</v>
      </c>
      <c r="G843" s="1">
        <v>45136</v>
      </c>
      <c r="H843" s="4" t="s">
        <v>1805</v>
      </c>
      <c r="I843" s="4" t="s">
        <v>96</v>
      </c>
      <c r="J843">
        <v>-7340433699</v>
      </c>
      <c r="K843" s="4" t="s">
        <v>33</v>
      </c>
      <c r="L843" t="b">
        <v>1</v>
      </c>
    </row>
    <row r="844" spans="1:12" x14ac:dyDescent="0.25">
      <c r="A844" s="4" t="s">
        <v>1806</v>
      </c>
      <c r="B844" s="4" t="s">
        <v>40</v>
      </c>
      <c r="C844" s="4" t="s">
        <v>142</v>
      </c>
      <c r="D844">
        <v>25</v>
      </c>
      <c r="E844" s="4" t="s">
        <v>15</v>
      </c>
      <c r="F844" s="4" t="s">
        <v>16</v>
      </c>
      <c r="G844" s="1">
        <v>43938</v>
      </c>
      <c r="H844" s="4" t="s">
        <v>1807</v>
      </c>
      <c r="I844" s="4" t="s">
        <v>163</v>
      </c>
      <c r="J844">
        <v>-9687304518</v>
      </c>
      <c r="K844" s="4" t="s">
        <v>19</v>
      </c>
      <c r="L844" t="b">
        <v>1</v>
      </c>
    </row>
    <row r="845" spans="1:12" x14ac:dyDescent="0.25">
      <c r="A845" s="4" t="s">
        <v>1808</v>
      </c>
      <c r="B845" s="4" t="s">
        <v>35</v>
      </c>
      <c r="C845" s="4" t="s">
        <v>14</v>
      </c>
      <c r="D845">
        <v>40</v>
      </c>
      <c r="E845" s="4" t="s">
        <v>91</v>
      </c>
      <c r="F845" s="4" t="s">
        <v>16</v>
      </c>
      <c r="G845" s="1">
        <v>44608</v>
      </c>
      <c r="H845" s="4" t="s">
        <v>1809</v>
      </c>
      <c r="I845" s="4" t="s">
        <v>38</v>
      </c>
      <c r="J845">
        <v>-5778255881</v>
      </c>
      <c r="K845" s="4" t="s">
        <v>33</v>
      </c>
      <c r="L845" t="b">
        <v>1</v>
      </c>
    </row>
    <row r="846" spans="1:12" x14ac:dyDescent="0.25">
      <c r="A846" s="4" t="s">
        <v>1810</v>
      </c>
      <c r="B846" s="4" t="s">
        <v>35</v>
      </c>
      <c r="C846" s="4" t="s">
        <v>28</v>
      </c>
      <c r="D846">
        <v>30</v>
      </c>
      <c r="E846" s="4" t="s">
        <v>87</v>
      </c>
      <c r="F846" s="4" t="s">
        <v>16</v>
      </c>
      <c r="G846" s="1">
        <v>44422</v>
      </c>
      <c r="H846" s="4" t="s">
        <v>1811</v>
      </c>
      <c r="I846" s="4" t="s">
        <v>323</v>
      </c>
      <c r="J846">
        <v>-5562965753</v>
      </c>
      <c r="K846" s="4" t="s">
        <v>45</v>
      </c>
      <c r="L846" t="b">
        <v>0</v>
      </c>
    </row>
    <row r="847" spans="1:12" x14ac:dyDescent="0.25">
      <c r="A847" s="4" t="s">
        <v>1812</v>
      </c>
      <c r="B847" s="4" t="s">
        <v>40</v>
      </c>
      <c r="C847" s="4" t="s">
        <v>28</v>
      </c>
      <c r="E847" s="4" t="s">
        <v>278</v>
      </c>
      <c r="F847" s="4" t="s">
        <v>16</v>
      </c>
      <c r="G847" s="1">
        <v>44919</v>
      </c>
      <c r="H847" s="4" t="s">
        <v>1813</v>
      </c>
      <c r="I847" s="4" t="s">
        <v>53</v>
      </c>
      <c r="J847">
        <v>-2786561941</v>
      </c>
      <c r="K847" s="4" t="s">
        <v>33</v>
      </c>
      <c r="L847" t="b">
        <v>1</v>
      </c>
    </row>
    <row r="848" spans="1:12" x14ac:dyDescent="0.25">
      <c r="A848" s="4" t="s">
        <v>1814</v>
      </c>
      <c r="B848" s="4" t="s">
        <v>80</v>
      </c>
      <c r="C848" s="4" t="s">
        <v>62</v>
      </c>
      <c r="E848" s="4" t="s">
        <v>15</v>
      </c>
      <c r="F848" s="4" t="s">
        <v>36</v>
      </c>
      <c r="G848" s="1">
        <v>44384</v>
      </c>
      <c r="H848" s="4" t="s">
        <v>1815</v>
      </c>
      <c r="I848" s="4" t="s">
        <v>150</v>
      </c>
      <c r="J848">
        <v>-5577820581</v>
      </c>
      <c r="K848" s="4" t="s">
        <v>33</v>
      </c>
      <c r="L848" t="b">
        <v>0</v>
      </c>
    </row>
    <row r="849" spans="1:12" x14ac:dyDescent="0.25">
      <c r="A849" s="4" t="s">
        <v>1816</v>
      </c>
      <c r="B849" s="4" t="s">
        <v>80</v>
      </c>
      <c r="C849" s="4" t="s">
        <v>62</v>
      </c>
      <c r="D849">
        <v>40</v>
      </c>
      <c r="E849" s="4" t="s">
        <v>386</v>
      </c>
      <c r="F849" s="4" t="s">
        <v>16</v>
      </c>
      <c r="G849" s="1">
        <v>45334</v>
      </c>
      <c r="H849" s="4" t="s">
        <v>1817</v>
      </c>
      <c r="I849" s="4" t="s">
        <v>150</v>
      </c>
      <c r="J849">
        <v>-9582923615</v>
      </c>
      <c r="K849" s="4" t="s">
        <v>25</v>
      </c>
      <c r="L849" t="b">
        <v>0</v>
      </c>
    </row>
    <row r="850" spans="1:12" x14ac:dyDescent="0.25">
      <c r="A850" s="4" t="s">
        <v>1818</v>
      </c>
      <c r="B850" s="4" t="s">
        <v>40</v>
      </c>
      <c r="C850" s="4" t="s">
        <v>14</v>
      </c>
      <c r="D850">
        <v>30</v>
      </c>
      <c r="E850" s="4" t="s">
        <v>229</v>
      </c>
      <c r="F850" s="4" t="s">
        <v>16</v>
      </c>
      <c r="G850" s="1">
        <v>45208</v>
      </c>
      <c r="H850" s="4" t="s">
        <v>1819</v>
      </c>
      <c r="I850" s="4" t="s">
        <v>59</v>
      </c>
      <c r="J850">
        <v>-1880819047</v>
      </c>
      <c r="K850" s="4" t="s">
        <v>25</v>
      </c>
      <c r="L850" t="b">
        <v>1</v>
      </c>
    </row>
    <row r="851" spans="1:12" x14ac:dyDescent="0.25">
      <c r="A851" s="4" t="s">
        <v>1820</v>
      </c>
      <c r="B851" s="4" t="s">
        <v>80</v>
      </c>
      <c r="C851" s="4" t="s">
        <v>106</v>
      </c>
      <c r="D851">
        <v>25</v>
      </c>
      <c r="E851" s="4" t="s">
        <v>48</v>
      </c>
      <c r="F851" s="4" t="s">
        <v>30</v>
      </c>
      <c r="G851" s="1">
        <v>44744</v>
      </c>
      <c r="H851" s="4" t="s">
        <v>1821</v>
      </c>
      <c r="I851" s="4" t="s">
        <v>197</v>
      </c>
      <c r="J851">
        <v>-2357155867</v>
      </c>
      <c r="K851" s="4" t="s">
        <v>33</v>
      </c>
      <c r="L851" t="b">
        <v>1</v>
      </c>
    </row>
    <row r="852" spans="1:12" x14ac:dyDescent="0.25">
      <c r="A852" s="4" t="s">
        <v>1822</v>
      </c>
      <c r="B852" s="4" t="s">
        <v>35</v>
      </c>
      <c r="C852" s="4" t="s">
        <v>14</v>
      </c>
      <c r="D852">
        <v>30</v>
      </c>
      <c r="E852" s="4" t="s">
        <v>187</v>
      </c>
      <c r="F852" s="4" t="s">
        <v>30</v>
      </c>
      <c r="G852" s="1">
        <v>44019</v>
      </c>
      <c r="H852" s="4" t="s">
        <v>1823</v>
      </c>
      <c r="I852" s="4" t="s">
        <v>38</v>
      </c>
      <c r="J852">
        <v>-6395613722</v>
      </c>
      <c r="K852" s="4" t="s">
        <v>19</v>
      </c>
      <c r="L852" t="b">
        <v>0</v>
      </c>
    </row>
    <row r="853" spans="1:12" x14ac:dyDescent="0.25">
      <c r="A853" s="4" t="s">
        <v>1824</v>
      </c>
      <c r="B853" s="4" t="s">
        <v>67</v>
      </c>
      <c r="C853" s="4" t="s">
        <v>62</v>
      </c>
      <c r="E853" s="4" t="s">
        <v>278</v>
      </c>
      <c r="F853" s="4" t="s">
        <v>30</v>
      </c>
      <c r="G853" s="1">
        <v>44076</v>
      </c>
      <c r="H853" s="4" t="s">
        <v>1825</v>
      </c>
      <c r="I853" s="4" t="s">
        <v>257</v>
      </c>
      <c r="J853">
        <v>-817214363</v>
      </c>
      <c r="K853" s="4" t="s">
        <v>25</v>
      </c>
      <c r="L853" t="b">
        <v>1</v>
      </c>
    </row>
    <row r="854" spans="1:12" x14ac:dyDescent="0.25">
      <c r="A854" s="4" t="s">
        <v>1826</v>
      </c>
      <c r="B854" s="4" t="s">
        <v>80</v>
      </c>
      <c r="C854" s="4" t="s">
        <v>28</v>
      </c>
      <c r="E854" s="4" t="s">
        <v>120</v>
      </c>
      <c r="F854" s="4" t="s">
        <v>30</v>
      </c>
      <c r="G854" s="1">
        <v>44208</v>
      </c>
      <c r="H854" s="4" t="s">
        <v>1827</v>
      </c>
      <c r="I854" s="4" t="s">
        <v>89</v>
      </c>
      <c r="J854">
        <v>-3813000412</v>
      </c>
      <c r="K854" s="4" t="s">
        <v>19</v>
      </c>
      <c r="L854" t="b">
        <v>0</v>
      </c>
    </row>
    <row r="855" spans="1:12" x14ac:dyDescent="0.25">
      <c r="A855" s="4" t="s">
        <v>1828</v>
      </c>
      <c r="B855" s="4" t="s">
        <v>13</v>
      </c>
      <c r="C855" s="4" t="s">
        <v>41</v>
      </c>
      <c r="D855">
        <v>40</v>
      </c>
      <c r="E855" s="4" t="s">
        <v>251</v>
      </c>
      <c r="F855" s="4" t="s">
        <v>30</v>
      </c>
      <c r="G855" s="1">
        <v>45198</v>
      </c>
      <c r="H855" s="4" t="s">
        <v>1829</v>
      </c>
      <c r="I855" s="4" t="s">
        <v>170</v>
      </c>
      <c r="J855">
        <v>-2114716559</v>
      </c>
      <c r="K855" s="4" t="s">
        <v>33</v>
      </c>
      <c r="L855" t="b">
        <v>1</v>
      </c>
    </row>
    <row r="856" spans="1:12" x14ac:dyDescent="0.25">
      <c r="A856" s="4" t="s">
        <v>1830</v>
      </c>
      <c r="B856" s="4" t="s">
        <v>61</v>
      </c>
      <c r="C856" s="4" t="s">
        <v>14</v>
      </c>
      <c r="D856">
        <v>25</v>
      </c>
      <c r="E856" s="4" t="s">
        <v>165</v>
      </c>
      <c r="F856" s="4" t="s">
        <v>36</v>
      </c>
      <c r="G856" s="1">
        <v>44626</v>
      </c>
      <c r="H856" s="4" t="s">
        <v>1831</v>
      </c>
      <c r="I856" s="4" t="s">
        <v>200</v>
      </c>
      <c r="J856">
        <v>-9456534698</v>
      </c>
      <c r="K856" s="4" t="s">
        <v>33</v>
      </c>
      <c r="L856" t="b">
        <v>1</v>
      </c>
    </row>
    <row r="857" spans="1:12" x14ac:dyDescent="0.25">
      <c r="A857" s="4" t="s">
        <v>1832</v>
      </c>
      <c r="B857" s="4" t="s">
        <v>35</v>
      </c>
      <c r="C857" s="4" t="s">
        <v>28</v>
      </c>
      <c r="D857">
        <v>30</v>
      </c>
      <c r="E857" s="4" t="s">
        <v>22</v>
      </c>
      <c r="F857" s="4" t="s">
        <v>36</v>
      </c>
      <c r="G857" s="1">
        <v>44241</v>
      </c>
      <c r="H857" s="4" t="s">
        <v>1833</v>
      </c>
      <c r="I857" s="4" t="s">
        <v>323</v>
      </c>
      <c r="J857">
        <v>-7990707549</v>
      </c>
      <c r="K857" s="4" t="s">
        <v>45</v>
      </c>
      <c r="L857" t="b">
        <v>1</v>
      </c>
    </row>
    <row r="858" spans="1:12" x14ac:dyDescent="0.25">
      <c r="A858" s="4" t="s">
        <v>1834</v>
      </c>
      <c r="B858" s="4" t="s">
        <v>75</v>
      </c>
      <c r="C858" s="4" t="s">
        <v>41</v>
      </c>
      <c r="D858">
        <v>25</v>
      </c>
      <c r="E858" s="4" t="s">
        <v>102</v>
      </c>
      <c r="F858" s="4" t="s">
        <v>36</v>
      </c>
      <c r="G858" s="1">
        <v>44278</v>
      </c>
      <c r="H858" s="4" t="s">
        <v>1835</v>
      </c>
      <c r="I858" s="4" t="s">
        <v>78</v>
      </c>
      <c r="J858">
        <v>-4768169956</v>
      </c>
      <c r="K858" s="4" t="s">
        <v>25</v>
      </c>
      <c r="L858" t="b">
        <v>0</v>
      </c>
    </row>
    <row r="859" spans="1:12" x14ac:dyDescent="0.25">
      <c r="A859" s="4" t="s">
        <v>1836</v>
      </c>
      <c r="B859" s="4" t="s">
        <v>75</v>
      </c>
      <c r="C859" s="4" t="s">
        <v>41</v>
      </c>
      <c r="D859">
        <v>35</v>
      </c>
      <c r="E859" s="4" t="s">
        <v>187</v>
      </c>
      <c r="F859" s="4" t="s">
        <v>16</v>
      </c>
      <c r="G859" s="1">
        <v>43975</v>
      </c>
      <c r="H859" s="4" t="s">
        <v>1837</v>
      </c>
      <c r="I859" s="4" t="s">
        <v>78</v>
      </c>
      <c r="J859">
        <v>-607174810</v>
      </c>
      <c r="K859" s="4" t="s">
        <v>33</v>
      </c>
      <c r="L859" t="b">
        <v>1</v>
      </c>
    </row>
    <row r="860" spans="1:12" x14ac:dyDescent="0.25">
      <c r="A860" s="4" t="s">
        <v>1838</v>
      </c>
      <c r="B860" s="4" t="s">
        <v>75</v>
      </c>
      <c r="C860" s="4" t="s">
        <v>62</v>
      </c>
      <c r="D860">
        <v>25</v>
      </c>
      <c r="E860" s="4" t="s">
        <v>267</v>
      </c>
      <c r="F860" s="4" t="s">
        <v>30</v>
      </c>
      <c r="G860" s="1">
        <v>45142</v>
      </c>
      <c r="H860" s="4" t="s">
        <v>1839</v>
      </c>
      <c r="I860" s="4" t="s">
        <v>132</v>
      </c>
      <c r="J860">
        <v>-3176539704</v>
      </c>
      <c r="K860" s="4" t="s">
        <v>45</v>
      </c>
      <c r="L860" t="b">
        <v>0</v>
      </c>
    </row>
    <row r="861" spans="1:12" x14ac:dyDescent="0.25">
      <c r="A861" s="4" t="s">
        <v>1840</v>
      </c>
      <c r="B861" s="4" t="s">
        <v>80</v>
      </c>
      <c r="C861" s="4" t="s">
        <v>14</v>
      </c>
      <c r="D861">
        <v>35</v>
      </c>
      <c r="E861" s="4" t="s">
        <v>29</v>
      </c>
      <c r="F861" s="4" t="s">
        <v>36</v>
      </c>
      <c r="G861" s="1">
        <v>44632</v>
      </c>
      <c r="H861" s="4" t="s">
        <v>1841</v>
      </c>
      <c r="I861" s="4" t="s">
        <v>276</v>
      </c>
      <c r="J861">
        <v>-4873961028</v>
      </c>
      <c r="K861" s="4" t="s">
        <v>25</v>
      </c>
      <c r="L861" t="b">
        <v>0</v>
      </c>
    </row>
    <row r="862" spans="1:12" x14ac:dyDescent="0.25">
      <c r="A862" s="4" t="s">
        <v>1842</v>
      </c>
      <c r="B862" s="4" t="s">
        <v>75</v>
      </c>
      <c r="C862" s="4" t="s">
        <v>21</v>
      </c>
      <c r="D862">
        <v>40</v>
      </c>
      <c r="E862" s="4" t="s">
        <v>130</v>
      </c>
      <c r="F862" s="4" t="s">
        <v>30</v>
      </c>
      <c r="G862" s="1">
        <v>45430</v>
      </c>
      <c r="H862" s="4" t="s">
        <v>1843</v>
      </c>
      <c r="I862" s="4" t="s">
        <v>480</v>
      </c>
      <c r="J862">
        <v>-871827495</v>
      </c>
      <c r="K862" s="4" t="s">
        <v>33</v>
      </c>
      <c r="L862" t="b">
        <v>0</v>
      </c>
    </row>
    <row r="863" spans="1:12" x14ac:dyDescent="0.25">
      <c r="A863" s="4" t="s">
        <v>1844</v>
      </c>
      <c r="B863" s="4" t="s">
        <v>67</v>
      </c>
      <c r="C863" s="4" t="s">
        <v>142</v>
      </c>
      <c r="D863">
        <v>25</v>
      </c>
      <c r="E863" s="4" t="s">
        <v>116</v>
      </c>
      <c r="F863" s="4" t="s">
        <v>36</v>
      </c>
      <c r="G863" s="1">
        <v>44079</v>
      </c>
      <c r="H863" s="4" t="s">
        <v>1845</v>
      </c>
      <c r="I863" s="4" t="s">
        <v>402</v>
      </c>
      <c r="J863">
        <v>-8049187273</v>
      </c>
      <c r="K863" s="4" t="s">
        <v>33</v>
      </c>
      <c r="L863" t="b">
        <v>0</v>
      </c>
    </row>
    <row r="864" spans="1:12" x14ac:dyDescent="0.25">
      <c r="A864" s="4" t="s">
        <v>1846</v>
      </c>
      <c r="B864" s="4" t="s">
        <v>40</v>
      </c>
      <c r="C864" s="4" t="s">
        <v>62</v>
      </c>
      <c r="D864">
        <v>35</v>
      </c>
      <c r="E864" s="4" t="s">
        <v>15</v>
      </c>
      <c r="F864" s="4" t="s">
        <v>36</v>
      </c>
      <c r="G864" s="1">
        <v>43944</v>
      </c>
      <c r="H864" s="4" t="s">
        <v>1847</v>
      </c>
      <c r="I864" s="4" t="s">
        <v>316</v>
      </c>
      <c r="J864">
        <v>-2049561212</v>
      </c>
      <c r="K864" s="4" t="s">
        <v>25</v>
      </c>
      <c r="L864" t="b">
        <v>1</v>
      </c>
    </row>
    <row r="865" spans="1:12" x14ac:dyDescent="0.25">
      <c r="A865" s="4" t="s">
        <v>1848</v>
      </c>
      <c r="B865" s="4" t="s">
        <v>13</v>
      </c>
      <c r="C865" s="4" t="s">
        <v>62</v>
      </c>
      <c r="D865">
        <v>35</v>
      </c>
      <c r="E865" s="4" t="s">
        <v>210</v>
      </c>
      <c r="F865" s="4" t="s">
        <v>16</v>
      </c>
      <c r="G865" s="1">
        <v>45553</v>
      </c>
      <c r="H865" s="4" t="s">
        <v>1849</v>
      </c>
      <c r="I865" s="4" t="s">
        <v>237</v>
      </c>
      <c r="J865">
        <v>-7730626041</v>
      </c>
      <c r="K865" s="4" t="s">
        <v>25</v>
      </c>
      <c r="L865" t="b">
        <v>0</v>
      </c>
    </row>
    <row r="866" spans="1:12" x14ac:dyDescent="0.25">
      <c r="A866" s="4" t="s">
        <v>1850</v>
      </c>
      <c r="B866" s="4" t="s">
        <v>67</v>
      </c>
      <c r="C866" s="4" t="s">
        <v>21</v>
      </c>
      <c r="D866">
        <v>30</v>
      </c>
      <c r="E866" s="4" t="s">
        <v>48</v>
      </c>
      <c r="F866" s="4" t="s">
        <v>36</v>
      </c>
      <c r="G866" s="1">
        <v>45184</v>
      </c>
      <c r="H866" s="4" t="s">
        <v>1851</v>
      </c>
      <c r="I866" s="4" t="s">
        <v>265</v>
      </c>
      <c r="J866">
        <v>-3597371121</v>
      </c>
      <c r="K866" s="4" t="s">
        <v>25</v>
      </c>
      <c r="L866" t="b">
        <v>0</v>
      </c>
    </row>
    <row r="867" spans="1:12" x14ac:dyDescent="0.25">
      <c r="A867" s="4" t="s">
        <v>1852</v>
      </c>
      <c r="B867" s="4" t="s">
        <v>13</v>
      </c>
      <c r="C867" s="4" t="s">
        <v>142</v>
      </c>
      <c r="D867">
        <v>35</v>
      </c>
      <c r="E867" s="4" t="s">
        <v>22</v>
      </c>
      <c r="F867" s="4" t="s">
        <v>30</v>
      </c>
      <c r="G867" s="1">
        <v>44727</v>
      </c>
      <c r="H867" s="4" t="s">
        <v>1853</v>
      </c>
      <c r="I867" s="4" t="s">
        <v>144</v>
      </c>
      <c r="J867">
        <v>-2990775607</v>
      </c>
      <c r="K867" s="4" t="s">
        <v>33</v>
      </c>
      <c r="L867" t="b">
        <v>1</v>
      </c>
    </row>
    <row r="868" spans="1:12" x14ac:dyDescent="0.25">
      <c r="A868" s="4" t="s">
        <v>1854</v>
      </c>
      <c r="B868" s="4" t="s">
        <v>67</v>
      </c>
      <c r="C868" s="4" t="s">
        <v>28</v>
      </c>
      <c r="D868">
        <v>25</v>
      </c>
      <c r="E868" s="4" t="s">
        <v>91</v>
      </c>
      <c r="F868" s="4" t="s">
        <v>16</v>
      </c>
      <c r="G868" s="1">
        <v>44832</v>
      </c>
      <c r="H868" s="4" t="s">
        <v>1855</v>
      </c>
      <c r="I868" s="4" t="s">
        <v>283</v>
      </c>
      <c r="J868">
        <v>-5816704685</v>
      </c>
      <c r="K868" s="4" t="s">
        <v>33</v>
      </c>
      <c r="L868" t="b">
        <v>0</v>
      </c>
    </row>
    <row r="869" spans="1:12" x14ac:dyDescent="0.25">
      <c r="A869" s="4" t="s">
        <v>1856</v>
      </c>
      <c r="B869" s="4" t="s">
        <v>35</v>
      </c>
      <c r="C869" s="4" t="s">
        <v>106</v>
      </c>
      <c r="D869">
        <v>40</v>
      </c>
      <c r="E869" s="4" t="s">
        <v>87</v>
      </c>
      <c r="F869" s="4" t="s">
        <v>16</v>
      </c>
      <c r="G869" s="1">
        <v>43906</v>
      </c>
      <c r="H869" s="4" t="s">
        <v>1857</v>
      </c>
      <c r="I869" s="4" t="s">
        <v>307</v>
      </c>
      <c r="J869">
        <v>-1114576831</v>
      </c>
      <c r="K869" s="4" t="s">
        <v>45</v>
      </c>
      <c r="L869" t="b">
        <v>1</v>
      </c>
    </row>
    <row r="870" spans="1:12" x14ac:dyDescent="0.25">
      <c r="A870" s="4" t="s">
        <v>1858</v>
      </c>
      <c r="B870" s="4" t="s">
        <v>27</v>
      </c>
      <c r="C870" s="4" t="s">
        <v>14</v>
      </c>
      <c r="D870">
        <v>40</v>
      </c>
      <c r="E870" s="4" t="s">
        <v>68</v>
      </c>
      <c r="F870" s="4" t="s">
        <v>30</v>
      </c>
      <c r="G870" s="1">
        <v>45197</v>
      </c>
      <c r="H870" s="4" t="s">
        <v>1859</v>
      </c>
      <c r="I870" s="4" t="s">
        <v>191</v>
      </c>
      <c r="J870">
        <v>-1021923784</v>
      </c>
      <c r="K870" s="4" t="s">
        <v>19</v>
      </c>
      <c r="L870" t="b">
        <v>0</v>
      </c>
    </row>
    <row r="871" spans="1:12" x14ac:dyDescent="0.25">
      <c r="A871" s="4" t="s">
        <v>1860</v>
      </c>
      <c r="B871" s="4" t="s">
        <v>61</v>
      </c>
      <c r="C871" s="4" t="s">
        <v>106</v>
      </c>
      <c r="E871" s="4" t="s">
        <v>120</v>
      </c>
      <c r="F871" s="4" t="s">
        <v>16</v>
      </c>
      <c r="G871" s="1">
        <v>45337</v>
      </c>
      <c r="H871" s="4" t="s">
        <v>1861</v>
      </c>
      <c r="I871" s="4" t="s">
        <v>607</v>
      </c>
      <c r="J871">
        <v>-8471296179</v>
      </c>
      <c r="K871" s="4" t="s">
        <v>25</v>
      </c>
      <c r="L871" t="b">
        <v>1</v>
      </c>
    </row>
    <row r="872" spans="1:12" x14ac:dyDescent="0.25">
      <c r="A872" s="4" t="s">
        <v>1862</v>
      </c>
      <c r="B872" s="4" t="s">
        <v>75</v>
      </c>
      <c r="C872" s="4" t="s">
        <v>28</v>
      </c>
      <c r="E872" s="4" t="s">
        <v>68</v>
      </c>
      <c r="F872" s="4" t="s">
        <v>30</v>
      </c>
      <c r="G872" s="1">
        <v>45159</v>
      </c>
      <c r="H872" s="4" t="s">
        <v>1863</v>
      </c>
      <c r="I872" s="4" t="s">
        <v>375</v>
      </c>
      <c r="J872">
        <v>-3324260507</v>
      </c>
      <c r="K872" s="4" t="s">
        <v>33</v>
      </c>
      <c r="L872" t="b">
        <v>0</v>
      </c>
    </row>
    <row r="873" spans="1:12" x14ac:dyDescent="0.25">
      <c r="A873" s="4" t="s">
        <v>1864</v>
      </c>
      <c r="B873" s="4" t="s">
        <v>27</v>
      </c>
      <c r="C873" s="4" t="s">
        <v>47</v>
      </c>
      <c r="D873">
        <v>35</v>
      </c>
      <c r="E873" s="4" t="s">
        <v>42</v>
      </c>
      <c r="F873" s="4" t="s">
        <v>30</v>
      </c>
      <c r="G873" s="1">
        <v>44180</v>
      </c>
      <c r="H873" s="4" t="s">
        <v>1865</v>
      </c>
      <c r="I873" s="4" t="s">
        <v>50</v>
      </c>
      <c r="J873">
        <v>-184980424</v>
      </c>
      <c r="K873" s="4" t="s">
        <v>33</v>
      </c>
      <c r="L873" t="b">
        <v>1</v>
      </c>
    </row>
    <row r="874" spans="1:12" x14ac:dyDescent="0.25">
      <c r="A874" s="4" t="s">
        <v>1866</v>
      </c>
      <c r="B874" s="4" t="s">
        <v>13</v>
      </c>
      <c r="C874" s="4" t="s">
        <v>62</v>
      </c>
      <c r="D874">
        <v>25</v>
      </c>
      <c r="E874" s="4" t="s">
        <v>309</v>
      </c>
      <c r="F874" s="4" t="s">
        <v>30</v>
      </c>
      <c r="G874" s="1">
        <v>44282</v>
      </c>
      <c r="H874" s="4" t="s">
        <v>1867</v>
      </c>
      <c r="I874" s="4" t="s">
        <v>237</v>
      </c>
      <c r="J874">
        <v>-3733777311</v>
      </c>
      <c r="K874" s="4" t="s">
        <v>25</v>
      </c>
      <c r="L874" t="b">
        <v>0</v>
      </c>
    </row>
    <row r="875" spans="1:12" x14ac:dyDescent="0.25">
      <c r="A875" s="4" t="s">
        <v>1868</v>
      </c>
      <c r="B875" s="4" t="s">
        <v>40</v>
      </c>
      <c r="C875" s="4" t="s">
        <v>142</v>
      </c>
      <c r="D875">
        <v>40</v>
      </c>
      <c r="E875" s="4" t="s">
        <v>165</v>
      </c>
      <c r="F875" s="4" t="s">
        <v>30</v>
      </c>
      <c r="G875" s="1">
        <v>45010</v>
      </c>
      <c r="H875" s="4" t="s">
        <v>1869</v>
      </c>
      <c r="I875" s="4" t="s">
        <v>163</v>
      </c>
      <c r="J875">
        <v>-6881228216</v>
      </c>
      <c r="K875" s="4" t="s">
        <v>19</v>
      </c>
      <c r="L875" t="b">
        <v>0</v>
      </c>
    </row>
    <row r="876" spans="1:12" x14ac:dyDescent="0.25">
      <c r="A876" s="4" t="s">
        <v>1870</v>
      </c>
      <c r="B876" s="4" t="s">
        <v>67</v>
      </c>
      <c r="C876" s="4" t="s">
        <v>62</v>
      </c>
      <c r="D876">
        <v>25</v>
      </c>
      <c r="E876" s="4" t="s">
        <v>126</v>
      </c>
      <c r="F876" s="4" t="s">
        <v>36</v>
      </c>
      <c r="G876" s="1">
        <v>43960</v>
      </c>
      <c r="H876" s="4" t="s">
        <v>1871</v>
      </c>
      <c r="I876" s="4" t="s">
        <v>257</v>
      </c>
      <c r="J876">
        <v>-8192365345</v>
      </c>
      <c r="K876" s="4" t="s">
        <v>25</v>
      </c>
      <c r="L876" t="b">
        <v>1</v>
      </c>
    </row>
    <row r="877" spans="1:12" x14ac:dyDescent="0.25">
      <c r="A877" s="4" t="s">
        <v>1872</v>
      </c>
      <c r="B877" s="4" t="s">
        <v>80</v>
      </c>
      <c r="C877" s="4" t="s">
        <v>41</v>
      </c>
      <c r="D877">
        <v>30</v>
      </c>
      <c r="E877" s="4" t="s">
        <v>15</v>
      </c>
      <c r="F877" s="4" t="s">
        <v>30</v>
      </c>
      <c r="G877" s="1">
        <v>44168</v>
      </c>
      <c r="H877" s="4" t="s">
        <v>1873</v>
      </c>
      <c r="I877" s="4" t="s">
        <v>83</v>
      </c>
      <c r="J877">
        <v>-605603566</v>
      </c>
      <c r="K877" s="4" t="s">
        <v>19</v>
      </c>
      <c r="L877" t="b">
        <v>1</v>
      </c>
    </row>
    <row r="878" spans="1:12" x14ac:dyDescent="0.25">
      <c r="A878" s="4" t="s">
        <v>1874</v>
      </c>
      <c r="B878" s="4" t="s">
        <v>27</v>
      </c>
      <c r="C878" s="4" t="s">
        <v>62</v>
      </c>
      <c r="D878">
        <v>30</v>
      </c>
      <c r="E878" s="4" t="s">
        <v>98</v>
      </c>
      <c r="F878" s="4" t="s">
        <v>30</v>
      </c>
      <c r="G878" s="1">
        <v>44601</v>
      </c>
      <c r="H878" s="4" t="s">
        <v>322</v>
      </c>
      <c r="I878" s="4" t="s">
        <v>177</v>
      </c>
      <c r="J878">
        <v>-9327986238</v>
      </c>
      <c r="K878" s="4" t="s">
        <v>33</v>
      </c>
      <c r="L878" t="b">
        <v>1</v>
      </c>
    </row>
    <row r="879" spans="1:12" x14ac:dyDescent="0.25">
      <c r="A879" s="4" t="s">
        <v>1875</v>
      </c>
      <c r="B879" s="4" t="s">
        <v>75</v>
      </c>
      <c r="C879" s="4" t="s">
        <v>62</v>
      </c>
      <c r="D879">
        <v>25</v>
      </c>
      <c r="E879" s="4" t="s">
        <v>187</v>
      </c>
      <c r="F879" s="4" t="s">
        <v>16</v>
      </c>
      <c r="G879" s="1">
        <v>44013</v>
      </c>
      <c r="H879" s="4" t="s">
        <v>1876</v>
      </c>
      <c r="I879" s="4" t="s">
        <v>132</v>
      </c>
      <c r="J879">
        <v>-8471690617</v>
      </c>
      <c r="K879" s="4" t="s">
        <v>19</v>
      </c>
      <c r="L879" t="b">
        <v>1</v>
      </c>
    </row>
    <row r="880" spans="1:12" x14ac:dyDescent="0.25">
      <c r="A880" s="4" t="s">
        <v>1877</v>
      </c>
      <c r="B880" s="4" t="s">
        <v>35</v>
      </c>
      <c r="C880" s="4" t="s">
        <v>28</v>
      </c>
      <c r="D880">
        <v>40</v>
      </c>
      <c r="E880" s="4" t="s">
        <v>270</v>
      </c>
      <c r="F880" s="4" t="s">
        <v>30</v>
      </c>
      <c r="G880" s="1">
        <v>44090</v>
      </c>
      <c r="H880" s="4" t="s">
        <v>1878</v>
      </c>
      <c r="I880" s="4" t="s">
        <v>323</v>
      </c>
      <c r="J880">
        <v>-1205464753</v>
      </c>
      <c r="K880" s="4" t="s">
        <v>45</v>
      </c>
      <c r="L880" t="b">
        <v>0</v>
      </c>
    </row>
    <row r="881" spans="1:12" x14ac:dyDescent="0.25">
      <c r="A881" s="4" t="s">
        <v>1879</v>
      </c>
      <c r="B881" s="4" t="s">
        <v>75</v>
      </c>
      <c r="C881" s="4" t="s">
        <v>28</v>
      </c>
      <c r="D881">
        <v>40</v>
      </c>
      <c r="E881" s="4" t="s">
        <v>233</v>
      </c>
      <c r="F881" s="4" t="s">
        <v>30</v>
      </c>
      <c r="G881" s="1">
        <v>45247</v>
      </c>
      <c r="H881" s="4" t="s">
        <v>1880</v>
      </c>
      <c r="I881" s="4" t="s">
        <v>375</v>
      </c>
      <c r="J881">
        <v>-8954787697</v>
      </c>
      <c r="K881" s="4" t="s">
        <v>33</v>
      </c>
      <c r="L881" t="b">
        <v>0</v>
      </c>
    </row>
    <row r="882" spans="1:12" x14ac:dyDescent="0.25">
      <c r="A882" s="4" t="s">
        <v>1881</v>
      </c>
      <c r="B882" s="4" t="s">
        <v>75</v>
      </c>
      <c r="C882" s="4" t="s">
        <v>28</v>
      </c>
      <c r="E882" s="4" t="s">
        <v>98</v>
      </c>
      <c r="F882" s="4" t="s">
        <v>36</v>
      </c>
      <c r="G882" s="1">
        <v>44543</v>
      </c>
      <c r="H882" s="4" t="s">
        <v>1882</v>
      </c>
      <c r="I882" s="4" t="s">
        <v>375</v>
      </c>
      <c r="J882">
        <v>-9992751757</v>
      </c>
      <c r="K882" s="4" t="s">
        <v>45</v>
      </c>
      <c r="L882" t="b">
        <v>1</v>
      </c>
    </row>
    <row r="883" spans="1:12" x14ac:dyDescent="0.25">
      <c r="A883" s="4" t="s">
        <v>1883</v>
      </c>
      <c r="B883" s="4" t="s">
        <v>67</v>
      </c>
      <c r="C883" s="4" t="s">
        <v>106</v>
      </c>
      <c r="D883">
        <v>25</v>
      </c>
      <c r="E883" s="4" t="s">
        <v>48</v>
      </c>
      <c r="F883" s="4" t="s">
        <v>30</v>
      </c>
      <c r="G883" s="1">
        <v>44572</v>
      </c>
      <c r="H883" s="4" t="s">
        <v>1884</v>
      </c>
      <c r="I883" s="4" t="s">
        <v>124</v>
      </c>
      <c r="J883">
        <v>-8914444982</v>
      </c>
      <c r="K883" s="4" t="s">
        <v>25</v>
      </c>
      <c r="L883" t="b">
        <v>0</v>
      </c>
    </row>
    <row r="884" spans="1:12" x14ac:dyDescent="0.25">
      <c r="A884" s="4" t="s">
        <v>1885</v>
      </c>
      <c r="B884" s="4" t="s">
        <v>67</v>
      </c>
      <c r="C884" s="4" t="s">
        <v>41</v>
      </c>
      <c r="D884">
        <v>40</v>
      </c>
      <c r="E884" s="4" t="s">
        <v>386</v>
      </c>
      <c r="F884" s="4" t="s">
        <v>16</v>
      </c>
      <c r="G884" s="1">
        <v>44397</v>
      </c>
      <c r="H884" s="4" t="s">
        <v>1886</v>
      </c>
      <c r="I884" s="4" t="s">
        <v>70</v>
      </c>
      <c r="J884">
        <v>-5539354357</v>
      </c>
      <c r="K884" s="4" t="s">
        <v>25</v>
      </c>
      <c r="L884" t="b">
        <v>1</v>
      </c>
    </row>
    <row r="885" spans="1:12" x14ac:dyDescent="0.25">
      <c r="A885" s="4" t="s">
        <v>1887</v>
      </c>
      <c r="B885" s="4" t="s">
        <v>61</v>
      </c>
      <c r="C885" s="4" t="s">
        <v>47</v>
      </c>
      <c r="D885">
        <v>40</v>
      </c>
      <c r="E885" s="4" t="s">
        <v>267</v>
      </c>
      <c r="F885" s="4" t="s">
        <v>16</v>
      </c>
      <c r="G885" s="1">
        <v>45203</v>
      </c>
      <c r="H885" s="4" t="s">
        <v>1888</v>
      </c>
      <c r="I885" s="4" t="s">
        <v>100</v>
      </c>
      <c r="J885">
        <v>-6449639242</v>
      </c>
      <c r="K885" s="4" t="s">
        <v>25</v>
      </c>
      <c r="L885" t="b">
        <v>1</v>
      </c>
    </row>
    <row r="886" spans="1:12" x14ac:dyDescent="0.25">
      <c r="A886" s="4" t="s">
        <v>1889</v>
      </c>
      <c r="B886" s="4" t="s">
        <v>40</v>
      </c>
      <c r="C886" s="4" t="s">
        <v>47</v>
      </c>
      <c r="D886">
        <v>35</v>
      </c>
      <c r="E886" s="4" t="s">
        <v>244</v>
      </c>
      <c r="F886" s="4" t="s">
        <v>36</v>
      </c>
      <c r="G886" s="1">
        <v>44515</v>
      </c>
      <c r="H886" s="4" t="s">
        <v>1890</v>
      </c>
      <c r="I886" s="4" t="s">
        <v>214</v>
      </c>
      <c r="J886">
        <v>-5885379820</v>
      </c>
      <c r="K886" s="4" t="s">
        <v>19</v>
      </c>
      <c r="L886" t="b">
        <v>0</v>
      </c>
    </row>
    <row r="887" spans="1:12" x14ac:dyDescent="0.25">
      <c r="A887" s="4" t="s">
        <v>1891</v>
      </c>
      <c r="B887" s="4" t="s">
        <v>75</v>
      </c>
      <c r="C887" s="4" t="s">
        <v>28</v>
      </c>
      <c r="D887">
        <v>25</v>
      </c>
      <c r="E887" s="4" t="s">
        <v>98</v>
      </c>
      <c r="F887" s="4" t="s">
        <v>16</v>
      </c>
      <c r="G887" s="1">
        <v>44931</v>
      </c>
      <c r="H887" s="4" t="s">
        <v>1892</v>
      </c>
      <c r="I887" s="4" t="s">
        <v>375</v>
      </c>
      <c r="J887">
        <v>-4339527535</v>
      </c>
      <c r="K887" s="4" t="s">
        <v>33</v>
      </c>
      <c r="L887" t="b">
        <v>0</v>
      </c>
    </row>
    <row r="888" spans="1:12" x14ac:dyDescent="0.25">
      <c r="A888" s="4" t="s">
        <v>1893</v>
      </c>
      <c r="B888" s="4" t="s">
        <v>75</v>
      </c>
      <c r="C888" s="4" t="s">
        <v>142</v>
      </c>
      <c r="E888" s="4" t="s">
        <v>187</v>
      </c>
      <c r="F888" s="4" t="s">
        <v>16</v>
      </c>
      <c r="G888" s="1">
        <v>45308</v>
      </c>
      <c r="H888" s="4" t="s">
        <v>1894</v>
      </c>
      <c r="I888" s="4" t="s">
        <v>436</v>
      </c>
      <c r="J888">
        <v>-7497852490</v>
      </c>
      <c r="K888" s="4" t="s">
        <v>25</v>
      </c>
      <c r="L888" t="b">
        <v>0</v>
      </c>
    </row>
    <row r="889" spans="1:12" x14ac:dyDescent="0.25">
      <c r="A889" s="4" t="s">
        <v>1895</v>
      </c>
      <c r="B889" s="4" t="s">
        <v>80</v>
      </c>
      <c r="C889" s="4" t="s">
        <v>106</v>
      </c>
      <c r="D889">
        <v>30</v>
      </c>
      <c r="E889" s="4" t="s">
        <v>386</v>
      </c>
      <c r="F889" s="4" t="s">
        <v>36</v>
      </c>
      <c r="G889" s="1">
        <v>44302</v>
      </c>
      <c r="H889" s="4" t="s">
        <v>1896</v>
      </c>
      <c r="I889" s="4" t="s">
        <v>197</v>
      </c>
      <c r="J889">
        <v>-4168601346</v>
      </c>
      <c r="K889" s="4" t="s">
        <v>25</v>
      </c>
      <c r="L889" t="b">
        <v>0</v>
      </c>
    </row>
    <row r="890" spans="1:12" x14ac:dyDescent="0.25">
      <c r="A890" s="4" t="s">
        <v>1897</v>
      </c>
      <c r="B890" s="4" t="s">
        <v>13</v>
      </c>
      <c r="C890" s="4" t="s">
        <v>21</v>
      </c>
      <c r="D890">
        <v>30</v>
      </c>
      <c r="E890" s="4" t="s">
        <v>270</v>
      </c>
      <c r="F890" s="4" t="s">
        <v>16</v>
      </c>
      <c r="G890" s="1">
        <v>44600</v>
      </c>
      <c r="H890" s="4" t="s">
        <v>1898</v>
      </c>
      <c r="I890" s="4" t="s">
        <v>24</v>
      </c>
      <c r="J890">
        <v>-7894896339</v>
      </c>
      <c r="K890" s="4" t="s">
        <v>33</v>
      </c>
      <c r="L890" t="b">
        <v>0</v>
      </c>
    </row>
    <row r="891" spans="1:12" x14ac:dyDescent="0.25">
      <c r="A891" s="4" t="s">
        <v>1899</v>
      </c>
      <c r="B891" s="4" t="s">
        <v>75</v>
      </c>
      <c r="C891" s="4" t="s">
        <v>142</v>
      </c>
      <c r="D891">
        <v>25</v>
      </c>
      <c r="E891" s="4" t="s">
        <v>267</v>
      </c>
      <c r="F891" s="4" t="s">
        <v>16</v>
      </c>
      <c r="G891" s="1">
        <v>45079</v>
      </c>
      <c r="H891" s="4" t="s">
        <v>1900</v>
      </c>
      <c r="I891" s="4" t="s">
        <v>436</v>
      </c>
      <c r="J891">
        <v>-6791766511</v>
      </c>
      <c r="K891" s="4" t="s">
        <v>25</v>
      </c>
      <c r="L891" t="b">
        <v>0</v>
      </c>
    </row>
    <row r="892" spans="1:12" x14ac:dyDescent="0.25">
      <c r="A892" s="4" t="s">
        <v>1901</v>
      </c>
      <c r="B892" s="4" t="s">
        <v>61</v>
      </c>
      <c r="C892" s="4" t="s">
        <v>14</v>
      </c>
      <c r="D892">
        <v>40</v>
      </c>
      <c r="E892" s="4" t="s">
        <v>63</v>
      </c>
      <c r="F892" s="4" t="s">
        <v>30</v>
      </c>
      <c r="G892" s="1">
        <v>44565</v>
      </c>
      <c r="H892" s="4" t="s">
        <v>1902</v>
      </c>
      <c r="I892" s="4" t="s">
        <v>200</v>
      </c>
      <c r="J892">
        <v>-2150014187</v>
      </c>
      <c r="K892" s="4" t="s">
        <v>45</v>
      </c>
      <c r="L892" t="b">
        <v>0</v>
      </c>
    </row>
    <row r="893" spans="1:12" x14ac:dyDescent="0.25">
      <c r="A893" s="4" t="s">
        <v>1903</v>
      </c>
      <c r="B893" s="4" t="s">
        <v>61</v>
      </c>
      <c r="C893" s="4" t="s">
        <v>14</v>
      </c>
      <c r="D893">
        <v>25</v>
      </c>
      <c r="E893" s="4" t="s">
        <v>91</v>
      </c>
      <c r="F893" s="4" t="s">
        <v>16</v>
      </c>
      <c r="G893" s="1">
        <v>44405</v>
      </c>
      <c r="H893" s="4" t="s">
        <v>1904</v>
      </c>
      <c r="I893" s="4" t="s">
        <v>200</v>
      </c>
      <c r="J893">
        <v>-4216309000</v>
      </c>
      <c r="K893" s="4" t="s">
        <v>33</v>
      </c>
      <c r="L893" t="b">
        <v>1</v>
      </c>
    </row>
    <row r="894" spans="1:12" x14ac:dyDescent="0.25">
      <c r="A894" s="4" t="s">
        <v>1905</v>
      </c>
      <c r="B894" s="4" t="s">
        <v>75</v>
      </c>
      <c r="C894" s="4" t="s">
        <v>142</v>
      </c>
      <c r="D894">
        <v>40</v>
      </c>
      <c r="E894" s="4" t="s">
        <v>138</v>
      </c>
      <c r="F894" s="4" t="s">
        <v>16</v>
      </c>
      <c r="G894" s="1">
        <v>45646</v>
      </c>
      <c r="H894" s="4" t="s">
        <v>1906</v>
      </c>
      <c r="I894" s="4" t="s">
        <v>436</v>
      </c>
      <c r="J894">
        <v>-5944633398</v>
      </c>
      <c r="K894" s="4" t="s">
        <v>33</v>
      </c>
      <c r="L894" t="b">
        <v>1</v>
      </c>
    </row>
    <row r="895" spans="1:12" x14ac:dyDescent="0.25">
      <c r="A895" s="4" t="s">
        <v>1907</v>
      </c>
      <c r="B895" s="4" t="s">
        <v>61</v>
      </c>
      <c r="C895" s="4" t="s">
        <v>28</v>
      </c>
      <c r="E895" s="4" t="s">
        <v>126</v>
      </c>
      <c r="F895" s="4" t="s">
        <v>16</v>
      </c>
      <c r="G895" s="1">
        <v>44674</v>
      </c>
      <c r="H895" s="4" t="s">
        <v>1908</v>
      </c>
      <c r="I895" s="4" t="s">
        <v>140</v>
      </c>
      <c r="J895">
        <v>-9485320894</v>
      </c>
      <c r="K895" s="4" t="s">
        <v>33</v>
      </c>
      <c r="L895" t="b">
        <v>1</v>
      </c>
    </row>
    <row r="896" spans="1:12" x14ac:dyDescent="0.25">
      <c r="A896" s="4" t="s">
        <v>1909</v>
      </c>
      <c r="B896" s="4" t="s">
        <v>67</v>
      </c>
      <c r="C896" s="4" t="s">
        <v>21</v>
      </c>
      <c r="E896" s="4" t="s">
        <v>130</v>
      </c>
      <c r="F896" s="4" t="s">
        <v>36</v>
      </c>
      <c r="G896" s="1">
        <v>43860</v>
      </c>
      <c r="H896" s="4" t="s">
        <v>1910</v>
      </c>
      <c r="I896" s="4" t="s">
        <v>265</v>
      </c>
      <c r="J896">
        <v>-3263890218</v>
      </c>
      <c r="K896" s="4" t="s">
        <v>45</v>
      </c>
      <c r="L896" t="b">
        <v>1</v>
      </c>
    </row>
    <row r="897" spans="1:12" x14ac:dyDescent="0.25">
      <c r="A897" s="4" t="s">
        <v>1911</v>
      </c>
      <c r="B897" s="4" t="s">
        <v>67</v>
      </c>
      <c r="C897" s="4" t="s">
        <v>21</v>
      </c>
      <c r="D897">
        <v>30</v>
      </c>
      <c r="E897" s="4" t="s">
        <v>251</v>
      </c>
      <c r="F897" s="4" t="s">
        <v>30</v>
      </c>
      <c r="G897" s="1">
        <v>44286</v>
      </c>
      <c r="H897" s="4" t="s">
        <v>1912</v>
      </c>
      <c r="I897" s="4" t="s">
        <v>265</v>
      </c>
      <c r="J897">
        <v>-9471136336</v>
      </c>
      <c r="K897" s="4" t="s">
        <v>33</v>
      </c>
      <c r="L897" t="b">
        <v>1</v>
      </c>
    </row>
    <row r="898" spans="1:12" x14ac:dyDescent="0.25">
      <c r="A898" s="4" t="s">
        <v>1913</v>
      </c>
      <c r="B898" s="4" t="s">
        <v>61</v>
      </c>
      <c r="C898" s="4" t="s">
        <v>106</v>
      </c>
      <c r="E898" s="4" t="s">
        <v>42</v>
      </c>
      <c r="F898" s="4" t="s">
        <v>16</v>
      </c>
      <c r="G898" s="1">
        <v>43913</v>
      </c>
      <c r="H898" s="4" t="s">
        <v>1914</v>
      </c>
      <c r="I898" s="4" t="s">
        <v>607</v>
      </c>
      <c r="J898">
        <v>-9223410345</v>
      </c>
      <c r="K898" s="4" t="s">
        <v>45</v>
      </c>
      <c r="L898" t="b">
        <v>0</v>
      </c>
    </row>
    <row r="899" spans="1:12" x14ac:dyDescent="0.25">
      <c r="A899" s="4" t="s">
        <v>1915</v>
      </c>
      <c r="B899" s="4" t="s">
        <v>27</v>
      </c>
      <c r="C899" s="4" t="s">
        <v>21</v>
      </c>
      <c r="D899">
        <v>40</v>
      </c>
      <c r="E899" s="4" t="s">
        <v>87</v>
      </c>
      <c r="F899" s="4" t="s">
        <v>36</v>
      </c>
      <c r="G899" s="1">
        <v>45489</v>
      </c>
      <c r="H899" s="4" t="s">
        <v>1916</v>
      </c>
      <c r="I899" s="4" t="s">
        <v>93</v>
      </c>
      <c r="J899">
        <v>-9967331166</v>
      </c>
      <c r="K899" s="4" t="s">
        <v>33</v>
      </c>
      <c r="L899" t="b">
        <v>1</v>
      </c>
    </row>
    <row r="900" spans="1:12" x14ac:dyDescent="0.25">
      <c r="A900" s="4" t="s">
        <v>1917</v>
      </c>
      <c r="B900" s="4" t="s">
        <v>75</v>
      </c>
      <c r="C900" s="4" t="s">
        <v>14</v>
      </c>
      <c r="D900">
        <v>40</v>
      </c>
      <c r="E900" s="4" t="s">
        <v>120</v>
      </c>
      <c r="F900" s="4" t="s">
        <v>30</v>
      </c>
      <c r="G900" s="1">
        <v>45373</v>
      </c>
      <c r="H900" s="4" t="s">
        <v>1918</v>
      </c>
      <c r="I900" s="4" t="s">
        <v>469</v>
      </c>
      <c r="J900">
        <v>-7269608436</v>
      </c>
      <c r="K900" s="4" t="s">
        <v>19</v>
      </c>
      <c r="L900" t="b">
        <v>1</v>
      </c>
    </row>
    <row r="901" spans="1:12" x14ac:dyDescent="0.25">
      <c r="A901" s="4" t="s">
        <v>1919</v>
      </c>
      <c r="B901" s="4" t="s">
        <v>67</v>
      </c>
      <c r="C901" s="4" t="s">
        <v>41</v>
      </c>
      <c r="D901">
        <v>30</v>
      </c>
      <c r="E901" s="4" t="s">
        <v>172</v>
      </c>
      <c r="F901" s="4" t="s">
        <v>16</v>
      </c>
      <c r="G901" s="1">
        <v>45157</v>
      </c>
      <c r="H901" s="4" t="s">
        <v>322</v>
      </c>
      <c r="I901" s="4" t="s">
        <v>70</v>
      </c>
      <c r="J901">
        <v>-6855078966</v>
      </c>
      <c r="K901" s="4" t="s">
        <v>25</v>
      </c>
      <c r="L901" t="b">
        <v>1</v>
      </c>
    </row>
    <row r="902" spans="1:12" x14ac:dyDescent="0.25">
      <c r="A902" s="4" t="s">
        <v>1920</v>
      </c>
      <c r="B902" s="4" t="s">
        <v>35</v>
      </c>
      <c r="C902" s="4" t="s">
        <v>28</v>
      </c>
      <c r="D902">
        <v>30</v>
      </c>
      <c r="E902" s="4" t="s">
        <v>270</v>
      </c>
      <c r="F902" s="4" t="s">
        <v>30</v>
      </c>
      <c r="G902" s="1">
        <v>45361</v>
      </c>
      <c r="H902" s="4" t="s">
        <v>1921</v>
      </c>
      <c r="I902" s="4" t="s">
        <v>323</v>
      </c>
      <c r="J902">
        <v>-9352196262</v>
      </c>
      <c r="K902" s="4" t="s">
        <v>19</v>
      </c>
      <c r="L902" t="b">
        <v>1</v>
      </c>
    </row>
    <row r="903" spans="1:12" x14ac:dyDescent="0.25">
      <c r="A903" s="4" t="s">
        <v>1922</v>
      </c>
      <c r="B903" s="4" t="s">
        <v>75</v>
      </c>
      <c r="C903" s="4" t="s">
        <v>21</v>
      </c>
      <c r="D903">
        <v>30</v>
      </c>
      <c r="E903" s="4" t="s">
        <v>270</v>
      </c>
      <c r="F903" s="4" t="s">
        <v>16</v>
      </c>
      <c r="G903" s="1">
        <v>45448</v>
      </c>
      <c r="H903" s="4" t="s">
        <v>1923</v>
      </c>
      <c r="I903" s="4" t="s">
        <v>480</v>
      </c>
      <c r="J903">
        <v>-3556434368</v>
      </c>
      <c r="K903" s="4" t="s">
        <v>25</v>
      </c>
      <c r="L903" t="b">
        <v>1</v>
      </c>
    </row>
    <row r="904" spans="1:12" x14ac:dyDescent="0.25">
      <c r="A904" s="4" t="s">
        <v>1924</v>
      </c>
      <c r="B904" s="4" t="s">
        <v>27</v>
      </c>
      <c r="C904" s="4" t="s">
        <v>106</v>
      </c>
      <c r="D904">
        <v>25</v>
      </c>
      <c r="E904" s="4" t="s">
        <v>116</v>
      </c>
      <c r="F904" s="4" t="s">
        <v>36</v>
      </c>
      <c r="G904" s="1">
        <v>44918</v>
      </c>
      <c r="H904" s="4" t="s">
        <v>1925</v>
      </c>
      <c r="I904" s="4" t="s">
        <v>194</v>
      </c>
      <c r="J904">
        <v>-7093170694</v>
      </c>
      <c r="K904" s="4" t="s">
        <v>45</v>
      </c>
      <c r="L904" t="b">
        <v>1</v>
      </c>
    </row>
    <row r="905" spans="1:12" x14ac:dyDescent="0.25">
      <c r="A905" s="4" t="s">
        <v>1926</v>
      </c>
      <c r="B905" s="4" t="s">
        <v>35</v>
      </c>
      <c r="C905" s="4" t="s">
        <v>14</v>
      </c>
      <c r="E905" s="4" t="s">
        <v>113</v>
      </c>
      <c r="F905" s="4" t="s">
        <v>16</v>
      </c>
      <c r="G905" s="1">
        <v>45444</v>
      </c>
      <c r="H905" s="4" t="s">
        <v>1927</v>
      </c>
      <c r="I905" s="4" t="s">
        <v>38</v>
      </c>
      <c r="J905">
        <v>-5607676163</v>
      </c>
      <c r="K905" s="4" t="s">
        <v>19</v>
      </c>
      <c r="L905" t="b">
        <v>1</v>
      </c>
    </row>
    <row r="906" spans="1:12" x14ac:dyDescent="0.25">
      <c r="A906" s="4" t="s">
        <v>1928</v>
      </c>
      <c r="B906" s="4" t="s">
        <v>40</v>
      </c>
      <c r="C906" s="4" t="s">
        <v>41</v>
      </c>
      <c r="D906">
        <v>25</v>
      </c>
      <c r="E906" s="4" t="s">
        <v>259</v>
      </c>
      <c r="F906" s="4" t="s">
        <v>36</v>
      </c>
      <c r="G906" s="1">
        <v>45649</v>
      </c>
      <c r="H906" s="4" t="s">
        <v>1929</v>
      </c>
      <c r="I906" s="4" t="s">
        <v>44</v>
      </c>
      <c r="J906">
        <v>-5345472238</v>
      </c>
      <c r="K906" s="4" t="s">
        <v>33</v>
      </c>
      <c r="L906" t="b">
        <v>0</v>
      </c>
    </row>
    <row r="907" spans="1:12" x14ac:dyDescent="0.25">
      <c r="A907" s="4" t="s">
        <v>1930</v>
      </c>
      <c r="B907" s="4" t="s">
        <v>75</v>
      </c>
      <c r="C907" s="4" t="s">
        <v>62</v>
      </c>
      <c r="E907" s="4" t="s">
        <v>312</v>
      </c>
      <c r="F907" s="4" t="s">
        <v>36</v>
      </c>
      <c r="G907" s="1">
        <v>44189</v>
      </c>
      <c r="H907" s="4" t="s">
        <v>1931</v>
      </c>
      <c r="I907" s="4" t="s">
        <v>132</v>
      </c>
      <c r="J907">
        <v>-8983065030</v>
      </c>
      <c r="K907" s="4" t="s">
        <v>25</v>
      </c>
      <c r="L907" t="b">
        <v>0</v>
      </c>
    </row>
    <row r="908" spans="1:12" x14ac:dyDescent="0.25">
      <c r="A908" s="4" t="s">
        <v>1932</v>
      </c>
      <c r="B908" s="4" t="s">
        <v>67</v>
      </c>
      <c r="C908" s="4" t="s">
        <v>62</v>
      </c>
      <c r="D908">
        <v>30</v>
      </c>
      <c r="E908" s="4" t="s">
        <v>76</v>
      </c>
      <c r="F908" s="4" t="s">
        <v>30</v>
      </c>
      <c r="G908" s="1">
        <v>44063</v>
      </c>
      <c r="H908" s="4" t="s">
        <v>1933</v>
      </c>
      <c r="I908" s="4" t="s">
        <v>257</v>
      </c>
      <c r="J908">
        <v>-2198041846</v>
      </c>
      <c r="K908" s="4" t="s">
        <v>25</v>
      </c>
      <c r="L908" t="b">
        <v>1</v>
      </c>
    </row>
    <row r="909" spans="1:12" x14ac:dyDescent="0.25">
      <c r="A909" s="4" t="s">
        <v>1934</v>
      </c>
      <c r="B909" s="4" t="s">
        <v>67</v>
      </c>
      <c r="C909" s="4" t="s">
        <v>41</v>
      </c>
      <c r="D909">
        <v>30</v>
      </c>
      <c r="E909" s="4" t="s">
        <v>172</v>
      </c>
      <c r="F909" s="4" t="s">
        <v>36</v>
      </c>
      <c r="G909" s="1">
        <v>44862</v>
      </c>
      <c r="H909" s="4" t="s">
        <v>1935</v>
      </c>
      <c r="I909" s="4" t="s">
        <v>70</v>
      </c>
      <c r="J909">
        <v>-2426423641</v>
      </c>
      <c r="K909" s="4" t="s">
        <v>19</v>
      </c>
      <c r="L909" t="b">
        <v>0</v>
      </c>
    </row>
    <row r="910" spans="1:12" x14ac:dyDescent="0.25">
      <c r="A910" s="4" t="s">
        <v>1936</v>
      </c>
      <c r="B910" s="4" t="s">
        <v>13</v>
      </c>
      <c r="C910" s="4" t="s">
        <v>14</v>
      </c>
      <c r="D910">
        <v>35</v>
      </c>
      <c r="E910" s="4" t="s">
        <v>251</v>
      </c>
      <c r="F910" s="4" t="s">
        <v>36</v>
      </c>
      <c r="G910" s="1">
        <v>44857</v>
      </c>
      <c r="H910" s="4" t="s">
        <v>1937</v>
      </c>
      <c r="I910" s="4" t="s">
        <v>18</v>
      </c>
      <c r="J910">
        <v>-8131909247</v>
      </c>
      <c r="K910" s="4" t="s">
        <v>45</v>
      </c>
      <c r="L910" t="b">
        <v>0</v>
      </c>
    </row>
    <row r="911" spans="1:12" x14ac:dyDescent="0.25">
      <c r="A911" s="4" t="s">
        <v>1938</v>
      </c>
      <c r="B911" s="4" t="s">
        <v>35</v>
      </c>
      <c r="C911" s="4" t="s">
        <v>106</v>
      </c>
      <c r="D911">
        <v>40</v>
      </c>
      <c r="E911" s="4" t="s">
        <v>210</v>
      </c>
      <c r="F911" s="4" t="s">
        <v>30</v>
      </c>
      <c r="G911" s="1">
        <v>45250</v>
      </c>
      <c r="H911" s="4" t="s">
        <v>1939</v>
      </c>
      <c r="I911" s="4" t="s">
        <v>307</v>
      </c>
      <c r="J911">
        <v>-7623039110</v>
      </c>
      <c r="K911" s="4" t="s">
        <v>19</v>
      </c>
      <c r="L911" t="b">
        <v>0</v>
      </c>
    </row>
    <row r="912" spans="1:12" x14ac:dyDescent="0.25">
      <c r="A912" s="4" t="s">
        <v>1940</v>
      </c>
      <c r="B912" s="4" t="s">
        <v>13</v>
      </c>
      <c r="C912" s="4" t="s">
        <v>41</v>
      </c>
      <c r="D912">
        <v>30</v>
      </c>
      <c r="E912" s="4" t="s">
        <v>22</v>
      </c>
      <c r="F912" s="4" t="s">
        <v>16</v>
      </c>
      <c r="G912" s="1">
        <v>44631</v>
      </c>
      <c r="H912" s="4" t="s">
        <v>1941</v>
      </c>
      <c r="I912" s="4" t="s">
        <v>170</v>
      </c>
      <c r="J912">
        <v>-4281785227</v>
      </c>
      <c r="K912" s="4" t="s">
        <v>45</v>
      </c>
      <c r="L912" t="b">
        <v>0</v>
      </c>
    </row>
    <row r="913" spans="1:12" x14ac:dyDescent="0.25">
      <c r="A913" s="4" t="s">
        <v>1942</v>
      </c>
      <c r="B913" s="4" t="s">
        <v>13</v>
      </c>
      <c r="C913" s="4" t="s">
        <v>28</v>
      </c>
      <c r="D913">
        <v>25</v>
      </c>
      <c r="E913" s="4" t="s">
        <v>138</v>
      </c>
      <c r="F913" s="4" t="s">
        <v>16</v>
      </c>
      <c r="G913" s="1">
        <v>45258</v>
      </c>
      <c r="H913" s="4" t="s">
        <v>1943</v>
      </c>
      <c r="I913" s="4" t="s">
        <v>56</v>
      </c>
      <c r="J913">
        <v>-2305248087</v>
      </c>
      <c r="K913" s="4" t="s">
        <v>45</v>
      </c>
      <c r="L913" t="b">
        <v>1</v>
      </c>
    </row>
    <row r="914" spans="1:12" x14ac:dyDescent="0.25">
      <c r="A914" s="4" t="s">
        <v>1944</v>
      </c>
      <c r="B914" s="4" t="s">
        <v>67</v>
      </c>
      <c r="C914" s="4" t="s">
        <v>28</v>
      </c>
      <c r="E914" s="4" t="s">
        <v>278</v>
      </c>
      <c r="F914" s="4" t="s">
        <v>36</v>
      </c>
      <c r="G914" s="1">
        <v>44684</v>
      </c>
      <c r="H914" s="4" t="s">
        <v>1945</v>
      </c>
      <c r="I914" s="4" t="s">
        <v>283</v>
      </c>
      <c r="J914">
        <v>-622072238</v>
      </c>
      <c r="K914" s="4" t="s">
        <v>25</v>
      </c>
      <c r="L914" t="b">
        <v>0</v>
      </c>
    </row>
    <row r="915" spans="1:12" x14ac:dyDescent="0.25">
      <c r="A915" s="4" t="s">
        <v>1946</v>
      </c>
      <c r="B915" s="4" t="s">
        <v>61</v>
      </c>
      <c r="C915" s="4" t="s">
        <v>62</v>
      </c>
      <c r="D915">
        <v>40</v>
      </c>
      <c r="E915" s="4" t="s">
        <v>251</v>
      </c>
      <c r="F915" s="4" t="s">
        <v>36</v>
      </c>
      <c r="G915" s="1">
        <v>45341</v>
      </c>
      <c r="H915" s="4" t="s">
        <v>1947</v>
      </c>
      <c r="I915" s="4" t="s">
        <v>65</v>
      </c>
      <c r="J915">
        <v>-5947372131</v>
      </c>
      <c r="K915" s="4" t="s">
        <v>19</v>
      </c>
      <c r="L915" t="b">
        <v>0</v>
      </c>
    </row>
    <row r="916" spans="1:12" x14ac:dyDescent="0.25">
      <c r="A916" s="4" t="s">
        <v>1948</v>
      </c>
      <c r="B916" s="4" t="s">
        <v>13</v>
      </c>
      <c r="C916" s="4" t="s">
        <v>21</v>
      </c>
      <c r="D916">
        <v>25</v>
      </c>
      <c r="E916" s="4" t="s">
        <v>102</v>
      </c>
      <c r="F916" s="4" t="s">
        <v>30</v>
      </c>
      <c r="G916" s="1">
        <v>44518</v>
      </c>
      <c r="H916" s="4" t="s">
        <v>1949</v>
      </c>
      <c r="I916" s="4" t="s">
        <v>24</v>
      </c>
      <c r="J916">
        <v>-9016204786</v>
      </c>
      <c r="K916" s="4" t="s">
        <v>19</v>
      </c>
      <c r="L916" t="b">
        <v>0</v>
      </c>
    </row>
    <row r="917" spans="1:12" x14ac:dyDescent="0.25">
      <c r="A917" s="4" t="s">
        <v>1950</v>
      </c>
      <c r="B917" s="4" t="s">
        <v>40</v>
      </c>
      <c r="C917" s="4" t="s">
        <v>106</v>
      </c>
      <c r="D917">
        <v>40</v>
      </c>
      <c r="E917" s="4" t="s">
        <v>259</v>
      </c>
      <c r="F917" s="4" t="s">
        <v>30</v>
      </c>
      <c r="G917" s="1">
        <v>44916</v>
      </c>
      <c r="H917" s="4" t="s">
        <v>1951</v>
      </c>
      <c r="I917" s="4" t="s">
        <v>128</v>
      </c>
      <c r="J917">
        <v>-6886878598</v>
      </c>
      <c r="K917" s="4" t="s">
        <v>45</v>
      </c>
      <c r="L917" t="b">
        <v>1</v>
      </c>
    </row>
    <row r="918" spans="1:12" x14ac:dyDescent="0.25">
      <c r="A918" s="4" t="s">
        <v>1952</v>
      </c>
      <c r="B918" s="4" t="s">
        <v>35</v>
      </c>
      <c r="C918" s="4" t="s">
        <v>62</v>
      </c>
      <c r="E918" s="4" t="s">
        <v>138</v>
      </c>
      <c r="F918" s="4" t="s">
        <v>16</v>
      </c>
      <c r="G918" s="1">
        <v>45447</v>
      </c>
      <c r="H918" s="4" t="s">
        <v>1953</v>
      </c>
      <c r="I918" s="4" t="s">
        <v>380</v>
      </c>
      <c r="J918">
        <v>-6486287202</v>
      </c>
      <c r="K918" s="4" t="s">
        <v>19</v>
      </c>
      <c r="L918" t="b">
        <v>1</v>
      </c>
    </row>
    <row r="919" spans="1:12" x14ac:dyDescent="0.25">
      <c r="A919" s="4" t="s">
        <v>1954</v>
      </c>
      <c r="B919" s="4" t="s">
        <v>35</v>
      </c>
      <c r="C919" s="4" t="s">
        <v>21</v>
      </c>
      <c r="D919">
        <v>25</v>
      </c>
      <c r="E919" s="4" t="s">
        <v>138</v>
      </c>
      <c r="F919" s="4" t="s">
        <v>36</v>
      </c>
      <c r="G919" s="1">
        <v>44764</v>
      </c>
      <c r="H919" s="4" t="s">
        <v>1955</v>
      </c>
      <c r="I919" s="4" t="s">
        <v>183</v>
      </c>
      <c r="J919">
        <v>-1954196663</v>
      </c>
      <c r="K919" s="4" t="s">
        <v>33</v>
      </c>
      <c r="L919" t="b">
        <v>1</v>
      </c>
    </row>
    <row r="920" spans="1:12" x14ac:dyDescent="0.25">
      <c r="A920" s="4" t="s">
        <v>1956</v>
      </c>
      <c r="B920" s="4" t="s">
        <v>61</v>
      </c>
      <c r="C920" s="4" t="s">
        <v>21</v>
      </c>
      <c r="E920" s="4" t="s">
        <v>76</v>
      </c>
      <c r="F920" s="4" t="s">
        <v>16</v>
      </c>
      <c r="G920" s="1">
        <v>45549</v>
      </c>
      <c r="H920" s="4" t="s">
        <v>1957</v>
      </c>
      <c r="I920" s="4" t="s">
        <v>147</v>
      </c>
      <c r="J920">
        <v>-5057303626</v>
      </c>
      <c r="K920" s="4" t="s">
        <v>33</v>
      </c>
      <c r="L920" t="b">
        <v>1</v>
      </c>
    </row>
    <row r="921" spans="1:12" x14ac:dyDescent="0.25">
      <c r="A921" s="4" t="s">
        <v>1958</v>
      </c>
      <c r="B921" s="4" t="s">
        <v>61</v>
      </c>
      <c r="C921" s="4" t="s">
        <v>47</v>
      </c>
      <c r="D921">
        <v>30</v>
      </c>
      <c r="E921" s="4" t="s">
        <v>120</v>
      </c>
      <c r="F921" s="4" t="s">
        <v>16</v>
      </c>
      <c r="G921" s="1">
        <v>44479</v>
      </c>
      <c r="H921" s="4" t="s">
        <v>1959</v>
      </c>
      <c r="I921" s="4" t="s">
        <v>100</v>
      </c>
      <c r="J921">
        <v>-9246320373</v>
      </c>
      <c r="K921" s="4" t="s">
        <v>19</v>
      </c>
      <c r="L921" t="b">
        <v>1</v>
      </c>
    </row>
    <row r="922" spans="1:12" x14ac:dyDescent="0.25">
      <c r="A922" s="4" t="s">
        <v>1960</v>
      </c>
      <c r="B922" s="4" t="s">
        <v>40</v>
      </c>
      <c r="C922" s="4" t="s">
        <v>28</v>
      </c>
      <c r="D922">
        <v>30</v>
      </c>
      <c r="E922" s="4" t="s">
        <v>102</v>
      </c>
      <c r="F922" s="4" t="s">
        <v>30</v>
      </c>
      <c r="G922" s="1">
        <v>43902</v>
      </c>
      <c r="H922" s="4" t="s">
        <v>1961</v>
      </c>
      <c r="I922" s="4" t="s">
        <v>53</v>
      </c>
      <c r="J922">
        <v>-7677537259</v>
      </c>
      <c r="K922" s="4" t="s">
        <v>19</v>
      </c>
      <c r="L922" t="b">
        <v>1</v>
      </c>
    </row>
    <row r="923" spans="1:12" x14ac:dyDescent="0.25">
      <c r="A923" s="4" t="s">
        <v>1962</v>
      </c>
      <c r="B923" s="4" t="s">
        <v>61</v>
      </c>
      <c r="C923" s="4" t="s">
        <v>14</v>
      </c>
      <c r="D923">
        <v>35</v>
      </c>
      <c r="E923" s="4" t="s">
        <v>309</v>
      </c>
      <c r="F923" s="4" t="s">
        <v>16</v>
      </c>
      <c r="G923" s="1">
        <v>44923</v>
      </c>
      <c r="H923" s="4" t="s">
        <v>1963</v>
      </c>
      <c r="I923" s="4" t="s">
        <v>200</v>
      </c>
      <c r="J923">
        <v>-3214505765</v>
      </c>
      <c r="K923" s="4" t="s">
        <v>45</v>
      </c>
      <c r="L923" t="b">
        <v>1</v>
      </c>
    </row>
    <row r="924" spans="1:12" x14ac:dyDescent="0.25">
      <c r="A924" s="4" t="s">
        <v>1964</v>
      </c>
      <c r="B924" s="4" t="s">
        <v>80</v>
      </c>
      <c r="C924" s="4" t="s">
        <v>142</v>
      </c>
      <c r="D924">
        <v>40</v>
      </c>
      <c r="E924" s="4" t="s">
        <v>244</v>
      </c>
      <c r="F924" s="4" t="s">
        <v>36</v>
      </c>
      <c r="G924" s="1">
        <v>44150</v>
      </c>
      <c r="H924" s="4" t="s">
        <v>1965</v>
      </c>
      <c r="I924" s="4" t="s">
        <v>160</v>
      </c>
      <c r="J924">
        <v>-1945887070</v>
      </c>
      <c r="K924" s="4" t="s">
        <v>33</v>
      </c>
      <c r="L924" t="b">
        <v>0</v>
      </c>
    </row>
    <row r="925" spans="1:12" x14ac:dyDescent="0.25">
      <c r="A925" s="4" t="s">
        <v>1966</v>
      </c>
      <c r="B925" s="4" t="s">
        <v>40</v>
      </c>
      <c r="C925" s="4" t="s">
        <v>14</v>
      </c>
      <c r="D925">
        <v>35</v>
      </c>
      <c r="E925" s="4" t="s">
        <v>81</v>
      </c>
      <c r="F925" s="4" t="s">
        <v>30</v>
      </c>
      <c r="G925" s="1">
        <v>45196</v>
      </c>
      <c r="H925" s="4" t="s">
        <v>1967</v>
      </c>
      <c r="I925" s="4" t="s">
        <v>59</v>
      </c>
      <c r="J925">
        <v>-5534820127</v>
      </c>
      <c r="K925" s="4" t="s">
        <v>33</v>
      </c>
      <c r="L925" t="b">
        <v>0</v>
      </c>
    </row>
    <row r="926" spans="1:12" x14ac:dyDescent="0.25">
      <c r="A926" s="4" t="s">
        <v>1968</v>
      </c>
      <c r="B926" s="4" t="s">
        <v>75</v>
      </c>
      <c r="C926" s="4" t="s">
        <v>142</v>
      </c>
      <c r="D926">
        <v>35</v>
      </c>
      <c r="E926" s="4" t="s">
        <v>278</v>
      </c>
      <c r="F926" s="4" t="s">
        <v>30</v>
      </c>
      <c r="G926" s="1">
        <v>44811</v>
      </c>
      <c r="H926" s="4" t="s">
        <v>1969</v>
      </c>
      <c r="I926" s="4" t="s">
        <v>436</v>
      </c>
      <c r="J926">
        <v>-4008385075</v>
      </c>
      <c r="K926" s="4" t="s">
        <v>25</v>
      </c>
      <c r="L926" t="b">
        <v>0</v>
      </c>
    </row>
    <row r="927" spans="1:12" x14ac:dyDescent="0.25">
      <c r="A927" s="4" t="s">
        <v>1970</v>
      </c>
      <c r="B927" s="4" t="s">
        <v>13</v>
      </c>
      <c r="C927" s="4" t="s">
        <v>41</v>
      </c>
      <c r="D927">
        <v>35</v>
      </c>
      <c r="E927" s="4" t="s">
        <v>42</v>
      </c>
      <c r="F927" s="4" t="s">
        <v>30</v>
      </c>
      <c r="G927" s="1">
        <v>45553</v>
      </c>
      <c r="H927" s="4" t="s">
        <v>1971</v>
      </c>
      <c r="I927" s="4" t="s">
        <v>170</v>
      </c>
      <c r="J927">
        <v>-5975954507</v>
      </c>
      <c r="K927" s="4" t="s">
        <v>45</v>
      </c>
      <c r="L927" t="b">
        <v>1</v>
      </c>
    </row>
    <row r="928" spans="1:12" x14ac:dyDescent="0.25">
      <c r="A928" s="4" t="s">
        <v>1972</v>
      </c>
      <c r="B928" s="4" t="s">
        <v>40</v>
      </c>
      <c r="C928" s="4" t="s">
        <v>28</v>
      </c>
      <c r="D928">
        <v>25</v>
      </c>
      <c r="E928" s="4" t="s">
        <v>259</v>
      </c>
      <c r="F928" s="4" t="s">
        <v>16</v>
      </c>
      <c r="G928" s="1">
        <v>45025</v>
      </c>
      <c r="H928" s="4" t="s">
        <v>1973</v>
      </c>
      <c r="I928" s="4" t="s">
        <v>53</v>
      </c>
      <c r="J928">
        <v>-9177680897</v>
      </c>
      <c r="K928" s="4" t="s">
        <v>25</v>
      </c>
      <c r="L928" t="b">
        <v>1</v>
      </c>
    </row>
    <row r="929" spans="1:12" x14ac:dyDescent="0.25">
      <c r="A929" s="4" t="s">
        <v>1974</v>
      </c>
      <c r="B929" s="4" t="s">
        <v>35</v>
      </c>
      <c r="C929" s="4" t="s">
        <v>21</v>
      </c>
      <c r="D929">
        <v>30</v>
      </c>
      <c r="E929" s="4" t="s">
        <v>187</v>
      </c>
      <c r="F929" s="4" t="s">
        <v>30</v>
      </c>
      <c r="G929" s="1">
        <v>45570</v>
      </c>
      <c r="H929" s="4" t="s">
        <v>1975</v>
      </c>
      <c r="I929" s="4" t="s">
        <v>183</v>
      </c>
      <c r="J929">
        <v>-1265742230</v>
      </c>
      <c r="K929" s="4" t="s">
        <v>33</v>
      </c>
      <c r="L929" t="b">
        <v>1</v>
      </c>
    </row>
    <row r="930" spans="1:12" x14ac:dyDescent="0.25">
      <c r="A930" s="4" t="s">
        <v>1976</v>
      </c>
      <c r="B930" s="4" t="s">
        <v>13</v>
      </c>
      <c r="C930" s="4" t="s">
        <v>106</v>
      </c>
      <c r="E930" s="4" t="s">
        <v>267</v>
      </c>
      <c r="F930" s="4" t="s">
        <v>36</v>
      </c>
      <c r="G930" s="1">
        <v>44481</v>
      </c>
      <c r="H930" s="4" t="s">
        <v>1977</v>
      </c>
      <c r="I930" s="4" t="s">
        <v>108</v>
      </c>
      <c r="J930">
        <v>-9646300401</v>
      </c>
      <c r="K930" s="4" t="s">
        <v>45</v>
      </c>
      <c r="L930" t="b">
        <v>1</v>
      </c>
    </row>
    <row r="931" spans="1:12" x14ac:dyDescent="0.25">
      <c r="A931" s="4" t="s">
        <v>1978</v>
      </c>
      <c r="B931" s="4" t="s">
        <v>27</v>
      </c>
      <c r="C931" s="4" t="s">
        <v>142</v>
      </c>
      <c r="D931">
        <v>35</v>
      </c>
      <c r="E931" s="4" t="s">
        <v>267</v>
      </c>
      <c r="F931" s="4" t="s">
        <v>30</v>
      </c>
      <c r="G931" s="1">
        <v>45579</v>
      </c>
      <c r="H931" s="4" t="s">
        <v>1979</v>
      </c>
      <c r="I931" s="4" t="s">
        <v>217</v>
      </c>
      <c r="J931">
        <v>-3693626893</v>
      </c>
      <c r="K931" s="4" t="s">
        <v>19</v>
      </c>
      <c r="L931" t="b">
        <v>1</v>
      </c>
    </row>
    <row r="932" spans="1:12" x14ac:dyDescent="0.25">
      <c r="A932" s="4" t="s">
        <v>1980</v>
      </c>
      <c r="B932" s="4" t="s">
        <v>27</v>
      </c>
      <c r="C932" s="4" t="s">
        <v>14</v>
      </c>
      <c r="D932">
        <v>35</v>
      </c>
      <c r="E932" s="4" t="s">
        <v>172</v>
      </c>
      <c r="F932" s="4" t="s">
        <v>36</v>
      </c>
      <c r="G932" s="1">
        <v>44743</v>
      </c>
      <c r="H932" s="4" t="s">
        <v>1981</v>
      </c>
      <c r="I932" s="4" t="s">
        <v>191</v>
      </c>
      <c r="J932">
        <v>-3012047136</v>
      </c>
      <c r="K932" s="4" t="s">
        <v>45</v>
      </c>
      <c r="L932" t="b">
        <v>0</v>
      </c>
    </row>
    <row r="933" spans="1:12" x14ac:dyDescent="0.25">
      <c r="A933" s="4" t="s">
        <v>1982</v>
      </c>
      <c r="B933" s="4" t="s">
        <v>75</v>
      </c>
      <c r="C933" s="4" t="s">
        <v>21</v>
      </c>
      <c r="D933">
        <v>40</v>
      </c>
      <c r="E933" s="4" t="s">
        <v>81</v>
      </c>
      <c r="F933" s="4" t="s">
        <v>16</v>
      </c>
      <c r="G933" s="1">
        <v>45481</v>
      </c>
      <c r="H933" s="4" t="s">
        <v>1983</v>
      </c>
      <c r="I933" s="4" t="s">
        <v>480</v>
      </c>
      <c r="J933">
        <v>-2711759573</v>
      </c>
      <c r="K933" s="4" t="s">
        <v>19</v>
      </c>
      <c r="L933" t="b">
        <v>0</v>
      </c>
    </row>
    <row r="934" spans="1:12" x14ac:dyDescent="0.25">
      <c r="A934" s="4" t="s">
        <v>1984</v>
      </c>
      <c r="B934" s="4" t="s">
        <v>80</v>
      </c>
      <c r="C934" s="4" t="s">
        <v>142</v>
      </c>
      <c r="D934">
        <v>30</v>
      </c>
      <c r="E934" s="4" t="s">
        <v>113</v>
      </c>
      <c r="F934" s="4" t="s">
        <v>16</v>
      </c>
      <c r="G934" s="1">
        <v>44125</v>
      </c>
      <c r="H934" s="4" t="s">
        <v>1985</v>
      </c>
      <c r="I934" s="4" t="s">
        <v>160</v>
      </c>
      <c r="J934">
        <v>-9885582983</v>
      </c>
      <c r="K934" s="4" t="s">
        <v>19</v>
      </c>
      <c r="L934" t="b">
        <v>1</v>
      </c>
    </row>
    <row r="935" spans="1:12" x14ac:dyDescent="0.25">
      <c r="A935" s="4" t="s">
        <v>1986</v>
      </c>
      <c r="B935" s="4" t="s">
        <v>40</v>
      </c>
      <c r="C935" s="4" t="s">
        <v>142</v>
      </c>
      <c r="D935">
        <v>25</v>
      </c>
      <c r="E935" s="4" t="s">
        <v>87</v>
      </c>
      <c r="F935" s="4" t="s">
        <v>16</v>
      </c>
      <c r="G935" s="1">
        <v>43844</v>
      </c>
      <c r="H935" s="4" t="s">
        <v>1987</v>
      </c>
      <c r="I935" s="4" t="s">
        <v>163</v>
      </c>
      <c r="J935">
        <v>-9330674583</v>
      </c>
      <c r="K935" s="4" t="s">
        <v>45</v>
      </c>
      <c r="L935" t="b">
        <v>1</v>
      </c>
    </row>
    <row r="936" spans="1:12" x14ac:dyDescent="0.25">
      <c r="A936" s="4" t="s">
        <v>1988</v>
      </c>
      <c r="B936" s="4" t="s">
        <v>80</v>
      </c>
      <c r="C936" s="4" t="s">
        <v>47</v>
      </c>
      <c r="D936">
        <v>30</v>
      </c>
      <c r="E936" s="4" t="s">
        <v>87</v>
      </c>
      <c r="F936" s="4" t="s">
        <v>30</v>
      </c>
      <c r="G936" s="1">
        <v>44994</v>
      </c>
      <c r="H936" s="4" t="s">
        <v>1989</v>
      </c>
      <c r="I936" s="4" t="s">
        <v>96</v>
      </c>
      <c r="J936">
        <v>-7609441282</v>
      </c>
      <c r="K936" s="4" t="s">
        <v>19</v>
      </c>
      <c r="L936" t="b">
        <v>1</v>
      </c>
    </row>
    <row r="937" spans="1:12" x14ac:dyDescent="0.25">
      <c r="A937" s="4" t="s">
        <v>1990</v>
      </c>
      <c r="B937" s="4" t="s">
        <v>61</v>
      </c>
      <c r="C937" s="4" t="s">
        <v>142</v>
      </c>
      <c r="D937">
        <v>40</v>
      </c>
      <c r="E937" s="4" t="s">
        <v>229</v>
      </c>
      <c r="F937" s="4" t="s">
        <v>36</v>
      </c>
      <c r="G937" s="1">
        <v>43917</v>
      </c>
      <c r="H937" s="4" t="s">
        <v>1991</v>
      </c>
      <c r="I937" s="4" t="s">
        <v>231</v>
      </c>
      <c r="J937">
        <v>-3372188565</v>
      </c>
      <c r="K937" s="4" t="s">
        <v>25</v>
      </c>
      <c r="L937" t="b">
        <v>1</v>
      </c>
    </row>
    <row r="938" spans="1:12" x14ac:dyDescent="0.25">
      <c r="A938" s="4" t="s">
        <v>1992</v>
      </c>
      <c r="B938" s="4" t="s">
        <v>35</v>
      </c>
      <c r="C938" s="4" t="s">
        <v>106</v>
      </c>
      <c r="D938">
        <v>40</v>
      </c>
      <c r="E938" s="4" t="s">
        <v>259</v>
      </c>
      <c r="F938" s="4" t="s">
        <v>36</v>
      </c>
      <c r="G938" s="1">
        <v>44290</v>
      </c>
      <c r="H938" s="4" t="s">
        <v>322</v>
      </c>
      <c r="I938" s="4" t="s">
        <v>307</v>
      </c>
      <c r="J938">
        <v>-6954132970</v>
      </c>
      <c r="K938" s="4" t="s">
        <v>33</v>
      </c>
      <c r="L938" t="b">
        <v>0</v>
      </c>
    </row>
    <row r="939" spans="1:12" x14ac:dyDescent="0.25">
      <c r="A939" s="4" t="s">
        <v>1993</v>
      </c>
      <c r="B939" s="4" t="s">
        <v>35</v>
      </c>
      <c r="C939" s="4" t="s">
        <v>28</v>
      </c>
      <c r="D939">
        <v>35</v>
      </c>
      <c r="E939" s="4" t="s">
        <v>386</v>
      </c>
      <c r="F939" s="4" t="s">
        <v>36</v>
      </c>
      <c r="G939" s="1">
        <v>44085</v>
      </c>
      <c r="H939" s="4" t="s">
        <v>1994</v>
      </c>
      <c r="I939" s="4" t="s">
        <v>323</v>
      </c>
      <c r="J939">
        <v>-5066626704</v>
      </c>
      <c r="K939" s="4" t="s">
        <v>19</v>
      </c>
      <c r="L939" t="b">
        <v>1</v>
      </c>
    </row>
    <row r="940" spans="1:12" x14ac:dyDescent="0.25">
      <c r="A940" s="4" t="s">
        <v>1995</v>
      </c>
      <c r="B940" s="4" t="s">
        <v>80</v>
      </c>
      <c r="C940" s="4" t="s">
        <v>106</v>
      </c>
      <c r="D940">
        <v>30</v>
      </c>
      <c r="E940" s="4" t="s">
        <v>116</v>
      </c>
      <c r="F940" s="4" t="s">
        <v>30</v>
      </c>
      <c r="G940" s="1">
        <v>44332</v>
      </c>
      <c r="H940" s="4" t="s">
        <v>1996</v>
      </c>
      <c r="I940" s="4" t="s">
        <v>197</v>
      </c>
      <c r="J940">
        <v>-5143776935</v>
      </c>
      <c r="K940" s="4" t="s">
        <v>25</v>
      </c>
      <c r="L940" t="b">
        <v>1</v>
      </c>
    </row>
    <row r="941" spans="1:12" x14ac:dyDescent="0.25">
      <c r="A941" s="4" t="s">
        <v>1997</v>
      </c>
      <c r="B941" s="4" t="s">
        <v>75</v>
      </c>
      <c r="C941" s="4" t="s">
        <v>62</v>
      </c>
      <c r="D941">
        <v>25</v>
      </c>
      <c r="E941" s="4" t="s">
        <v>259</v>
      </c>
      <c r="F941" s="4" t="s">
        <v>36</v>
      </c>
      <c r="G941" s="1">
        <v>45021</v>
      </c>
      <c r="H941" s="4" t="s">
        <v>1998</v>
      </c>
      <c r="I941" s="4" t="s">
        <v>132</v>
      </c>
      <c r="J941">
        <v>-6343925294</v>
      </c>
      <c r="K941" s="4" t="s">
        <v>19</v>
      </c>
      <c r="L941" t="b">
        <v>1</v>
      </c>
    </row>
    <row r="942" spans="1:12" x14ac:dyDescent="0.25">
      <c r="A942" s="4" t="s">
        <v>1999</v>
      </c>
      <c r="B942" s="4" t="s">
        <v>35</v>
      </c>
      <c r="C942" s="4" t="s">
        <v>21</v>
      </c>
      <c r="D942">
        <v>40</v>
      </c>
      <c r="E942" s="4" t="s">
        <v>278</v>
      </c>
      <c r="F942" s="4" t="s">
        <v>36</v>
      </c>
      <c r="G942" s="1">
        <v>44880</v>
      </c>
      <c r="H942" s="4" t="s">
        <v>322</v>
      </c>
      <c r="I942" s="4" t="s">
        <v>183</v>
      </c>
      <c r="J942">
        <v>-9611110285</v>
      </c>
      <c r="K942" s="4" t="s">
        <v>33</v>
      </c>
      <c r="L942" t="b">
        <v>1</v>
      </c>
    </row>
    <row r="943" spans="1:12" x14ac:dyDescent="0.25">
      <c r="A943" s="4" t="s">
        <v>2000</v>
      </c>
      <c r="B943" s="4" t="s">
        <v>35</v>
      </c>
      <c r="C943" s="4" t="s">
        <v>28</v>
      </c>
      <c r="D943">
        <v>30</v>
      </c>
      <c r="E943" s="4" t="s">
        <v>48</v>
      </c>
      <c r="F943" s="4" t="s">
        <v>16</v>
      </c>
      <c r="G943" s="1">
        <v>44485</v>
      </c>
      <c r="H943" s="4" t="s">
        <v>2001</v>
      </c>
      <c r="I943" s="4" t="s">
        <v>323</v>
      </c>
      <c r="J943">
        <v>-7120072023</v>
      </c>
      <c r="K943" s="4" t="s">
        <v>25</v>
      </c>
      <c r="L943" t="b">
        <v>0</v>
      </c>
    </row>
    <row r="944" spans="1:12" x14ac:dyDescent="0.25">
      <c r="A944" s="4" t="s">
        <v>2002</v>
      </c>
      <c r="B944" s="4" t="s">
        <v>40</v>
      </c>
      <c r="C944" s="4" t="s">
        <v>47</v>
      </c>
      <c r="D944">
        <v>30</v>
      </c>
      <c r="E944" s="4" t="s">
        <v>312</v>
      </c>
      <c r="F944" s="4" t="s">
        <v>36</v>
      </c>
      <c r="G944" s="1">
        <v>44690</v>
      </c>
      <c r="H944" s="4" t="s">
        <v>2003</v>
      </c>
      <c r="I944" s="4" t="s">
        <v>214</v>
      </c>
      <c r="J944">
        <v>-5591024509</v>
      </c>
      <c r="K944" s="4" t="s">
        <v>33</v>
      </c>
      <c r="L944" t="b">
        <v>1</v>
      </c>
    </row>
    <row r="945" spans="1:12" x14ac:dyDescent="0.25">
      <c r="A945" s="4" t="s">
        <v>2004</v>
      </c>
      <c r="B945" s="4" t="s">
        <v>27</v>
      </c>
      <c r="C945" s="4" t="s">
        <v>28</v>
      </c>
      <c r="D945">
        <v>35</v>
      </c>
      <c r="E945" s="4" t="s">
        <v>229</v>
      </c>
      <c r="F945" s="4" t="s">
        <v>30</v>
      </c>
      <c r="G945" s="1">
        <v>43988</v>
      </c>
      <c r="H945" s="4" t="s">
        <v>2005</v>
      </c>
      <c r="I945" s="4" t="s">
        <v>32</v>
      </c>
      <c r="J945">
        <v>-9109032670</v>
      </c>
      <c r="K945" s="4" t="s">
        <v>33</v>
      </c>
      <c r="L945" t="b">
        <v>1</v>
      </c>
    </row>
    <row r="946" spans="1:12" x14ac:dyDescent="0.25">
      <c r="A946" s="4" t="s">
        <v>2006</v>
      </c>
      <c r="B946" s="4" t="s">
        <v>61</v>
      </c>
      <c r="C946" s="4" t="s">
        <v>28</v>
      </c>
      <c r="D946">
        <v>25</v>
      </c>
      <c r="E946" s="4" t="s">
        <v>126</v>
      </c>
      <c r="F946" s="4" t="s">
        <v>30</v>
      </c>
      <c r="G946" s="1">
        <v>44491</v>
      </c>
      <c r="H946" s="4" t="s">
        <v>2007</v>
      </c>
      <c r="I946" s="4" t="s">
        <v>140</v>
      </c>
      <c r="J946">
        <v>-4949819420</v>
      </c>
      <c r="K946" s="4" t="s">
        <v>25</v>
      </c>
      <c r="L946" t="b">
        <v>0</v>
      </c>
    </row>
    <row r="947" spans="1:12" x14ac:dyDescent="0.25">
      <c r="A947" s="4" t="s">
        <v>2008</v>
      </c>
      <c r="B947" s="4" t="s">
        <v>35</v>
      </c>
      <c r="C947" s="4" t="s">
        <v>14</v>
      </c>
      <c r="D947">
        <v>35</v>
      </c>
      <c r="E947" s="4" t="s">
        <v>386</v>
      </c>
      <c r="F947" s="4" t="s">
        <v>30</v>
      </c>
      <c r="G947" s="1">
        <v>44573</v>
      </c>
      <c r="H947" s="4" t="s">
        <v>2009</v>
      </c>
      <c r="I947" s="4" t="s">
        <v>38</v>
      </c>
      <c r="J947">
        <v>-7942817933</v>
      </c>
      <c r="K947" s="4" t="s">
        <v>25</v>
      </c>
      <c r="L947" t="b">
        <v>0</v>
      </c>
    </row>
    <row r="948" spans="1:12" x14ac:dyDescent="0.25">
      <c r="A948" s="4" t="s">
        <v>2010</v>
      </c>
      <c r="B948" s="4" t="s">
        <v>61</v>
      </c>
      <c r="C948" s="4" t="s">
        <v>28</v>
      </c>
      <c r="D948">
        <v>25</v>
      </c>
      <c r="E948" s="4" t="s">
        <v>102</v>
      </c>
      <c r="F948" s="4" t="s">
        <v>36</v>
      </c>
      <c r="G948" s="1">
        <v>44594</v>
      </c>
      <c r="H948" s="4" t="s">
        <v>2011</v>
      </c>
      <c r="I948" s="4" t="s">
        <v>140</v>
      </c>
      <c r="J948">
        <v>-652775843</v>
      </c>
      <c r="K948" s="4" t="s">
        <v>25</v>
      </c>
      <c r="L948" t="b">
        <v>0</v>
      </c>
    </row>
    <row r="949" spans="1:12" x14ac:dyDescent="0.25">
      <c r="A949" s="4" t="s">
        <v>2012</v>
      </c>
      <c r="B949" s="4" t="s">
        <v>61</v>
      </c>
      <c r="C949" s="4" t="s">
        <v>47</v>
      </c>
      <c r="D949">
        <v>25</v>
      </c>
      <c r="E949" s="4" t="s">
        <v>233</v>
      </c>
      <c r="F949" s="4" t="s">
        <v>30</v>
      </c>
      <c r="G949" s="1">
        <v>44283</v>
      </c>
      <c r="H949" s="4" t="s">
        <v>2013</v>
      </c>
      <c r="I949" s="4" t="s">
        <v>100</v>
      </c>
      <c r="J949">
        <v>-6634533721</v>
      </c>
      <c r="K949" s="4" t="s">
        <v>45</v>
      </c>
      <c r="L949" t="b">
        <v>1</v>
      </c>
    </row>
    <row r="950" spans="1:12" x14ac:dyDescent="0.25">
      <c r="A950" s="4" t="s">
        <v>2014</v>
      </c>
      <c r="B950" s="4" t="s">
        <v>13</v>
      </c>
      <c r="C950" s="4" t="s">
        <v>106</v>
      </c>
      <c r="D950">
        <v>40</v>
      </c>
      <c r="E950" s="4" t="s">
        <v>22</v>
      </c>
      <c r="F950" s="4" t="s">
        <v>16</v>
      </c>
      <c r="G950" s="1">
        <v>45507</v>
      </c>
      <c r="H950" s="4" t="s">
        <v>322</v>
      </c>
      <c r="I950" s="4" t="s">
        <v>108</v>
      </c>
      <c r="J950">
        <v>-109121721</v>
      </c>
      <c r="K950" s="4" t="s">
        <v>25</v>
      </c>
      <c r="L950" t="b">
        <v>1</v>
      </c>
    </row>
    <row r="951" spans="1:12" x14ac:dyDescent="0.25">
      <c r="A951" s="4" t="s">
        <v>2015</v>
      </c>
      <c r="B951" s="4" t="s">
        <v>40</v>
      </c>
      <c r="C951" s="4" t="s">
        <v>28</v>
      </c>
      <c r="D951">
        <v>35</v>
      </c>
      <c r="E951" s="4" t="s">
        <v>15</v>
      </c>
      <c r="F951" s="4" t="s">
        <v>16</v>
      </c>
      <c r="G951" s="1">
        <v>45504</v>
      </c>
      <c r="H951" s="4" t="s">
        <v>2016</v>
      </c>
      <c r="I951" s="4" t="s">
        <v>53</v>
      </c>
      <c r="J951">
        <v>-1455937660</v>
      </c>
      <c r="K951" s="4" t="s">
        <v>25</v>
      </c>
      <c r="L951" t="b">
        <v>0</v>
      </c>
    </row>
    <row r="952" spans="1:12" x14ac:dyDescent="0.25">
      <c r="A952" s="4" t="s">
        <v>2017</v>
      </c>
      <c r="B952" s="4" t="s">
        <v>40</v>
      </c>
      <c r="C952" s="4" t="s">
        <v>41</v>
      </c>
      <c r="D952">
        <v>30</v>
      </c>
      <c r="E952" s="4" t="s">
        <v>15</v>
      </c>
      <c r="F952" s="4" t="s">
        <v>16</v>
      </c>
      <c r="G952" s="1">
        <v>45355</v>
      </c>
      <c r="H952" s="4" t="s">
        <v>2018</v>
      </c>
      <c r="I952" s="4" t="s">
        <v>44</v>
      </c>
      <c r="J952">
        <v>-8943705262</v>
      </c>
      <c r="K952" s="4" t="s">
        <v>25</v>
      </c>
      <c r="L952" t="b">
        <v>0</v>
      </c>
    </row>
    <row r="953" spans="1:12" x14ac:dyDescent="0.25">
      <c r="A953" s="4" t="s">
        <v>2019</v>
      </c>
      <c r="B953" s="4" t="s">
        <v>61</v>
      </c>
      <c r="C953" s="4" t="s">
        <v>21</v>
      </c>
      <c r="D953">
        <v>30</v>
      </c>
      <c r="E953" s="4" t="s">
        <v>76</v>
      </c>
      <c r="F953" s="4" t="s">
        <v>16</v>
      </c>
      <c r="G953" s="1">
        <v>44097</v>
      </c>
      <c r="H953" s="4" t="s">
        <v>2020</v>
      </c>
      <c r="I953" s="4" t="s">
        <v>147</v>
      </c>
      <c r="J953">
        <v>-5100462775</v>
      </c>
      <c r="K953" s="4" t="s">
        <v>25</v>
      </c>
      <c r="L953" t="b">
        <v>0</v>
      </c>
    </row>
    <row r="954" spans="1:12" x14ac:dyDescent="0.25">
      <c r="A954" s="4" t="s">
        <v>2021</v>
      </c>
      <c r="B954" s="4" t="s">
        <v>13</v>
      </c>
      <c r="C954" s="4" t="s">
        <v>28</v>
      </c>
      <c r="D954">
        <v>25</v>
      </c>
      <c r="E954" s="4" t="s">
        <v>42</v>
      </c>
      <c r="F954" s="4" t="s">
        <v>36</v>
      </c>
      <c r="G954" s="1">
        <v>43918</v>
      </c>
      <c r="H954" s="4" t="s">
        <v>2022</v>
      </c>
      <c r="I954" s="4" t="s">
        <v>56</v>
      </c>
      <c r="J954">
        <v>-5725659201</v>
      </c>
      <c r="K954" s="4" t="s">
        <v>19</v>
      </c>
      <c r="L954" t="b">
        <v>0</v>
      </c>
    </row>
    <row r="955" spans="1:12" x14ac:dyDescent="0.25">
      <c r="A955" s="4" t="s">
        <v>2023</v>
      </c>
      <c r="B955" s="4" t="s">
        <v>27</v>
      </c>
      <c r="C955" s="4" t="s">
        <v>21</v>
      </c>
      <c r="D955">
        <v>40</v>
      </c>
      <c r="E955" s="4" t="s">
        <v>312</v>
      </c>
      <c r="F955" s="4" t="s">
        <v>16</v>
      </c>
      <c r="G955" s="1">
        <v>43966</v>
      </c>
      <c r="H955" s="4" t="s">
        <v>322</v>
      </c>
      <c r="I955" s="4" t="s">
        <v>93</v>
      </c>
      <c r="J955">
        <v>-4617520237</v>
      </c>
      <c r="K955" s="4" t="s">
        <v>45</v>
      </c>
      <c r="L955" t="b">
        <v>0</v>
      </c>
    </row>
    <row r="956" spans="1:12" x14ac:dyDescent="0.25">
      <c r="A956" s="4" t="s">
        <v>2024</v>
      </c>
      <c r="B956" s="4" t="s">
        <v>13</v>
      </c>
      <c r="C956" s="4" t="s">
        <v>41</v>
      </c>
      <c r="D956">
        <v>25</v>
      </c>
      <c r="E956" s="4" t="s">
        <v>126</v>
      </c>
      <c r="F956" s="4" t="s">
        <v>30</v>
      </c>
      <c r="G956" s="1">
        <v>44240</v>
      </c>
      <c r="H956" s="4" t="s">
        <v>2025</v>
      </c>
      <c r="I956" s="4" t="s">
        <v>170</v>
      </c>
      <c r="J956">
        <v>-9743260054</v>
      </c>
      <c r="K956" s="4" t="s">
        <v>33</v>
      </c>
      <c r="L956" t="b">
        <v>0</v>
      </c>
    </row>
    <row r="957" spans="1:12" x14ac:dyDescent="0.25">
      <c r="A957" s="4" t="s">
        <v>2026</v>
      </c>
      <c r="B957" s="4" t="s">
        <v>13</v>
      </c>
      <c r="C957" s="4" t="s">
        <v>41</v>
      </c>
      <c r="D957">
        <v>30</v>
      </c>
      <c r="E957" s="4" t="s">
        <v>15</v>
      </c>
      <c r="F957" s="4" t="s">
        <v>30</v>
      </c>
      <c r="G957" s="1">
        <v>44543</v>
      </c>
      <c r="H957" s="4" t="s">
        <v>2027</v>
      </c>
      <c r="I957" s="4" t="s">
        <v>170</v>
      </c>
      <c r="J957">
        <v>-9550178331</v>
      </c>
      <c r="K957" s="4" t="s">
        <v>25</v>
      </c>
      <c r="L957" t="b">
        <v>1</v>
      </c>
    </row>
    <row r="958" spans="1:12" x14ac:dyDescent="0.25">
      <c r="A958" s="4" t="s">
        <v>2028</v>
      </c>
      <c r="B958" s="4" t="s">
        <v>67</v>
      </c>
      <c r="C958" s="4" t="s">
        <v>21</v>
      </c>
      <c r="E958" s="4" t="s">
        <v>48</v>
      </c>
      <c r="F958" s="4" t="s">
        <v>16</v>
      </c>
      <c r="G958" s="1">
        <v>45509</v>
      </c>
      <c r="H958" s="4" t="s">
        <v>322</v>
      </c>
      <c r="I958" s="4" t="s">
        <v>265</v>
      </c>
      <c r="J958">
        <v>-5848689992</v>
      </c>
      <c r="K958" s="4" t="s">
        <v>19</v>
      </c>
      <c r="L958" t="b">
        <v>1</v>
      </c>
    </row>
    <row r="959" spans="1:12" x14ac:dyDescent="0.25">
      <c r="A959" s="4" t="s">
        <v>2029</v>
      </c>
      <c r="B959" s="4" t="s">
        <v>67</v>
      </c>
      <c r="C959" s="4" t="s">
        <v>142</v>
      </c>
      <c r="D959">
        <v>30</v>
      </c>
      <c r="E959" s="4" t="s">
        <v>76</v>
      </c>
      <c r="F959" s="4" t="s">
        <v>30</v>
      </c>
      <c r="G959" s="1">
        <v>43839</v>
      </c>
      <c r="H959" s="4" t="s">
        <v>2030</v>
      </c>
      <c r="I959" s="4" t="s">
        <v>402</v>
      </c>
      <c r="J959">
        <v>-6079848703</v>
      </c>
      <c r="K959" s="4" t="s">
        <v>19</v>
      </c>
      <c r="L959" t="b">
        <v>1</v>
      </c>
    </row>
    <row r="960" spans="1:12" x14ac:dyDescent="0.25">
      <c r="A960" s="4" t="s">
        <v>2031</v>
      </c>
      <c r="B960" s="4" t="s">
        <v>67</v>
      </c>
      <c r="C960" s="4" t="s">
        <v>62</v>
      </c>
      <c r="E960" s="4" t="s">
        <v>270</v>
      </c>
      <c r="F960" s="4" t="s">
        <v>36</v>
      </c>
      <c r="G960" s="1">
        <v>45260</v>
      </c>
      <c r="H960" s="4" t="s">
        <v>2032</v>
      </c>
      <c r="I960" s="4" t="s">
        <v>257</v>
      </c>
      <c r="J960">
        <v>-5069176798</v>
      </c>
      <c r="K960" s="4" t="s">
        <v>19</v>
      </c>
      <c r="L960" t="b">
        <v>0</v>
      </c>
    </row>
    <row r="961" spans="1:12" x14ac:dyDescent="0.25">
      <c r="A961" s="4" t="s">
        <v>2033</v>
      </c>
      <c r="B961" s="4" t="s">
        <v>13</v>
      </c>
      <c r="C961" s="4" t="s">
        <v>14</v>
      </c>
      <c r="D961">
        <v>30</v>
      </c>
      <c r="E961" s="4" t="s">
        <v>251</v>
      </c>
      <c r="F961" s="4" t="s">
        <v>36</v>
      </c>
      <c r="G961" s="1">
        <v>44269</v>
      </c>
      <c r="H961" s="4" t="s">
        <v>2034</v>
      </c>
      <c r="I961" s="4" t="s">
        <v>18</v>
      </c>
      <c r="J961">
        <v>-3593744038</v>
      </c>
      <c r="K961" s="4" t="s">
        <v>33</v>
      </c>
      <c r="L961" t="b">
        <v>0</v>
      </c>
    </row>
    <row r="962" spans="1:12" x14ac:dyDescent="0.25">
      <c r="A962" s="4" t="s">
        <v>2035</v>
      </c>
      <c r="B962" s="4" t="s">
        <v>40</v>
      </c>
      <c r="C962" s="4" t="s">
        <v>142</v>
      </c>
      <c r="D962">
        <v>25</v>
      </c>
      <c r="E962" s="4" t="s">
        <v>22</v>
      </c>
      <c r="F962" s="4" t="s">
        <v>30</v>
      </c>
      <c r="G962" s="1">
        <v>44109</v>
      </c>
      <c r="H962" s="4" t="s">
        <v>2036</v>
      </c>
      <c r="I962" s="4" t="s">
        <v>163</v>
      </c>
      <c r="J962">
        <v>-4640830372</v>
      </c>
      <c r="K962" s="4" t="s">
        <v>25</v>
      </c>
      <c r="L962" t="b">
        <v>0</v>
      </c>
    </row>
    <row r="963" spans="1:12" x14ac:dyDescent="0.25">
      <c r="A963" s="4" t="s">
        <v>2037</v>
      </c>
      <c r="B963" s="4" t="s">
        <v>35</v>
      </c>
      <c r="C963" s="4" t="s">
        <v>142</v>
      </c>
      <c r="E963" s="4" t="s">
        <v>278</v>
      </c>
      <c r="F963" s="4" t="s">
        <v>16</v>
      </c>
      <c r="G963" s="1">
        <v>44502</v>
      </c>
      <c r="H963" s="4" t="s">
        <v>2038</v>
      </c>
      <c r="I963" s="4" t="s">
        <v>632</v>
      </c>
      <c r="J963">
        <v>-6060148859</v>
      </c>
      <c r="K963" s="4" t="s">
        <v>45</v>
      </c>
      <c r="L963" t="b">
        <v>0</v>
      </c>
    </row>
    <row r="964" spans="1:12" x14ac:dyDescent="0.25">
      <c r="A964" s="4" t="s">
        <v>2039</v>
      </c>
      <c r="B964" s="4" t="s">
        <v>75</v>
      </c>
      <c r="C964" s="4" t="s">
        <v>106</v>
      </c>
      <c r="E964" s="4" t="s">
        <v>15</v>
      </c>
      <c r="F964" s="4" t="s">
        <v>30</v>
      </c>
      <c r="G964" s="1">
        <v>45553</v>
      </c>
      <c r="H964" s="4" t="s">
        <v>2040</v>
      </c>
      <c r="I964" s="4" t="s">
        <v>153</v>
      </c>
      <c r="J964">
        <v>-8490793883</v>
      </c>
      <c r="K964" s="4" t="s">
        <v>45</v>
      </c>
      <c r="L964" t="b">
        <v>0</v>
      </c>
    </row>
    <row r="965" spans="1:12" x14ac:dyDescent="0.25">
      <c r="A965" s="4" t="s">
        <v>2041</v>
      </c>
      <c r="B965" s="4" t="s">
        <v>35</v>
      </c>
      <c r="C965" s="4" t="s">
        <v>14</v>
      </c>
      <c r="D965">
        <v>40</v>
      </c>
      <c r="E965" s="4" t="s">
        <v>120</v>
      </c>
      <c r="F965" s="4" t="s">
        <v>36</v>
      </c>
      <c r="G965" s="1">
        <v>45221</v>
      </c>
      <c r="H965" s="4" t="s">
        <v>322</v>
      </c>
      <c r="I965" s="4" t="s">
        <v>38</v>
      </c>
      <c r="J965">
        <v>-1368528305</v>
      </c>
      <c r="K965" s="4" t="s">
        <v>19</v>
      </c>
      <c r="L965" t="b">
        <v>0</v>
      </c>
    </row>
    <row r="966" spans="1:12" x14ac:dyDescent="0.25">
      <c r="A966" s="4" t="s">
        <v>2042</v>
      </c>
      <c r="B966" s="4" t="s">
        <v>75</v>
      </c>
      <c r="C966" s="4" t="s">
        <v>14</v>
      </c>
      <c r="D966">
        <v>25</v>
      </c>
      <c r="E966" s="4" t="s">
        <v>130</v>
      </c>
      <c r="F966" s="4" t="s">
        <v>30</v>
      </c>
      <c r="G966" s="1">
        <v>45179</v>
      </c>
      <c r="H966" s="4" t="s">
        <v>2043</v>
      </c>
      <c r="I966" s="4" t="s">
        <v>469</v>
      </c>
      <c r="J966">
        <v>-1537012423</v>
      </c>
      <c r="K966" s="4" t="s">
        <v>33</v>
      </c>
      <c r="L966" t="b">
        <v>1</v>
      </c>
    </row>
    <row r="967" spans="1:12" x14ac:dyDescent="0.25">
      <c r="A967" s="4" t="s">
        <v>2044</v>
      </c>
      <c r="B967" s="4" t="s">
        <v>80</v>
      </c>
      <c r="C967" s="4" t="s">
        <v>142</v>
      </c>
      <c r="D967">
        <v>40</v>
      </c>
      <c r="E967" s="4" t="s">
        <v>91</v>
      </c>
      <c r="F967" s="4" t="s">
        <v>16</v>
      </c>
      <c r="G967" s="1">
        <v>45349</v>
      </c>
      <c r="H967" s="4" t="s">
        <v>2045</v>
      </c>
      <c r="I967" s="4" t="s">
        <v>160</v>
      </c>
      <c r="J967">
        <v>-4626325143</v>
      </c>
      <c r="K967" s="4" t="s">
        <v>33</v>
      </c>
      <c r="L967" t="b">
        <v>1</v>
      </c>
    </row>
    <row r="968" spans="1:12" x14ac:dyDescent="0.25">
      <c r="A968" s="4" t="s">
        <v>2046</v>
      </c>
      <c r="B968" s="4" t="s">
        <v>13</v>
      </c>
      <c r="C968" s="4" t="s">
        <v>28</v>
      </c>
      <c r="D968">
        <v>35</v>
      </c>
      <c r="E968" s="4" t="s">
        <v>138</v>
      </c>
      <c r="F968" s="4" t="s">
        <v>16</v>
      </c>
      <c r="G968" s="1">
        <v>45049</v>
      </c>
      <c r="H968" s="4" t="s">
        <v>2047</v>
      </c>
      <c r="I968" s="4" t="s">
        <v>56</v>
      </c>
      <c r="J968">
        <v>-8811210313</v>
      </c>
      <c r="K968" s="4" t="s">
        <v>33</v>
      </c>
      <c r="L968" t="b">
        <v>0</v>
      </c>
    </row>
    <row r="969" spans="1:12" x14ac:dyDescent="0.25">
      <c r="A969" s="4" t="s">
        <v>2048</v>
      </c>
      <c r="B969" s="4" t="s">
        <v>67</v>
      </c>
      <c r="C969" s="4" t="s">
        <v>106</v>
      </c>
      <c r="D969">
        <v>40</v>
      </c>
      <c r="E969" s="4" t="s">
        <v>270</v>
      </c>
      <c r="F969" s="4" t="s">
        <v>36</v>
      </c>
      <c r="G969" s="1">
        <v>45397</v>
      </c>
      <c r="H969" s="4" t="s">
        <v>2049</v>
      </c>
      <c r="I969" s="4" t="s">
        <v>124</v>
      </c>
      <c r="J969">
        <v>-2175188780</v>
      </c>
      <c r="K969" s="4" t="s">
        <v>45</v>
      </c>
      <c r="L969" t="b">
        <v>1</v>
      </c>
    </row>
    <row r="970" spans="1:12" x14ac:dyDescent="0.25">
      <c r="A970" s="4" t="s">
        <v>2050</v>
      </c>
      <c r="B970" s="4" t="s">
        <v>35</v>
      </c>
      <c r="C970" s="4" t="s">
        <v>106</v>
      </c>
      <c r="D970">
        <v>40</v>
      </c>
      <c r="E970" s="4" t="s">
        <v>251</v>
      </c>
      <c r="F970" s="4" t="s">
        <v>30</v>
      </c>
      <c r="G970" s="1">
        <v>45066</v>
      </c>
      <c r="H970" s="4" t="s">
        <v>2051</v>
      </c>
      <c r="I970" s="4" t="s">
        <v>307</v>
      </c>
      <c r="J970">
        <v>-7941515262</v>
      </c>
      <c r="K970" s="4" t="s">
        <v>19</v>
      </c>
      <c r="L970" t="b">
        <v>0</v>
      </c>
    </row>
    <row r="971" spans="1:12" x14ac:dyDescent="0.25">
      <c r="A971" s="4" t="s">
        <v>2052</v>
      </c>
      <c r="B971" s="4" t="s">
        <v>35</v>
      </c>
      <c r="C971" s="4" t="s">
        <v>41</v>
      </c>
      <c r="D971">
        <v>30</v>
      </c>
      <c r="E971" s="4" t="s">
        <v>22</v>
      </c>
      <c r="F971" s="4" t="s">
        <v>16</v>
      </c>
      <c r="G971" s="1">
        <v>44344</v>
      </c>
      <c r="H971" s="4" t="s">
        <v>2053</v>
      </c>
      <c r="I971" s="4" t="s">
        <v>167</v>
      </c>
      <c r="J971">
        <v>-8409112251</v>
      </c>
      <c r="K971" s="4" t="s">
        <v>25</v>
      </c>
      <c r="L971" t="b">
        <v>1</v>
      </c>
    </row>
    <row r="972" spans="1:12" x14ac:dyDescent="0.25">
      <c r="A972" s="4" t="s">
        <v>2054</v>
      </c>
      <c r="B972" s="4" t="s">
        <v>61</v>
      </c>
      <c r="C972" s="4" t="s">
        <v>47</v>
      </c>
      <c r="D972">
        <v>25</v>
      </c>
      <c r="E972" s="4" t="s">
        <v>98</v>
      </c>
      <c r="F972" s="4" t="s">
        <v>16</v>
      </c>
      <c r="G972" s="1">
        <v>45531</v>
      </c>
      <c r="H972" s="4" t="s">
        <v>2055</v>
      </c>
      <c r="I972" s="4" t="s">
        <v>100</v>
      </c>
      <c r="J972">
        <v>-8837505660</v>
      </c>
      <c r="K972" s="4" t="s">
        <v>45</v>
      </c>
      <c r="L972" t="b">
        <v>0</v>
      </c>
    </row>
    <row r="973" spans="1:12" x14ac:dyDescent="0.25">
      <c r="A973" s="4" t="s">
        <v>2056</v>
      </c>
      <c r="B973" s="4" t="s">
        <v>61</v>
      </c>
      <c r="C973" s="4" t="s">
        <v>14</v>
      </c>
      <c r="D973">
        <v>40</v>
      </c>
      <c r="E973" s="4" t="s">
        <v>259</v>
      </c>
      <c r="F973" s="4" t="s">
        <v>36</v>
      </c>
      <c r="G973" s="1">
        <v>44143</v>
      </c>
      <c r="H973" s="4" t="s">
        <v>2057</v>
      </c>
      <c r="I973" s="4" t="s">
        <v>200</v>
      </c>
      <c r="J973">
        <v>-8632397912</v>
      </c>
      <c r="K973" s="4" t="s">
        <v>19</v>
      </c>
      <c r="L973" t="b">
        <v>0</v>
      </c>
    </row>
    <row r="974" spans="1:12" x14ac:dyDescent="0.25">
      <c r="A974" s="4" t="s">
        <v>2058</v>
      </c>
      <c r="B974" s="4" t="s">
        <v>13</v>
      </c>
      <c r="C974" s="4" t="s">
        <v>142</v>
      </c>
      <c r="E974" s="4" t="s">
        <v>130</v>
      </c>
      <c r="F974" s="4" t="s">
        <v>16</v>
      </c>
      <c r="G974" s="1">
        <v>44432</v>
      </c>
      <c r="H974" s="4" t="s">
        <v>2059</v>
      </c>
      <c r="I974" s="4" t="s">
        <v>144</v>
      </c>
      <c r="J974">
        <v>-7876553006</v>
      </c>
      <c r="K974" s="4" t="s">
        <v>19</v>
      </c>
      <c r="L974" t="b">
        <v>1</v>
      </c>
    </row>
    <row r="975" spans="1:12" x14ac:dyDescent="0.25">
      <c r="A975" s="4" t="s">
        <v>2060</v>
      </c>
      <c r="B975" s="4" t="s">
        <v>35</v>
      </c>
      <c r="C975" s="4" t="s">
        <v>41</v>
      </c>
      <c r="E975" s="4" t="s">
        <v>229</v>
      </c>
      <c r="F975" s="4" t="s">
        <v>30</v>
      </c>
      <c r="G975" s="1">
        <v>43867</v>
      </c>
      <c r="H975" s="4" t="s">
        <v>2061</v>
      </c>
      <c r="I975" s="4" t="s">
        <v>167</v>
      </c>
      <c r="J975">
        <v>-3095055604</v>
      </c>
      <c r="K975" s="4" t="s">
        <v>25</v>
      </c>
      <c r="L975" t="b">
        <v>1</v>
      </c>
    </row>
    <row r="976" spans="1:12" x14ac:dyDescent="0.25">
      <c r="A976" s="4" t="s">
        <v>2062</v>
      </c>
      <c r="B976" s="4" t="s">
        <v>80</v>
      </c>
      <c r="C976" s="4" t="s">
        <v>21</v>
      </c>
      <c r="D976">
        <v>25</v>
      </c>
      <c r="E976" s="4" t="s">
        <v>130</v>
      </c>
      <c r="F976" s="4" t="s">
        <v>36</v>
      </c>
      <c r="G976" s="1">
        <v>45577</v>
      </c>
      <c r="H976" s="4" t="s">
        <v>2063</v>
      </c>
      <c r="I976" s="4" t="s">
        <v>240</v>
      </c>
      <c r="J976">
        <v>-7121988191</v>
      </c>
      <c r="K976" s="4" t="s">
        <v>25</v>
      </c>
      <c r="L976" t="b">
        <v>0</v>
      </c>
    </row>
    <row r="977" spans="1:12" x14ac:dyDescent="0.25">
      <c r="A977" s="4" t="s">
        <v>2064</v>
      </c>
      <c r="B977" s="4" t="s">
        <v>27</v>
      </c>
      <c r="C977" s="4" t="s">
        <v>62</v>
      </c>
      <c r="D977">
        <v>30</v>
      </c>
      <c r="E977" s="4" t="s">
        <v>259</v>
      </c>
      <c r="F977" s="4" t="s">
        <v>36</v>
      </c>
      <c r="G977" s="1">
        <v>45642</v>
      </c>
      <c r="H977" s="4" t="s">
        <v>2065</v>
      </c>
      <c r="I977" s="4" t="s">
        <v>177</v>
      </c>
      <c r="J977">
        <v>-7788519052</v>
      </c>
      <c r="K977" s="4" t="s">
        <v>25</v>
      </c>
      <c r="L977" t="b">
        <v>0</v>
      </c>
    </row>
    <row r="978" spans="1:12" x14ac:dyDescent="0.25">
      <c r="A978" s="4" t="s">
        <v>2066</v>
      </c>
      <c r="B978" s="4" t="s">
        <v>61</v>
      </c>
      <c r="C978" s="4" t="s">
        <v>47</v>
      </c>
      <c r="D978">
        <v>35</v>
      </c>
      <c r="E978" s="4" t="s">
        <v>270</v>
      </c>
      <c r="F978" s="4" t="s">
        <v>36</v>
      </c>
      <c r="G978" s="1">
        <v>45395</v>
      </c>
      <c r="H978" s="4" t="s">
        <v>2067</v>
      </c>
      <c r="I978" s="4" t="s">
        <v>100</v>
      </c>
      <c r="J978">
        <v>-4864010423</v>
      </c>
      <c r="K978" s="4" t="s">
        <v>33</v>
      </c>
      <c r="L978" t="b">
        <v>1</v>
      </c>
    </row>
    <row r="979" spans="1:12" x14ac:dyDescent="0.25">
      <c r="A979" s="4" t="s">
        <v>2068</v>
      </c>
      <c r="B979" s="4" t="s">
        <v>75</v>
      </c>
      <c r="C979" s="4" t="s">
        <v>47</v>
      </c>
      <c r="D979">
        <v>40</v>
      </c>
      <c r="E979" s="4" t="s">
        <v>126</v>
      </c>
      <c r="F979" s="4" t="s">
        <v>30</v>
      </c>
      <c r="G979" s="1">
        <v>43945</v>
      </c>
      <c r="H979" s="4" t="s">
        <v>2069</v>
      </c>
      <c r="I979" s="4" t="s">
        <v>300</v>
      </c>
      <c r="J979">
        <v>-6245618516</v>
      </c>
      <c r="K979" s="4" t="s">
        <v>25</v>
      </c>
      <c r="L979" t="b">
        <v>1</v>
      </c>
    </row>
    <row r="980" spans="1:12" x14ac:dyDescent="0.25">
      <c r="A980" s="4" t="s">
        <v>2070</v>
      </c>
      <c r="B980" s="4" t="s">
        <v>80</v>
      </c>
      <c r="C980" s="4" t="s">
        <v>47</v>
      </c>
      <c r="E980" s="4" t="s">
        <v>15</v>
      </c>
      <c r="F980" s="4" t="s">
        <v>36</v>
      </c>
      <c r="G980" s="1">
        <v>44487</v>
      </c>
      <c r="H980" s="4" t="s">
        <v>2071</v>
      </c>
      <c r="I980" s="4" t="s">
        <v>96</v>
      </c>
      <c r="J980">
        <v>-4460045211</v>
      </c>
      <c r="K980" s="4" t="s">
        <v>19</v>
      </c>
      <c r="L980" t="b">
        <v>0</v>
      </c>
    </row>
    <row r="981" spans="1:12" x14ac:dyDescent="0.25">
      <c r="A981" s="4" t="s">
        <v>2072</v>
      </c>
      <c r="B981" s="4" t="s">
        <v>61</v>
      </c>
      <c r="C981" s="4" t="s">
        <v>106</v>
      </c>
      <c r="D981">
        <v>35</v>
      </c>
      <c r="E981" s="4" t="s">
        <v>175</v>
      </c>
      <c r="F981" s="4" t="s">
        <v>30</v>
      </c>
      <c r="G981" s="1">
        <v>43886</v>
      </c>
      <c r="H981" s="4" t="s">
        <v>2073</v>
      </c>
      <c r="I981" s="4" t="s">
        <v>607</v>
      </c>
      <c r="J981">
        <v>-8991511454</v>
      </c>
      <c r="K981" s="4" t="s">
        <v>25</v>
      </c>
      <c r="L981" t="b">
        <v>1</v>
      </c>
    </row>
    <row r="982" spans="1:12" x14ac:dyDescent="0.25">
      <c r="A982" s="4" t="s">
        <v>2074</v>
      </c>
      <c r="B982" s="4" t="s">
        <v>80</v>
      </c>
      <c r="C982" s="4" t="s">
        <v>21</v>
      </c>
      <c r="D982">
        <v>25</v>
      </c>
      <c r="E982" s="4" t="s">
        <v>81</v>
      </c>
      <c r="F982" s="4" t="s">
        <v>36</v>
      </c>
      <c r="G982" s="1">
        <v>44674</v>
      </c>
      <c r="H982" s="4" t="s">
        <v>2075</v>
      </c>
      <c r="I982" s="4" t="s">
        <v>240</v>
      </c>
      <c r="J982">
        <v>-1293913043</v>
      </c>
      <c r="K982" s="4" t="s">
        <v>19</v>
      </c>
      <c r="L982" t="b">
        <v>0</v>
      </c>
    </row>
    <row r="983" spans="1:12" x14ac:dyDescent="0.25">
      <c r="A983" s="4" t="s">
        <v>2076</v>
      </c>
      <c r="B983" s="4" t="s">
        <v>67</v>
      </c>
      <c r="C983" s="4" t="s">
        <v>47</v>
      </c>
      <c r="D983">
        <v>30</v>
      </c>
      <c r="E983" s="4" t="s">
        <v>15</v>
      </c>
      <c r="F983" s="4" t="s">
        <v>30</v>
      </c>
      <c r="G983" s="1">
        <v>44004</v>
      </c>
      <c r="H983" s="4" t="s">
        <v>2077</v>
      </c>
      <c r="I983" s="4" t="s">
        <v>118</v>
      </c>
      <c r="J983">
        <v>-8818984840</v>
      </c>
      <c r="K983" s="4" t="s">
        <v>45</v>
      </c>
      <c r="L983" t="b">
        <v>0</v>
      </c>
    </row>
    <row r="984" spans="1:12" x14ac:dyDescent="0.25">
      <c r="A984" s="4" t="s">
        <v>2078</v>
      </c>
      <c r="B984" s="4" t="s">
        <v>35</v>
      </c>
      <c r="C984" s="4" t="s">
        <v>21</v>
      </c>
      <c r="D984">
        <v>25</v>
      </c>
      <c r="E984" s="4" t="s">
        <v>76</v>
      </c>
      <c r="F984" s="4" t="s">
        <v>16</v>
      </c>
      <c r="G984" s="1">
        <v>44933</v>
      </c>
      <c r="H984" s="4" t="s">
        <v>2079</v>
      </c>
      <c r="I984" s="4" t="s">
        <v>183</v>
      </c>
      <c r="J984">
        <v>-6046154020</v>
      </c>
      <c r="K984" s="4" t="s">
        <v>33</v>
      </c>
      <c r="L984" t="b">
        <v>0</v>
      </c>
    </row>
    <row r="985" spans="1:12" x14ac:dyDescent="0.25">
      <c r="A985" s="4" t="s">
        <v>2080</v>
      </c>
      <c r="B985" s="4" t="s">
        <v>80</v>
      </c>
      <c r="C985" s="4" t="s">
        <v>28</v>
      </c>
      <c r="E985" s="4" t="s">
        <v>87</v>
      </c>
      <c r="F985" s="4" t="s">
        <v>36</v>
      </c>
      <c r="G985" s="1">
        <v>43872</v>
      </c>
      <c r="H985" s="4" t="s">
        <v>2081</v>
      </c>
      <c r="I985" s="4" t="s">
        <v>89</v>
      </c>
      <c r="J985">
        <v>-1901707567</v>
      </c>
      <c r="K985" s="4" t="s">
        <v>45</v>
      </c>
      <c r="L985" t="b">
        <v>0</v>
      </c>
    </row>
    <row r="986" spans="1:12" x14ac:dyDescent="0.25">
      <c r="A986" s="4" t="s">
        <v>2082</v>
      </c>
      <c r="B986" s="4" t="s">
        <v>40</v>
      </c>
      <c r="C986" s="4" t="s">
        <v>47</v>
      </c>
      <c r="D986">
        <v>40</v>
      </c>
      <c r="E986" s="4" t="s">
        <v>87</v>
      </c>
      <c r="F986" s="4" t="s">
        <v>36</v>
      </c>
      <c r="G986" s="1">
        <v>45003</v>
      </c>
      <c r="H986" s="4" t="s">
        <v>2083</v>
      </c>
      <c r="I986" s="4" t="s">
        <v>214</v>
      </c>
      <c r="J986">
        <v>-1429831521</v>
      </c>
      <c r="K986" s="4" t="s">
        <v>45</v>
      </c>
      <c r="L986" t="b">
        <v>1</v>
      </c>
    </row>
    <row r="987" spans="1:12" x14ac:dyDescent="0.25">
      <c r="A987" s="4" t="s">
        <v>2084</v>
      </c>
      <c r="B987" s="4" t="s">
        <v>67</v>
      </c>
      <c r="C987" s="4" t="s">
        <v>62</v>
      </c>
      <c r="D987">
        <v>35</v>
      </c>
      <c r="E987" s="4" t="s">
        <v>309</v>
      </c>
      <c r="F987" s="4" t="s">
        <v>30</v>
      </c>
      <c r="G987" s="1">
        <v>44526</v>
      </c>
      <c r="H987" s="4" t="s">
        <v>2085</v>
      </c>
      <c r="I987" s="4" t="s">
        <v>257</v>
      </c>
      <c r="J987">
        <v>-9107322835</v>
      </c>
      <c r="K987" s="4" t="s">
        <v>19</v>
      </c>
      <c r="L987" t="b">
        <v>1</v>
      </c>
    </row>
    <row r="988" spans="1:12" x14ac:dyDescent="0.25">
      <c r="A988" s="4" t="s">
        <v>2086</v>
      </c>
      <c r="B988" s="4" t="s">
        <v>80</v>
      </c>
      <c r="C988" s="4" t="s">
        <v>21</v>
      </c>
      <c r="D988">
        <v>30</v>
      </c>
      <c r="E988" s="4" t="s">
        <v>116</v>
      </c>
      <c r="F988" s="4" t="s">
        <v>16</v>
      </c>
      <c r="G988" s="1">
        <v>45552</v>
      </c>
      <c r="H988" s="4" t="s">
        <v>2087</v>
      </c>
      <c r="I988" s="4" t="s">
        <v>240</v>
      </c>
      <c r="J988">
        <v>-849378305</v>
      </c>
      <c r="K988" s="4" t="s">
        <v>45</v>
      </c>
      <c r="L988" t="b">
        <v>1</v>
      </c>
    </row>
    <row r="989" spans="1:12" x14ac:dyDescent="0.25">
      <c r="A989" s="4" t="s">
        <v>2088</v>
      </c>
      <c r="B989" s="4" t="s">
        <v>35</v>
      </c>
      <c r="C989" s="4" t="s">
        <v>21</v>
      </c>
      <c r="D989">
        <v>25</v>
      </c>
      <c r="E989" s="4" t="s">
        <v>229</v>
      </c>
      <c r="F989" s="4" t="s">
        <v>36</v>
      </c>
      <c r="G989" s="1">
        <v>45478</v>
      </c>
      <c r="H989" s="4" t="s">
        <v>2089</v>
      </c>
      <c r="I989" s="4" t="s">
        <v>183</v>
      </c>
      <c r="J989">
        <v>-3963845268</v>
      </c>
      <c r="K989" s="4" t="s">
        <v>19</v>
      </c>
      <c r="L989" t="b">
        <v>1</v>
      </c>
    </row>
    <row r="990" spans="1:12" x14ac:dyDescent="0.25">
      <c r="A990" s="4" t="s">
        <v>2090</v>
      </c>
      <c r="B990" s="4" t="s">
        <v>13</v>
      </c>
      <c r="C990" s="4" t="s">
        <v>62</v>
      </c>
      <c r="E990" s="4" t="s">
        <v>110</v>
      </c>
      <c r="F990" s="4" t="s">
        <v>36</v>
      </c>
      <c r="G990" s="1">
        <v>44390</v>
      </c>
      <c r="H990" s="4" t="s">
        <v>2091</v>
      </c>
      <c r="I990" s="4" t="s">
        <v>237</v>
      </c>
      <c r="J990">
        <v>-6944391648</v>
      </c>
      <c r="K990" s="4" t="s">
        <v>25</v>
      </c>
      <c r="L990" t="b">
        <v>1</v>
      </c>
    </row>
    <row r="991" spans="1:12" x14ac:dyDescent="0.25">
      <c r="A991" s="4" t="s">
        <v>2092</v>
      </c>
      <c r="B991" s="4" t="s">
        <v>75</v>
      </c>
      <c r="C991" s="4" t="s">
        <v>47</v>
      </c>
      <c r="D991">
        <v>40</v>
      </c>
      <c r="E991" s="4" t="s">
        <v>138</v>
      </c>
      <c r="F991" s="4" t="s">
        <v>16</v>
      </c>
      <c r="G991" s="1">
        <v>45165</v>
      </c>
      <c r="H991" s="4" t="s">
        <v>2093</v>
      </c>
      <c r="I991" s="4" t="s">
        <v>300</v>
      </c>
      <c r="J991">
        <v>-7016934291</v>
      </c>
      <c r="K991" s="4" t="s">
        <v>25</v>
      </c>
      <c r="L991" t="b">
        <v>1</v>
      </c>
    </row>
    <row r="992" spans="1:12" x14ac:dyDescent="0.25">
      <c r="A992" s="4" t="s">
        <v>2094</v>
      </c>
      <c r="B992" s="4" t="s">
        <v>35</v>
      </c>
      <c r="C992" s="4" t="s">
        <v>62</v>
      </c>
      <c r="D992">
        <v>40</v>
      </c>
      <c r="E992" s="4" t="s">
        <v>91</v>
      </c>
      <c r="F992" s="4" t="s">
        <v>36</v>
      </c>
      <c r="G992" s="1">
        <v>44240</v>
      </c>
      <c r="H992" s="4" t="s">
        <v>2095</v>
      </c>
      <c r="I992" s="4" t="s">
        <v>380</v>
      </c>
      <c r="J992">
        <v>-9132033015</v>
      </c>
      <c r="K992" s="4" t="s">
        <v>19</v>
      </c>
      <c r="L992" t="b">
        <v>1</v>
      </c>
    </row>
    <row r="993" spans="1:12" x14ac:dyDescent="0.25">
      <c r="A993" s="4" t="s">
        <v>2096</v>
      </c>
      <c r="B993" s="4" t="s">
        <v>75</v>
      </c>
      <c r="C993" s="4" t="s">
        <v>21</v>
      </c>
      <c r="E993" s="4" t="s">
        <v>120</v>
      </c>
      <c r="F993" s="4" t="s">
        <v>30</v>
      </c>
      <c r="G993" s="1">
        <v>45271</v>
      </c>
      <c r="H993" s="4" t="s">
        <v>2097</v>
      </c>
      <c r="I993" s="4" t="s">
        <v>480</v>
      </c>
      <c r="J993">
        <v>-2341903105</v>
      </c>
      <c r="K993" s="4" t="s">
        <v>25</v>
      </c>
      <c r="L993" t="b">
        <v>0</v>
      </c>
    </row>
    <row r="994" spans="1:12" x14ac:dyDescent="0.25">
      <c r="A994" s="4" t="s">
        <v>2098</v>
      </c>
      <c r="B994" s="4" t="s">
        <v>75</v>
      </c>
      <c r="C994" s="4" t="s">
        <v>62</v>
      </c>
      <c r="D994">
        <v>30</v>
      </c>
      <c r="E994" s="4" t="s">
        <v>386</v>
      </c>
      <c r="F994" s="4" t="s">
        <v>36</v>
      </c>
      <c r="G994" s="1">
        <v>44379</v>
      </c>
      <c r="H994" s="4" t="s">
        <v>2099</v>
      </c>
      <c r="I994" s="4" t="s">
        <v>132</v>
      </c>
      <c r="J994">
        <v>-1537221555</v>
      </c>
      <c r="K994" s="4" t="s">
        <v>33</v>
      </c>
      <c r="L994" t="b">
        <v>1</v>
      </c>
    </row>
    <row r="995" spans="1:12" x14ac:dyDescent="0.25">
      <c r="A995" s="4" t="s">
        <v>2100</v>
      </c>
      <c r="B995" s="4" t="s">
        <v>80</v>
      </c>
      <c r="C995" s="4" t="s">
        <v>21</v>
      </c>
      <c r="E995" s="4" t="s">
        <v>386</v>
      </c>
      <c r="F995" s="4" t="s">
        <v>16</v>
      </c>
      <c r="G995" s="1">
        <v>44900</v>
      </c>
      <c r="H995" s="4" t="s">
        <v>2101</v>
      </c>
      <c r="I995" s="4" t="s">
        <v>240</v>
      </c>
      <c r="J995">
        <v>-6847323652</v>
      </c>
      <c r="K995" s="4" t="s">
        <v>45</v>
      </c>
      <c r="L995" t="b">
        <v>1</v>
      </c>
    </row>
    <row r="996" spans="1:12" x14ac:dyDescent="0.25">
      <c r="A996" s="4" t="s">
        <v>2102</v>
      </c>
      <c r="B996" s="4" t="s">
        <v>67</v>
      </c>
      <c r="C996" s="4" t="s">
        <v>21</v>
      </c>
      <c r="D996">
        <v>30</v>
      </c>
      <c r="E996" s="4" t="s">
        <v>386</v>
      </c>
      <c r="F996" s="4" t="s">
        <v>36</v>
      </c>
      <c r="G996" s="1">
        <v>45559</v>
      </c>
      <c r="H996" s="4" t="s">
        <v>2103</v>
      </c>
      <c r="I996" s="4" t="s">
        <v>265</v>
      </c>
      <c r="J996">
        <v>-3774604066</v>
      </c>
      <c r="K996" s="4" t="s">
        <v>33</v>
      </c>
      <c r="L996" t="b">
        <v>0</v>
      </c>
    </row>
    <row r="997" spans="1:12" x14ac:dyDescent="0.25">
      <c r="A997" s="4" t="s">
        <v>2104</v>
      </c>
      <c r="B997" s="4" t="s">
        <v>13</v>
      </c>
      <c r="C997" s="4" t="s">
        <v>28</v>
      </c>
      <c r="D997">
        <v>30</v>
      </c>
      <c r="E997" s="4" t="s">
        <v>81</v>
      </c>
      <c r="F997" s="4" t="s">
        <v>36</v>
      </c>
      <c r="G997" s="1">
        <v>45154</v>
      </c>
      <c r="H997" s="4" t="s">
        <v>2105</v>
      </c>
      <c r="I997" s="4" t="s">
        <v>56</v>
      </c>
      <c r="J997">
        <v>-2007843613</v>
      </c>
      <c r="K997" s="4" t="s">
        <v>45</v>
      </c>
      <c r="L997" t="b">
        <v>1</v>
      </c>
    </row>
    <row r="998" spans="1:12" x14ac:dyDescent="0.25">
      <c r="A998" s="4" t="s">
        <v>2106</v>
      </c>
      <c r="B998" s="4" t="s">
        <v>67</v>
      </c>
      <c r="C998" s="4" t="s">
        <v>142</v>
      </c>
      <c r="D998">
        <v>40</v>
      </c>
      <c r="E998" s="4" t="s">
        <v>120</v>
      </c>
      <c r="F998" s="4" t="s">
        <v>16</v>
      </c>
      <c r="G998" s="1">
        <v>44224</v>
      </c>
      <c r="H998" s="4" t="s">
        <v>2107</v>
      </c>
      <c r="I998" s="4" t="s">
        <v>402</v>
      </c>
      <c r="J998">
        <v>-2442607818</v>
      </c>
      <c r="K998" s="4" t="s">
        <v>25</v>
      </c>
      <c r="L998" t="b">
        <v>1</v>
      </c>
    </row>
    <row r="999" spans="1:12" x14ac:dyDescent="0.25">
      <c r="A999" s="4" t="s">
        <v>2108</v>
      </c>
      <c r="B999" s="4" t="s">
        <v>35</v>
      </c>
      <c r="C999" s="4" t="s">
        <v>21</v>
      </c>
      <c r="D999">
        <v>40</v>
      </c>
      <c r="E999" s="4" t="s">
        <v>309</v>
      </c>
      <c r="F999" s="4" t="s">
        <v>36</v>
      </c>
      <c r="G999" s="1">
        <v>44695</v>
      </c>
      <c r="H999" s="4" t="s">
        <v>2109</v>
      </c>
      <c r="I999" s="4" t="s">
        <v>183</v>
      </c>
      <c r="J999">
        <v>-7543734763</v>
      </c>
      <c r="K999" s="4" t="s">
        <v>33</v>
      </c>
      <c r="L999" t="b">
        <v>0</v>
      </c>
    </row>
    <row r="1000" spans="1:12" x14ac:dyDescent="0.25">
      <c r="A1000" s="4" t="s">
        <v>2110</v>
      </c>
      <c r="B1000" s="4" t="s">
        <v>61</v>
      </c>
      <c r="C1000" s="4" t="s">
        <v>47</v>
      </c>
      <c r="D1000">
        <v>35</v>
      </c>
      <c r="E1000" s="4" t="s">
        <v>120</v>
      </c>
      <c r="F1000" s="4" t="s">
        <v>36</v>
      </c>
      <c r="G1000" s="1">
        <v>45448</v>
      </c>
      <c r="H1000" s="4" t="s">
        <v>2111</v>
      </c>
      <c r="I1000" s="4" t="s">
        <v>100</v>
      </c>
      <c r="J1000">
        <v>-2737203762</v>
      </c>
      <c r="K1000" s="4" t="s">
        <v>25</v>
      </c>
      <c r="L1000" t="b">
        <v>1</v>
      </c>
    </row>
    <row r="1001" spans="1:12" x14ac:dyDescent="0.25">
      <c r="A1001" s="4" t="s">
        <v>2112</v>
      </c>
      <c r="B1001" s="4" t="s">
        <v>61</v>
      </c>
      <c r="C1001" s="4" t="s">
        <v>41</v>
      </c>
      <c r="D1001">
        <v>25</v>
      </c>
      <c r="E1001" s="4" t="s">
        <v>270</v>
      </c>
      <c r="F1001" s="4" t="s">
        <v>16</v>
      </c>
      <c r="G1001" s="1">
        <v>43944</v>
      </c>
      <c r="H1001" s="4" t="s">
        <v>2113</v>
      </c>
      <c r="I1001" s="4" t="s">
        <v>104</v>
      </c>
      <c r="J1001">
        <v>-8821458413</v>
      </c>
      <c r="K1001" s="4" t="s">
        <v>45</v>
      </c>
      <c r="L1001" t="b">
        <v>1</v>
      </c>
    </row>
    <row r="1002" spans="1:12" x14ac:dyDescent="0.25">
      <c r="A1002" s="4" t="s">
        <v>2114</v>
      </c>
      <c r="B1002" s="4" t="s">
        <v>61</v>
      </c>
      <c r="C1002" s="4" t="s">
        <v>106</v>
      </c>
      <c r="D1002">
        <v>25</v>
      </c>
      <c r="E1002" s="4" t="s">
        <v>175</v>
      </c>
      <c r="F1002" s="4" t="s">
        <v>30</v>
      </c>
      <c r="G1002" s="1">
        <v>45453</v>
      </c>
      <c r="H1002" s="4" t="s">
        <v>1174</v>
      </c>
      <c r="I1002" s="4" t="s">
        <v>607</v>
      </c>
      <c r="J1002">
        <v>-8460191343</v>
      </c>
      <c r="K1002" s="4" t="s">
        <v>19</v>
      </c>
      <c r="L1002" t="b">
        <v>1</v>
      </c>
    </row>
    <row r="1003" spans="1:12" x14ac:dyDescent="0.25">
      <c r="A1003" s="4" t="s">
        <v>2115</v>
      </c>
      <c r="B1003" s="4" t="s">
        <v>35</v>
      </c>
      <c r="C1003" s="4" t="s">
        <v>14</v>
      </c>
      <c r="D1003">
        <v>30</v>
      </c>
      <c r="E1003" s="4" t="s">
        <v>91</v>
      </c>
      <c r="F1003" s="4" t="s">
        <v>36</v>
      </c>
      <c r="G1003" s="1">
        <v>43939</v>
      </c>
      <c r="H1003" s="4" t="s">
        <v>1600</v>
      </c>
      <c r="I1003" s="4" t="s">
        <v>38</v>
      </c>
      <c r="J1003">
        <v>-3899827801</v>
      </c>
      <c r="K1003" s="4" t="s">
        <v>19</v>
      </c>
      <c r="L1003" t="b">
        <v>0</v>
      </c>
    </row>
    <row r="1004" spans="1:12" x14ac:dyDescent="0.25">
      <c r="A1004" s="4" t="s">
        <v>2116</v>
      </c>
      <c r="B1004" s="4" t="s">
        <v>13</v>
      </c>
      <c r="C1004" s="4" t="s">
        <v>142</v>
      </c>
      <c r="D1004">
        <v>35</v>
      </c>
      <c r="E1004" s="4" t="s">
        <v>309</v>
      </c>
      <c r="F1004" s="4" t="s">
        <v>30</v>
      </c>
      <c r="G1004" s="1">
        <v>44011</v>
      </c>
      <c r="H1004" s="4" t="s">
        <v>1606</v>
      </c>
      <c r="I1004" s="4" t="s">
        <v>144</v>
      </c>
      <c r="J1004">
        <v>-586950731</v>
      </c>
      <c r="K1004" s="4" t="s">
        <v>33</v>
      </c>
      <c r="L1004" t="b">
        <v>1</v>
      </c>
    </row>
    <row r="1005" spans="1:12" x14ac:dyDescent="0.25">
      <c r="A1005" s="4" t="s">
        <v>2117</v>
      </c>
      <c r="B1005" s="4" t="s">
        <v>40</v>
      </c>
      <c r="C1005" s="4" t="s">
        <v>142</v>
      </c>
      <c r="D1005">
        <v>35</v>
      </c>
      <c r="E1005" s="4" t="s">
        <v>172</v>
      </c>
      <c r="F1005" s="4" t="s">
        <v>30</v>
      </c>
      <c r="G1005" s="1">
        <v>44972</v>
      </c>
      <c r="H1005" s="4" t="s">
        <v>1448</v>
      </c>
      <c r="I1005" s="4" t="s">
        <v>163</v>
      </c>
      <c r="J1005">
        <v>-1464493698</v>
      </c>
      <c r="K1005" s="4" t="s">
        <v>25</v>
      </c>
      <c r="L1005" t="b">
        <v>1</v>
      </c>
    </row>
    <row r="1006" spans="1:12" x14ac:dyDescent="0.25">
      <c r="A1006" s="4" t="s">
        <v>2118</v>
      </c>
      <c r="B1006" s="4" t="s">
        <v>80</v>
      </c>
      <c r="C1006" s="4" t="s">
        <v>142</v>
      </c>
      <c r="D1006">
        <v>25</v>
      </c>
      <c r="E1006" s="4" t="s">
        <v>91</v>
      </c>
      <c r="F1006" s="4" t="s">
        <v>30</v>
      </c>
      <c r="G1006" s="1">
        <v>45092</v>
      </c>
      <c r="H1006" s="4" t="s">
        <v>954</v>
      </c>
      <c r="I1006" s="4" t="s">
        <v>160</v>
      </c>
      <c r="J1006">
        <v>-9516793349</v>
      </c>
      <c r="K1006" s="4" t="s">
        <v>25</v>
      </c>
      <c r="L1006" t="b">
        <v>0</v>
      </c>
    </row>
    <row r="1007" spans="1:12" x14ac:dyDescent="0.25">
      <c r="A1007" s="4" t="s">
        <v>2119</v>
      </c>
      <c r="B1007" s="4" t="s">
        <v>40</v>
      </c>
      <c r="C1007" s="4" t="s">
        <v>28</v>
      </c>
      <c r="D1007">
        <v>30</v>
      </c>
      <c r="E1007" s="4" t="s">
        <v>309</v>
      </c>
      <c r="F1007" s="4" t="s">
        <v>36</v>
      </c>
      <c r="G1007" s="1">
        <v>44639</v>
      </c>
      <c r="H1007" s="4" t="s">
        <v>1483</v>
      </c>
      <c r="I1007" s="4" t="s">
        <v>53</v>
      </c>
      <c r="J1007">
        <v>-5573857367</v>
      </c>
      <c r="K1007" s="4" t="s">
        <v>33</v>
      </c>
      <c r="L1007" t="b">
        <v>1</v>
      </c>
    </row>
    <row r="1008" spans="1:12" x14ac:dyDescent="0.25">
      <c r="A1008" s="4" t="s">
        <v>2120</v>
      </c>
      <c r="B1008" s="4" t="s">
        <v>80</v>
      </c>
      <c r="C1008" s="4" t="s">
        <v>21</v>
      </c>
      <c r="E1008" s="4" t="s">
        <v>229</v>
      </c>
      <c r="F1008" s="4" t="s">
        <v>36</v>
      </c>
      <c r="G1008" s="1">
        <v>45224</v>
      </c>
      <c r="H1008" s="4" t="s">
        <v>1381</v>
      </c>
      <c r="I1008" s="4" t="s">
        <v>240</v>
      </c>
      <c r="J1008">
        <v>-119236036</v>
      </c>
      <c r="K1008" s="4" t="s">
        <v>19</v>
      </c>
      <c r="L1008" t="b">
        <v>0</v>
      </c>
    </row>
    <row r="1009" spans="1:12" x14ac:dyDescent="0.25">
      <c r="A1009" s="4" t="s">
        <v>2121</v>
      </c>
      <c r="B1009" s="4" t="s">
        <v>61</v>
      </c>
      <c r="C1009" s="4" t="s">
        <v>28</v>
      </c>
      <c r="D1009">
        <v>35</v>
      </c>
      <c r="E1009" s="4" t="s">
        <v>278</v>
      </c>
      <c r="F1009" s="4" t="s">
        <v>16</v>
      </c>
      <c r="G1009" s="1">
        <v>44756</v>
      </c>
      <c r="H1009" s="4" t="s">
        <v>1158</v>
      </c>
      <c r="I1009" s="4" t="s">
        <v>140</v>
      </c>
      <c r="J1009">
        <v>-6811872332</v>
      </c>
      <c r="K1009" s="4" t="s">
        <v>45</v>
      </c>
      <c r="L1009" t="b">
        <v>0</v>
      </c>
    </row>
    <row r="1010" spans="1:12" x14ac:dyDescent="0.25">
      <c r="A1010" s="4" t="s">
        <v>2122</v>
      </c>
      <c r="B1010" s="4" t="s">
        <v>80</v>
      </c>
      <c r="C1010" s="4" t="s">
        <v>21</v>
      </c>
      <c r="D1010">
        <v>35</v>
      </c>
      <c r="E1010" s="4" t="s">
        <v>29</v>
      </c>
      <c r="F1010" s="4" t="s">
        <v>36</v>
      </c>
      <c r="G1010" s="1">
        <v>44632</v>
      </c>
      <c r="H1010" s="4" t="s">
        <v>1841</v>
      </c>
      <c r="I1010" s="4" t="s">
        <v>240</v>
      </c>
      <c r="J1010">
        <v>-5104096148</v>
      </c>
      <c r="K1010" s="4" t="s">
        <v>33</v>
      </c>
      <c r="L1010" t="b">
        <v>1</v>
      </c>
    </row>
    <row r="1011" spans="1:12" x14ac:dyDescent="0.25">
      <c r="A1011" s="4" t="s">
        <v>2123</v>
      </c>
      <c r="B1011" s="4" t="s">
        <v>67</v>
      </c>
      <c r="C1011" s="4" t="s">
        <v>47</v>
      </c>
      <c r="E1011" s="4" t="s">
        <v>309</v>
      </c>
      <c r="F1011" s="4" t="s">
        <v>30</v>
      </c>
      <c r="G1011" s="1">
        <v>45454</v>
      </c>
      <c r="H1011" s="4" t="s">
        <v>401</v>
      </c>
      <c r="I1011" s="4" t="s">
        <v>118</v>
      </c>
      <c r="J1011">
        <v>-7315391148</v>
      </c>
      <c r="K1011" s="4" t="s">
        <v>45</v>
      </c>
      <c r="L1011" t="b">
        <v>0</v>
      </c>
    </row>
    <row r="1012" spans="1:12" x14ac:dyDescent="0.25">
      <c r="A1012" s="4" t="s">
        <v>2124</v>
      </c>
      <c r="B1012" s="4" t="s">
        <v>13</v>
      </c>
      <c r="C1012" s="4" t="s">
        <v>28</v>
      </c>
      <c r="D1012">
        <v>35</v>
      </c>
      <c r="E1012" s="4" t="s">
        <v>259</v>
      </c>
      <c r="F1012" s="4" t="s">
        <v>16</v>
      </c>
      <c r="G1012" s="1">
        <v>45453</v>
      </c>
      <c r="H1012" s="4" t="s">
        <v>1747</v>
      </c>
      <c r="I1012" s="4" t="s">
        <v>56</v>
      </c>
      <c r="J1012">
        <v>-8307482072</v>
      </c>
      <c r="K1012" s="4" t="s">
        <v>19</v>
      </c>
      <c r="L1012" t="b">
        <v>0</v>
      </c>
    </row>
    <row r="1013" spans="1:12" x14ac:dyDescent="0.25">
      <c r="A1013" s="4" t="s">
        <v>2125</v>
      </c>
      <c r="B1013" s="4" t="s">
        <v>67</v>
      </c>
      <c r="C1013" s="4" t="s">
        <v>28</v>
      </c>
      <c r="D1013">
        <v>40</v>
      </c>
      <c r="E1013" s="4" t="s">
        <v>138</v>
      </c>
      <c r="F1013" s="4" t="s">
        <v>36</v>
      </c>
      <c r="G1013" s="1">
        <v>44825</v>
      </c>
      <c r="H1013" s="4" t="s">
        <v>264</v>
      </c>
      <c r="I1013" s="4" t="s">
        <v>283</v>
      </c>
      <c r="J1013">
        <v>-6511893939</v>
      </c>
      <c r="K1013" s="4" t="s">
        <v>25</v>
      </c>
      <c r="L1013" t="b">
        <v>1</v>
      </c>
    </row>
    <row r="1014" spans="1:12" x14ac:dyDescent="0.25">
      <c r="A1014" s="4" t="s">
        <v>2126</v>
      </c>
      <c r="B1014" s="4" t="s">
        <v>80</v>
      </c>
      <c r="C1014" s="4" t="s">
        <v>106</v>
      </c>
      <c r="D1014">
        <v>35</v>
      </c>
      <c r="E1014" s="4" t="s">
        <v>270</v>
      </c>
      <c r="F1014" s="4" t="s">
        <v>36</v>
      </c>
      <c r="G1014" s="1">
        <v>45031</v>
      </c>
      <c r="H1014" s="4" t="s">
        <v>322</v>
      </c>
      <c r="I1014" s="4" t="s">
        <v>197</v>
      </c>
      <c r="J1014">
        <v>-6557820189</v>
      </c>
      <c r="K1014" s="4" t="s">
        <v>19</v>
      </c>
      <c r="L1014" t="b">
        <v>0</v>
      </c>
    </row>
    <row r="1015" spans="1:12" x14ac:dyDescent="0.25">
      <c r="A1015" s="4" t="s">
        <v>2127</v>
      </c>
      <c r="B1015" s="4" t="s">
        <v>35</v>
      </c>
      <c r="C1015" s="4" t="s">
        <v>41</v>
      </c>
      <c r="E1015" s="4" t="s">
        <v>229</v>
      </c>
      <c r="F1015" s="4" t="s">
        <v>30</v>
      </c>
      <c r="G1015" s="1">
        <v>43867</v>
      </c>
      <c r="H1015" s="4" t="s">
        <v>2061</v>
      </c>
      <c r="I1015" s="4" t="s">
        <v>167</v>
      </c>
      <c r="J1015">
        <v>-4322302332</v>
      </c>
      <c r="K1015" s="4" t="s">
        <v>33</v>
      </c>
      <c r="L1015" t="b">
        <v>0</v>
      </c>
    </row>
    <row r="1016" spans="1:12" x14ac:dyDescent="0.25">
      <c r="A1016" s="4" t="s">
        <v>2128</v>
      </c>
      <c r="B1016" s="4" t="s">
        <v>80</v>
      </c>
      <c r="C1016" s="4" t="s">
        <v>28</v>
      </c>
      <c r="D1016">
        <v>30</v>
      </c>
      <c r="E1016" s="4" t="s">
        <v>116</v>
      </c>
      <c r="F1016" s="4" t="s">
        <v>30</v>
      </c>
      <c r="G1016" s="1">
        <v>44332</v>
      </c>
      <c r="H1016" s="4" t="s">
        <v>1996</v>
      </c>
      <c r="I1016" s="4" t="s">
        <v>89</v>
      </c>
      <c r="J1016">
        <v>-2470739200</v>
      </c>
      <c r="K1016" s="4" t="s">
        <v>25</v>
      </c>
      <c r="L1016" t="b">
        <v>1</v>
      </c>
    </row>
    <row r="1017" spans="1:12" x14ac:dyDescent="0.25">
      <c r="A1017" s="4" t="s">
        <v>2129</v>
      </c>
      <c r="B1017" s="4" t="s">
        <v>67</v>
      </c>
      <c r="C1017" s="4" t="s">
        <v>106</v>
      </c>
      <c r="D1017">
        <v>30</v>
      </c>
      <c r="E1017" s="4" t="s">
        <v>172</v>
      </c>
      <c r="F1017" s="4" t="s">
        <v>16</v>
      </c>
      <c r="G1017" s="1">
        <v>45157</v>
      </c>
      <c r="H1017" s="4" t="s">
        <v>322</v>
      </c>
      <c r="I1017" s="4" t="s">
        <v>124</v>
      </c>
      <c r="J1017">
        <v>-3546212759</v>
      </c>
      <c r="K1017" s="4" t="s">
        <v>33</v>
      </c>
      <c r="L1017" t="b">
        <v>1</v>
      </c>
    </row>
    <row r="1018" spans="1:12" x14ac:dyDescent="0.25">
      <c r="A1018" s="4" t="s">
        <v>2130</v>
      </c>
      <c r="B1018" s="4" t="s">
        <v>67</v>
      </c>
      <c r="C1018" s="4" t="s">
        <v>62</v>
      </c>
      <c r="D1018">
        <v>30</v>
      </c>
      <c r="E1018" s="4" t="s">
        <v>187</v>
      </c>
      <c r="F1018" s="4" t="s">
        <v>36</v>
      </c>
      <c r="G1018" s="1">
        <v>44507</v>
      </c>
      <c r="H1018" s="4" t="s">
        <v>696</v>
      </c>
      <c r="I1018" s="4" t="s">
        <v>257</v>
      </c>
      <c r="J1018">
        <v>-2508261122</v>
      </c>
      <c r="K1018" s="4" t="s">
        <v>33</v>
      </c>
      <c r="L1018" t="b">
        <v>1</v>
      </c>
    </row>
    <row r="1019" spans="1:12" x14ac:dyDescent="0.25">
      <c r="A1019" s="4" t="s">
        <v>2131</v>
      </c>
      <c r="B1019" s="4" t="s">
        <v>61</v>
      </c>
      <c r="C1019" s="4" t="s">
        <v>41</v>
      </c>
      <c r="D1019">
        <v>40</v>
      </c>
      <c r="E1019" s="4" t="s">
        <v>267</v>
      </c>
      <c r="F1019" s="4" t="s">
        <v>16</v>
      </c>
      <c r="G1019" s="1">
        <v>45203</v>
      </c>
      <c r="H1019" s="4" t="s">
        <v>1888</v>
      </c>
      <c r="I1019" s="4" t="s">
        <v>104</v>
      </c>
      <c r="J1019">
        <v>-1261632487</v>
      </c>
      <c r="K1019" s="4" t="s">
        <v>19</v>
      </c>
      <c r="L1019" t="b">
        <v>0</v>
      </c>
    </row>
    <row r="1020" spans="1:12" x14ac:dyDescent="0.25">
      <c r="A1020" s="4" t="s">
        <v>2132</v>
      </c>
      <c r="B1020" s="4" t="s">
        <v>27</v>
      </c>
      <c r="C1020" s="4" t="s">
        <v>47</v>
      </c>
      <c r="D1020">
        <v>30</v>
      </c>
      <c r="E1020" s="4" t="s">
        <v>251</v>
      </c>
      <c r="F1020" s="4" t="s">
        <v>36</v>
      </c>
      <c r="G1020" s="1">
        <v>45642</v>
      </c>
      <c r="H1020" s="4" t="s">
        <v>1648</v>
      </c>
      <c r="I1020" s="4" t="s">
        <v>50</v>
      </c>
      <c r="J1020">
        <v>-8995729892</v>
      </c>
      <c r="K1020" s="4" t="s">
        <v>33</v>
      </c>
      <c r="L1020" t="b">
        <v>1</v>
      </c>
    </row>
    <row r="1021" spans="1:12" x14ac:dyDescent="0.25">
      <c r="A1021" s="4" t="s">
        <v>2133</v>
      </c>
      <c r="B1021" s="4" t="s">
        <v>75</v>
      </c>
      <c r="C1021" s="4" t="s">
        <v>28</v>
      </c>
      <c r="D1021">
        <v>30</v>
      </c>
      <c r="E1021" s="4" t="s">
        <v>91</v>
      </c>
      <c r="F1021" s="4" t="s">
        <v>30</v>
      </c>
      <c r="G1021" s="1">
        <v>44249</v>
      </c>
      <c r="H1021" s="4" t="s">
        <v>773</v>
      </c>
      <c r="I1021" s="4" t="s">
        <v>375</v>
      </c>
      <c r="J1021">
        <v>-7629745492</v>
      </c>
      <c r="K1021" s="4" t="s">
        <v>19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B65E-6AB3-487F-8877-D79B246E5E7E}">
  <dimension ref="A1:R1021"/>
  <sheetViews>
    <sheetView tabSelected="1" zoomScaleNormal="100" workbookViewId="0">
      <selection activeCell="G6" sqref="G6"/>
    </sheetView>
  </sheetViews>
  <sheetFormatPr defaultRowHeight="15" x14ac:dyDescent="0.25"/>
  <cols>
    <col min="1" max="1" width="16.5703125" customWidth="1"/>
    <col min="2" max="2" width="23.140625" customWidth="1"/>
    <col min="3" max="3" width="18.42578125" customWidth="1"/>
    <col min="4" max="4" width="18.28515625" customWidth="1"/>
    <col min="5" max="5" width="25.85546875" customWidth="1"/>
    <col min="6" max="6" width="20.140625" customWidth="1"/>
    <col min="7" max="8" width="18.28515625" customWidth="1"/>
    <col min="9" max="9" width="18.140625" customWidth="1"/>
    <col min="15" max="15" width="9.140625" customWidth="1"/>
    <col min="16" max="16" width="21.140625" customWidth="1"/>
    <col min="17" max="17" width="20.7109375" customWidth="1"/>
    <col min="18" max="18" width="19.28515625" customWidth="1"/>
  </cols>
  <sheetData>
    <row r="1" spans="1:18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2149</v>
      </c>
      <c r="G1" s="2" t="s">
        <v>2150</v>
      </c>
      <c r="P1" s="2" t="s">
        <v>7</v>
      </c>
      <c r="Q1" s="2" t="s">
        <v>10</v>
      </c>
      <c r="R1" s="2" t="s">
        <v>2136</v>
      </c>
    </row>
    <row r="2" spans="1:18" x14ac:dyDescent="0.25">
      <c r="A2" t="str">
        <f>PROPER(TRIM(CLEAN(RAW_DATA!A2)))</f>
        <v>Emp1000</v>
      </c>
      <c r="B2" t="str">
        <f>RAW_DATA!B2</f>
        <v>Bob</v>
      </c>
      <c r="C2" t="str">
        <f>RAW_DATA!C2</f>
        <v>Davis</v>
      </c>
      <c r="D2">
        <f>RAW_DATA!D2</f>
        <v>25</v>
      </c>
      <c r="E2" t="str">
        <f>PROPER(TRIM(CLEAN(RAW_DATA!E2)))</f>
        <v>Devops-California</v>
      </c>
      <c r="F2" t="str">
        <f>LEFT(E2, FIND("-", E2) - 1)</f>
        <v>Devops</v>
      </c>
      <c r="G2" t="str">
        <f>RIGHT(E2, LEN(E2) - FIND("-",E2))</f>
        <v>California</v>
      </c>
      <c r="P2">
        <f>IF(ISNUMBER(R2), R2, AVERAGEIF($R$2:$R$1000, "&gt;0"))</f>
        <v>59767.65</v>
      </c>
      <c r="Q2">
        <f>IF(PQ_Cleansing!L2="Excellent", P2 * 0.1, IF(PQ_Cleansing!L2="Good", P2 * 0.05, IF(PQ_Cleansing!L2="Average", P2 * 0.02, IF(PQ_Cleansing!L2="Poor", 0, 0))))</f>
        <v>1195.3530000000001</v>
      </c>
      <c r="R2">
        <f>IFERROR(VALUE(SUBSTITUTE(SUBSTITUTE(PQ_Cleansing!I2, "$", ""), ",", "")), "")</f>
        <v>59767.65</v>
      </c>
    </row>
    <row r="3" spans="1:18" x14ac:dyDescent="0.25">
      <c r="A3" t="str">
        <f>PROPER(TRIM(CLEAN(RAW_DATA!A3)))</f>
        <v>Emp1001</v>
      </c>
      <c r="B3" t="str">
        <f>RAW_DATA!B3</f>
        <v>Bob</v>
      </c>
      <c r="C3" t="str">
        <f>RAW_DATA!C3</f>
        <v>Brown</v>
      </c>
      <c r="D3">
        <f>RAW_DATA!D3</f>
        <v>0</v>
      </c>
      <c r="E3" t="str">
        <f>RAW_DATA!E3</f>
        <v>Finance-Texas</v>
      </c>
      <c r="F3" t="str">
        <f t="shared" ref="F3:F66" si="0">LEFT(E3, FIND("-", E3) - 1)</f>
        <v>Finance</v>
      </c>
      <c r="G3" t="str">
        <f t="shared" ref="G3:G66" si="1">RIGHT(E3, LEN(E3) - FIND("-",E3))</f>
        <v>Texas</v>
      </c>
      <c r="P3">
        <f t="shared" ref="P3:P66" si="2">IF(ISNUMBER(R3), R3, AVERAGEIF($R$2:$R$1000, "&gt;0"))</f>
        <v>65304.66</v>
      </c>
      <c r="Q3">
        <f>IF(PQ_Cleansing!L3="Excellent", P3 * 0.1, IF(PQ_Cleansing!L3="Good", P3 * 0.05, IF(PQ_Cleansing!L3="Average", P3 * 0.02, IF(PQ_Cleansing!L3="Poor", 0, 0))))</f>
        <v>6530.4660000000003</v>
      </c>
      <c r="R3">
        <f>IFERROR(VALUE(SUBSTITUTE(SUBSTITUTE(PQ_Cleansing!I3, "$", ""), ",", "")), "")</f>
        <v>65304.66</v>
      </c>
    </row>
    <row r="4" spans="1:18" x14ac:dyDescent="0.25">
      <c r="A4" t="str">
        <f>PROPER(TRIM(CLEAN(RAW_DATA!A4)))</f>
        <v>Emp1002</v>
      </c>
      <c r="B4" t="str">
        <f>RAW_DATA!B4</f>
        <v>Alice</v>
      </c>
      <c r="C4" t="str">
        <f>RAW_DATA!C4</f>
        <v>Jones</v>
      </c>
      <c r="D4">
        <f>RAW_DATA!D4</f>
        <v>0</v>
      </c>
      <c r="E4" t="str">
        <f>RAW_DATA!E4</f>
        <v>Admin-Nevada</v>
      </c>
      <c r="F4" t="str">
        <f t="shared" si="0"/>
        <v>Admin</v>
      </c>
      <c r="G4" t="str">
        <f t="shared" si="1"/>
        <v>Nevada</v>
      </c>
      <c r="P4">
        <f t="shared" si="2"/>
        <v>88145.9</v>
      </c>
      <c r="Q4">
        <f>IF(PQ_Cleansing!L4="Excellent", P4 * 0.1, IF(PQ_Cleansing!L4="Good", P4 * 0.05, IF(PQ_Cleansing!L4="Average", P4 * 0.02, IF(PQ_Cleansing!L4="Poor", 0, 0))))</f>
        <v>4407.2950000000001</v>
      </c>
      <c r="R4">
        <f>IFERROR(VALUE(SUBSTITUTE(SUBSTITUTE(PQ_Cleansing!I4, "$", ""), ",", "")), "")</f>
        <v>88145.9</v>
      </c>
    </row>
    <row r="5" spans="1:18" x14ac:dyDescent="0.25">
      <c r="A5" t="str">
        <f>PROPER(TRIM(CLEAN(RAW_DATA!A5)))</f>
        <v>Emp1003</v>
      </c>
      <c r="B5" t="str">
        <f>RAW_DATA!B5</f>
        <v>Eva</v>
      </c>
      <c r="C5" t="str">
        <f>RAW_DATA!C5</f>
        <v>Davis</v>
      </c>
      <c r="D5">
        <f>RAW_DATA!D5</f>
        <v>25</v>
      </c>
      <c r="E5" t="str">
        <f>RAW_DATA!E5</f>
        <v>Admin-Nevada</v>
      </c>
      <c r="F5" t="str">
        <f t="shared" si="0"/>
        <v>Admin</v>
      </c>
      <c r="G5" t="str">
        <f t="shared" si="1"/>
        <v>Nevada</v>
      </c>
      <c r="P5">
        <f t="shared" si="2"/>
        <v>69450.990000000005</v>
      </c>
      <c r="Q5">
        <f>IF(PQ_Cleansing!L5="Excellent", P5 * 0.1, IF(PQ_Cleansing!L5="Good", P5 * 0.05, IF(PQ_Cleansing!L5="Average", P5 * 0.02, IF(PQ_Cleansing!L5="Poor", 0, 0))))</f>
        <v>3472.5495000000005</v>
      </c>
      <c r="R5">
        <f>IFERROR(VALUE(SUBSTITUTE(SUBSTITUTE(PQ_Cleansing!I5, "$", ""), ",", "")), "")</f>
        <v>69450.990000000005</v>
      </c>
    </row>
    <row r="6" spans="1:18" x14ac:dyDescent="0.25">
      <c r="A6" t="str">
        <f>PROPER(TRIM(CLEAN(RAW_DATA!A6)))</f>
        <v>Emp1004</v>
      </c>
      <c r="B6" t="str">
        <f>RAW_DATA!B6</f>
        <v>Frank</v>
      </c>
      <c r="C6" t="str">
        <f>RAW_DATA!C6</f>
        <v>Williams</v>
      </c>
      <c r="D6">
        <f>RAW_DATA!D6</f>
        <v>25</v>
      </c>
      <c r="E6" t="str">
        <f>RAW_DATA!E6</f>
        <v>Cloud Tech-Florida</v>
      </c>
      <c r="F6" t="str">
        <f t="shared" si="0"/>
        <v>Cloud Tech</v>
      </c>
      <c r="G6" t="str">
        <f t="shared" si="1"/>
        <v>Florida</v>
      </c>
      <c r="P6">
        <f t="shared" si="2"/>
        <v>109324.61</v>
      </c>
      <c r="Q6">
        <f>IF(PQ_Cleansing!L6="Excellent", P6 * 0.1, IF(PQ_Cleansing!L6="Good", P6 * 0.05, IF(PQ_Cleansing!L6="Average", P6 * 0.02, IF(PQ_Cleansing!L6="Poor", 0, 0))))</f>
        <v>0</v>
      </c>
      <c r="R6">
        <f>IFERROR(VALUE(SUBSTITUTE(SUBSTITUTE(PQ_Cleansing!I6, "$", ""), ",", "")), "")</f>
        <v>109324.61</v>
      </c>
    </row>
    <row r="7" spans="1:18" x14ac:dyDescent="0.25">
      <c r="A7" t="str">
        <f>PROPER(TRIM(CLEAN(RAW_DATA!A7)))</f>
        <v>Emp1005</v>
      </c>
      <c r="B7" t="str">
        <f>RAW_DATA!B7</f>
        <v>Alice</v>
      </c>
      <c r="C7" t="str">
        <f>RAW_DATA!C7</f>
        <v>Garcia</v>
      </c>
      <c r="D7">
        <f>RAW_DATA!D7</f>
        <v>40</v>
      </c>
      <c r="E7" t="str">
        <f>RAW_DATA!E7</f>
        <v>Sales-Texas</v>
      </c>
      <c r="F7" t="str">
        <f t="shared" si="0"/>
        <v>Sales</v>
      </c>
      <c r="G7" t="str">
        <f t="shared" si="1"/>
        <v>Texas</v>
      </c>
      <c r="P7">
        <f t="shared" si="2"/>
        <v>88642.84</v>
      </c>
      <c r="Q7">
        <f>IF(PQ_Cleansing!L7="Excellent", P7 * 0.1, IF(PQ_Cleansing!L7="Good", P7 * 0.05, IF(PQ_Cleansing!L7="Average", P7 * 0.02, IF(PQ_Cleansing!L7="Poor", 0, 0))))</f>
        <v>4432.1419999999998</v>
      </c>
      <c r="R7">
        <f>IFERROR(VALUE(SUBSTITUTE(SUBSTITUTE(PQ_Cleansing!I7, "$", ""), ",", "")), "")</f>
        <v>88642.84</v>
      </c>
    </row>
    <row r="8" spans="1:18" x14ac:dyDescent="0.25">
      <c r="A8" t="str">
        <f>PROPER(TRIM(CLEAN(RAW_DATA!A8)))</f>
        <v>Emp1006</v>
      </c>
      <c r="B8" t="str">
        <f>RAW_DATA!B8</f>
        <v>Frank</v>
      </c>
      <c r="C8" t="str">
        <f>RAW_DATA!C8</f>
        <v>Jones</v>
      </c>
      <c r="D8">
        <f>RAW_DATA!D8</f>
        <v>0</v>
      </c>
      <c r="E8" t="str">
        <f>RAW_DATA!E8</f>
        <v>Admin-Nevada</v>
      </c>
      <c r="F8" t="str">
        <f t="shared" si="0"/>
        <v>Admin</v>
      </c>
      <c r="G8" t="str">
        <f t="shared" si="1"/>
        <v>Nevada</v>
      </c>
      <c r="P8">
        <f t="shared" si="2"/>
        <v>96288.43</v>
      </c>
      <c r="Q8">
        <f>IF(PQ_Cleansing!L8="Excellent", P8 * 0.1, IF(PQ_Cleansing!L8="Good", P8 * 0.05, IF(PQ_Cleansing!L8="Average", P8 * 0.02, IF(PQ_Cleansing!L8="Poor", 0, 0))))</f>
        <v>4814.4214999999995</v>
      </c>
      <c r="R8">
        <f>IFERROR(VALUE(SUBSTITUTE(SUBSTITUTE(PQ_Cleansing!I8, "$", ""), ",", "")), "")</f>
        <v>96288.43</v>
      </c>
    </row>
    <row r="9" spans="1:18" x14ac:dyDescent="0.25">
      <c r="A9" t="str">
        <f>PROPER(TRIM(CLEAN(RAW_DATA!A9)))</f>
        <v>Emp1007</v>
      </c>
      <c r="B9" t="str">
        <f>RAW_DATA!B9</f>
        <v>Bob</v>
      </c>
      <c r="C9" t="str">
        <f>RAW_DATA!C9</f>
        <v>Jones</v>
      </c>
      <c r="D9">
        <f>RAW_DATA!D9</f>
        <v>30</v>
      </c>
      <c r="E9" t="str">
        <f>RAW_DATA!E9</f>
        <v>Cloud Tech-Florida</v>
      </c>
      <c r="F9" t="str">
        <f t="shared" si="0"/>
        <v>Cloud Tech</v>
      </c>
      <c r="G9" t="str">
        <f t="shared" si="1"/>
        <v>Florida</v>
      </c>
      <c r="P9">
        <f t="shared" si="2"/>
        <v>94497.91</v>
      </c>
      <c r="Q9">
        <f>IF(PQ_Cleansing!L9="Excellent", P9 * 0.1, IF(PQ_Cleansing!L9="Good", P9 * 0.05, IF(PQ_Cleansing!L9="Average", P9 * 0.02, IF(PQ_Cleansing!L9="Poor", 0, 0))))</f>
        <v>1889.9582</v>
      </c>
      <c r="R9">
        <f>IFERROR(VALUE(SUBSTITUTE(SUBSTITUTE(PQ_Cleansing!I9, "$", ""), ",", "")), "")</f>
        <v>94497.91</v>
      </c>
    </row>
    <row r="10" spans="1:18" x14ac:dyDescent="0.25">
      <c r="A10" t="str">
        <f>PROPER(TRIM(CLEAN(RAW_DATA!A10)))</f>
        <v>Emp1008</v>
      </c>
      <c r="B10" t="str">
        <f>RAW_DATA!B10</f>
        <v>Frank</v>
      </c>
      <c r="C10" t="str">
        <f>RAW_DATA!C10</f>
        <v>Davis</v>
      </c>
      <c r="D10">
        <f>RAW_DATA!D10</f>
        <v>35</v>
      </c>
      <c r="E10" t="str">
        <f>RAW_DATA!E10</f>
        <v>Admin-Nevada</v>
      </c>
      <c r="F10" t="str">
        <f t="shared" si="0"/>
        <v>Admin</v>
      </c>
      <c r="G10" t="str">
        <f t="shared" si="1"/>
        <v>Nevada</v>
      </c>
      <c r="P10">
        <f t="shared" si="2"/>
        <v>115565.82</v>
      </c>
      <c r="Q10">
        <f>IF(PQ_Cleansing!L10="Excellent", P10 * 0.1, IF(PQ_Cleansing!L10="Good", P10 * 0.05, IF(PQ_Cleansing!L10="Average", P10 * 0.02, IF(PQ_Cleansing!L10="Poor", 0, 0))))</f>
        <v>11556.582000000002</v>
      </c>
      <c r="R10">
        <f>IFERROR(VALUE(SUBSTITUTE(SUBSTITUTE(PQ_Cleansing!I10, "$", ""), ",", "")), "")</f>
        <v>115565.82</v>
      </c>
    </row>
    <row r="11" spans="1:18" x14ac:dyDescent="0.25">
      <c r="A11" t="str">
        <f>PROPER(TRIM(CLEAN(RAW_DATA!A11)))</f>
        <v>Emp1009</v>
      </c>
      <c r="B11" t="str">
        <f>RAW_DATA!B11</f>
        <v>Charlie</v>
      </c>
      <c r="C11" t="str">
        <f>RAW_DATA!C11</f>
        <v>Johnson</v>
      </c>
      <c r="D11">
        <f>RAW_DATA!D11</f>
        <v>0</v>
      </c>
      <c r="E11" t="str">
        <f>RAW_DATA!E11</f>
        <v>DevOps-New York</v>
      </c>
      <c r="F11" t="str">
        <f t="shared" si="0"/>
        <v>DevOps</v>
      </c>
      <c r="G11" t="str">
        <f t="shared" si="1"/>
        <v>New York</v>
      </c>
      <c r="P11">
        <f t="shared" si="2"/>
        <v>76561.88</v>
      </c>
      <c r="Q11">
        <f>IF(PQ_Cleansing!L11="Excellent", P11 * 0.1, IF(PQ_Cleansing!L11="Good", P11 * 0.05, IF(PQ_Cleansing!L11="Average", P11 * 0.02, IF(PQ_Cleansing!L11="Poor", 0, 0))))</f>
        <v>7656.188000000001</v>
      </c>
      <c r="R11">
        <f>IFERROR(VALUE(SUBSTITUTE(SUBSTITUTE(PQ_Cleansing!I11, "$", ""), ",", "")), "")</f>
        <v>76561.88</v>
      </c>
    </row>
    <row r="12" spans="1:18" x14ac:dyDescent="0.25">
      <c r="A12" t="str">
        <f>PROPER(TRIM(CLEAN(RAW_DATA!A12)))</f>
        <v>Emp1010</v>
      </c>
      <c r="B12" t="str">
        <f>RAW_DATA!B12</f>
        <v>David</v>
      </c>
      <c r="C12" t="str">
        <f>RAW_DATA!C12</f>
        <v>Williams</v>
      </c>
      <c r="D12">
        <f>RAW_DATA!D12</f>
        <v>35</v>
      </c>
      <c r="E12" t="str">
        <f>RAW_DATA!E12</f>
        <v>Cloud Tech-New York</v>
      </c>
      <c r="F12" t="str">
        <f t="shared" si="0"/>
        <v>Cloud Tech</v>
      </c>
      <c r="G12" t="str">
        <f t="shared" si="1"/>
        <v>New York</v>
      </c>
      <c r="P12">
        <f t="shared" si="2"/>
        <v>72081.710000000006</v>
      </c>
      <c r="Q12">
        <f>IF(PQ_Cleansing!L12="Excellent", P12 * 0.1, IF(PQ_Cleansing!L12="Good", P12 * 0.05, IF(PQ_Cleansing!L12="Average", P12 * 0.02, IF(PQ_Cleansing!L12="Poor", 0, 0))))</f>
        <v>1441.6342000000002</v>
      </c>
      <c r="R12">
        <f>IFERROR(VALUE(SUBSTITUTE(SUBSTITUTE(PQ_Cleansing!I12, "$", ""), ",", "")), "")</f>
        <v>72081.710000000006</v>
      </c>
    </row>
    <row r="13" spans="1:18" x14ac:dyDescent="0.25">
      <c r="A13" t="str">
        <f>PROPER(TRIM(CLEAN(RAW_DATA!A13)))</f>
        <v>Emp1011</v>
      </c>
      <c r="B13" t="str">
        <f>RAW_DATA!B13</f>
        <v>David</v>
      </c>
      <c r="C13" t="str">
        <f>RAW_DATA!C13</f>
        <v>Davis</v>
      </c>
      <c r="D13">
        <f>RAW_DATA!D13</f>
        <v>0</v>
      </c>
      <c r="E13" t="str">
        <f>RAW_DATA!E13</f>
        <v>DevOps-California</v>
      </c>
      <c r="F13" t="str">
        <f t="shared" si="0"/>
        <v>DevOps</v>
      </c>
      <c r="G13" t="str">
        <f t="shared" si="1"/>
        <v>California</v>
      </c>
      <c r="P13">
        <f t="shared" si="2"/>
        <v>84946.19</v>
      </c>
      <c r="Q13">
        <f>IF(PQ_Cleansing!L13="Excellent", P13 * 0.1, IF(PQ_Cleansing!L13="Good", P13 * 0.05, IF(PQ_Cleansing!L13="Average", P13 * 0.02, IF(PQ_Cleansing!L13="Poor", 0, 0))))</f>
        <v>0</v>
      </c>
      <c r="R13">
        <f>IFERROR(VALUE(SUBSTITUTE(SUBSTITUTE(PQ_Cleansing!I13, "$", ""), ",", "")), "")</f>
        <v>84946.19</v>
      </c>
    </row>
    <row r="14" spans="1:18" x14ac:dyDescent="0.25">
      <c r="A14" t="str">
        <f>PROPER(TRIM(CLEAN(RAW_DATA!A14)))</f>
        <v>Emp1012</v>
      </c>
      <c r="B14" t="str">
        <f>RAW_DATA!B14</f>
        <v>Heidi</v>
      </c>
      <c r="C14" t="str">
        <f>RAW_DATA!C14</f>
        <v>Williams</v>
      </c>
      <c r="D14">
        <f>RAW_DATA!D14</f>
        <v>30</v>
      </c>
      <c r="E14" t="str">
        <f>RAW_DATA!E14</f>
        <v>HR-New York</v>
      </c>
      <c r="F14" t="str">
        <f t="shared" si="0"/>
        <v>HR</v>
      </c>
      <c r="G14" t="str">
        <f t="shared" si="1"/>
        <v>New York</v>
      </c>
      <c r="P14">
        <f t="shared" si="2"/>
        <v>89295.77</v>
      </c>
      <c r="Q14">
        <f>IF(PQ_Cleansing!L14="Excellent", P14 * 0.1, IF(PQ_Cleansing!L14="Good", P14 * 0.05, IF(PQ_Cleansing!L14="Average", P14 * 0.02, IF(PQ_Cleansing!L14="Poor", 0, 0))))</f>
        <v>8929.5770000000011</v>
      </c>
      <c r="R14">
        <f>IFERROR(VALUE(SUBSTITUTE(SUBSTITUTE(PQ_Cleansing!I14, "$", ""), ",", "")), "")</f>
        <v>89295.77</v>
      </c>
    </row>
    <row r="15" spans="1:18" x14ac:dyDescent="0.25">
      <c r="A15" t="str">
        <f>PROPER(TRIM(CLEAN(RAW_DATA!A15)))</f>
        <v>Emp1013</v>
      </c>
      <c r="B15" t="str">
        <f>RAW_DATA!B15</f>
        <v>Grace</v>
      </c>
      <c r="C15" t="str">
        <f>RAW_DATA!C15</f>
        <v>Williams</v>
      </c>
      <c r="D15">
        <f>RAW_DATA!D15</f>
        <v>0</v>
      </c>
      <c r="E15" t="str">
        <f>RAW_DATA!E15</f>
        <v>Finance-California</v>
      </c>
      <c r="F15" t="str">
        <f t="shared" si="0"/>
        <v>Finance</v>
      </c>
      <c r="G15" t="str">
        <f t="shared" si="1"/>
        <v>California</v>
      </c>
      <c r="P15">
        <f t="shared" si="2"/>
        <v>85666.84</v>
      </c>
      <c r="Q15">
        <f>IF(PQ_Cleansing!L15="Excellent", P15 * 0.1, IF(PQ_Cleansing!L15="Good", P15 * 0.05, IF(PQ_Cleansing!L15="Average", P15 * 0.02, IF(PQ_Cleansing!L15="Poor", 0, 0))))</f>
        <v>4283.3419999999996</v>
      </c>
      <c r="R15">
        <f>IFERROR(VALUE(SUBSTITUTE(SUBSTITUTE(PQ_Cleansing!I15, "$", ""), ",", "")), "")</f>
        <v>85666.84</v>
      </c>
    </row>
    <row r="16" spans="1:18" x14ac:dyDescent="0.25">
      <c r="A16" t="str">
        <f>PROPER(TRIM(CLEAN(RAW_DATA!A16)))</f>
        <v>Emp1014</v>
      </c>
      <c r="B16" t="str">
        <f>RAW_DATA!B16</f>
        <v>Alice</v>
      </c>
      <c r="C16" t="str">
        <f>RAW_DATA!C16</f>
        <v>Garcia</v>
      </c>
      <c r="D16">
        <f>RAW_DATA!D16</f>
        <v>25</v>
      </c>
      <c r="E16" t="str">
        <f>RAW_DATA!E16</f>
        <v>Admin-Nevada</v>
      </c>
      <c r="F16" t="str">
        <f t="shared" si="0"/>
        <v>Admin</v>
      </c>
      <c r="G16" t="str">
        <f t="shared" si="1"/>
        <v>Nevada</v>
      </c>
      <c r="P16">
        <f t="shared" si="2"/>
        <v>97633.68</v>
      </c>
      <c r="Q16">
        <f>IF(PQ_Cleansing!L16="Excellent", P16 * 0.1, IF(PQ_Cleansing!L16="Good", P16 * 0.05, IF(PQ_Cleansing!L16="Average", P16 * 0.02, IF(PQ_Cleansing!L16="Poor", 0, 0))))</f>
        <v>9763.3680000000004</v>
      </c>
      <c r="R16">
        <f>IFERROR(VALUE(SUBSTITUTE(SUBSTITUTE(PQ_Cleansing!I16, "$", ""), ",", "")), "")</f>
        <v>97633.68</v>
      </c>
    </row>
    <row r="17" spans="1:18" x14ac:dyDescent="0.25">
      <c r="A17" t="str">
        <f>PROPER(TRIM(CLEAN(RAW_DATA!A17)))</f>
        <v>Emp1015</v>
      </c>
      <c r="B17" t="str">
        <f>RAW_DATA!B17</f>
        <v>Grace</v>
      </c>
      <c r="C17" t="str">
        <f>RAW_DATA!C17</f>
        <v>Jones</v>
      </c>
      <c r="D17">
        <f>RAW_DATA!D17</f>
        <v>40</v>
      </c>
      <c r="E17" t="str">
        <f>RAW_DATA!E17</f>
        <v>Sales-Florida</v>
      </c>
      <c r="F17" t="str">
        <f t="shared" si="0"/>
        <v>Sales</v>
      </c>
      <c r="G17" t="str">
        <f t="shared" si="1"/>
        <v>Florida</v>
      </c>
      <c r="P17">
        <f t="shared" si="2"/>
        <v>117975.49</v>
      </c>
      <c r="Q17">
        <f>IF(PQ_Cleansing!L17="Excellent", P17 * 0.1, IF(PQ_Cleansing!L17="Good", P17 * 0.05, IF(PQ_Cleansing!L17="Average", P17 * 0.02, IF(PQ_Cleansing!L17="Poor", 0, 0))))</f>
        <v>5898.7745000000004</v>
      </c>
      <c r="R17">
        <f>IFERROR(VALUE(SUBSTITUTE(SUBSTITUTE(PQ_Cleansing!I17, "$", ""), ",", "")), "")</f>
        <v>117975.49</v>
      </c>
    </row>
    <row r="18" spans="1:18" x14ac:dyDescent="0.25">
      <c r="A18" t="str">
        <f>PROPER(TRIM(CLEAN(RAW_DATA!A18)))</f>
        <v>Emp1016</v>
      </c>
      <c r="B18" t="str">
        <f>RAW_DATA!B18</f>
        <v>Alice</v>
      </c>
      <c r="C18" t="str">
        <f>RAW_DATA!C18</f>
        <v>Brown</v>
      </c>
      <c r="D18">
        <f>RAW_DATA!D18</f>
        <v>25</v>
      </c>
      <c r="E18" t="str">
        <f>RAW_DATA!E18</f>
        <v>DevOps-Illinois</v>
      </c>
      <c r="F18" t="str">
        <f t="shared" si="0"/>
        <v>DevOps</v>
      </c>
      <c r="G18" t="str">
        <f t="shared" si="1"/>
        <v>Illinois</v>
      </c>
      <c r="P18">
        <f t="shared" si="2"/>
        <v>94867.33</v>
      </c>
      <c r="Q18">
        <f>IF(PQ_Cleansing!L18="Excellent", P18 * 0.1, IF(PQ_Cleansing!L18="Good", P18 * 0.05, IF(PQ_Cleansing!L18="Average", P18 * 0.02, IF(PQ_Cleansing!L18="Poor", 0, 0))))</f>
        <v>0</v>
      </c>
      <c r="R18">
        <f>IFERROR(VALUE(SUBSTITUTE(SUBSTITUTE(PQ_Cleansing!I18, "$", ""), ",", "")), "")</f>
        <v>94867.33</v>
      </c>
    </row>
    <row r="19" spans="1:18" x14ac:dyDescent="0.25">
      <c r="A19" t="str">
        <f>PROPER(TRIM(CLEAN(RAW_DATA!A19)))</f>
        <v>Emp1017</v>
      </c>
      <c r="B19" t="str">
        <f>RAW_DATA!B19</f>
        <v>Grace</v>
      </c>
      <c r="C19" t="str">
        <f>RAW_DATA!C19</f>
        <v>Garcia</v>
      </c>
      <c r="D19">
        <f>RAW_DATA!D19</f>
        <v>30</v>
      </c>
      <c r="E19" t="str">
        <f>RAW_DATA!E19</f>
        <v>Finance-Texas</v>
      </c>
      <c r="F19" t="str">
        <f t="shared" si="0"/>
        <v>Finance</v>
      </c>
      <c r="G19" t="str">
        <f t="shared" si="1"/>
        <v>Texas</v>
      </c>
      <c r="P19">
        <f t="shared" si="2"/>
        <v>100377.65</v>
      </c>
      <c r="Q19">
        <f>IF(PQ_Cleansing!L19="Excellent", P19 * 0.1, IF(PQ_Cleansing!L19="Good", P19 * 0.05, IF(PQ_Cleansing!L19="Average", P19 * 0.02, IF(PQ_Cleansing!L19="Poor", 0, 0))))</f>
        <v>2007.5529999999999</v>
      </c>
      <c r="R19">
        <f>IFERROR(VALUE(SUBSTITUTE(SUBSTITUTE(PQ_Cleansing!I19, "$", ""), ",", "")), "")</f>
        <v>100377.65</v>
      </c>
    </row>
    <row r="20" spans="1:18" x14ac:dyDescent="0.25">
      <c r="A20" t="str">
        <f>PROPER(TRIM(CLEAN(RAW_DATA!A20)))</f>
        <v>Emp1018</v>
      </c>
      <c r="B20" t="str">
        <f>RAW_DATA!B20</f>
        <v>Charlie</v>
      </c>
      <c r="C20" t="str">
        <f>RAW_DATA!C20</f>
        <v>Garcia</v>
      </c>
      <c r="D20">
        <f>RAW_DATA!D20</f>
        <v>0</v>
      </c>
      <c r="E20" t="str">
        <f>RAW_DATA!E20</f>
        <v>Cloud Tech-Nevada</v>
      </c>
      <c r="F20" t="str">
        <f t="shared" si="0"/>
        <v>Cloud Tech</v>
      </c>
      <c r="G20" t="str">
        <f t="shared" si="1"/>
        <v>Nevada</v>
      </c>
      <c r="P20">
        <f t="shared" si="2"/>
        <v>94726.46</v>
      </c>
      <c r="Q20">
        <f>IF(PQ_Cleansing!L20="Excellent", P20 * 0.1, IF(PQ_Cleansing!L20="Good", P20 * 0.05, IF(PQ_Cleansing!L20="Average", P20 * 0.02, IF(PQ_Cleansing!L20="Poor", 0, 0))))</f>
        <v>9472.6460000000006</v>
      </c>
      <c r="R20">
        <f>IFERROR(VALUE(SUBSTITUTE(SUBSTITUTE(PQ_Cleansing!I20, "$", ""), ",", "")), "")</f>
        <v>94726.46</v>
      </c>
    </row>
    <row r="21" spans="1:18" x14ac:dyDescent="0.25">
      <c r="A21" t="str">
        <f>PROPER(TRIM(CLEAN(RAW_DATA!A21)))</f>
        <v>Emp1019</v>
      </c>
      <c r="B21" t="str">
        <f>RAW_DATA!B21</f>
        <v>Charlie</v>
      </c>
      <c r="C21" t="str">
        <f>RAW_DATA!C21</f>
        <v>Williams</v>
      </c>
      <c r="D21">
        <f>RAW_DATA!D21</f>
        <v>35</v>
      </c>
      <c r="E21" t="str">
        <f>RAW_DATA!E21</f>
        <v>Admin-Illinois</v>
      </c>
      <c r="F21" t="str">
        <f t="shared" si="0"/>
        <v>Admin</v>
      </c>
      <c r="G21" t="str">
        <f t="shared" si="1"/>
        <v>Illinois</v>
      </c>
      <c r="P21">
        <f t="shared" si="2"/>
        <v>91926.12</v>
      </c>
      <c r="Q21">
        <f>IF(PQ_Cleansing!L21="Excellent", P21 * 0.1, IF(PQ_Cleansing!L21="Good", P21 * 0.05, IF(PQ_Cleansing!L21="Average", P21 * 0.02, IF(PQ_Cleansing!L21="Poor", 0, 0))))</f>
        <v>1838.5223999999998</v>
      </c>
      <c r="R21">
        <f>IFERROR(VALUE(SUBSTITUTE(SUBSTITUTE(PQ_Cleansing!I21, "$", ""), ",", "")), "")</f>
        <v>91926.12</v>
      </c>
    </row>
    <row r="22" spans="1:18" x14ac:dyDescent="0.25">
      <c r="A22" t="str">
        <f>PROPER(TRIM(CLEAN(RAW_DATA!A22)))</f>
        <v>Emp1020</v>
      </c>
      <c r="B22" t="str">
        <f>RAW_DATA!B22</f>
        <v>Bob</v>
      </c>
      <c r="C22" t="str">
        <f>RAW_DATA!C22</f>
        <v>Miller</v>
      </c>
      <c r="D22">
        <f>RAW_DATA!D22</f>
        <v>35</v>
      </c>
      <c r="E22" t="str">
        <f>RAW_DATA!E22</f>
        <v>HR-New York</v>
      </c>
      <c r="F22" t="str">
        <f t="shared" si="0"/>
        <v>HR</v>
      </c>
      <c r="G22" t="str">
        <f t="shared" si="1"/>
        <v>New York</v>
      </c>
      <c r="P22">
        <f t="shared" si="2"/>
        <v>111460.67</v>
      </c>
      <c r="Q22">
        <f>IF(PQ_Cleansing!L22="Excellent", P22 * 0.1, IF(PQ_Cleansing!L22="Good", P22 * 0.05, IF(PQ_Cleansing!L22="Average", P22 * 0.02, IF(PQ_Cleansing!L22="Poor", 0, 0))))</f>
        <v>11146.067000000001</v>
      </c>
      <c r="R22">
        <f>IFERROR(VALUE(SUBSTITUTE(SUBSTITUTE(PQ_Cleansing!I22, "$", ""), ",", "")), "")</f>
        <v>111460.67</v>
      </c>
    </row>
    <row r="23" spans="1:18" x14ac:dyDescent="0.25">
      <c r="A23" t="str">
        <f>PROPER(TRIM(CLEAN(RAW_DATA!A23)))</f>
        <v>Emp1021</v>
      </c>
      <c r="B23" t="str">
        <f>RAW_DATA!B23</f>
        <v>Bob</v>
      </c>
      <c r="C23" t="str">
        <f>RAW_DATA!C23</f>
        <v>Jones</v>
      </c>
      <c r="D23">
        <f>RAW_DATA!D23</f>
        <v>40</v>
      </c>
      <c r="E23" t="str">
        <f>RAW_DATA!E23</f>
        <v>Cloud Tech-Illinois</v>
      </c>
      <c r="F23" t="str">
        <f t="shared" si="0"/>
        <v>Cloud Tech</v>
      </c>
      <c r="G23" t="str">
        <f t="shared" si="1"/>
        <v>Illinois</v>
      </c>
      <c r="P23">
        <f t="shared" si="2"/>
        <v>96182.56</v>
      </c>
      <c r="Q23">
        <f>IF(PQ_Cleansing!L23="Excellent", P23 * 0.1, IF(PQ_Cleansing!L23="Good", P23 * 0.05, IF(PQ_Cleansing!L23="Average", P23 * 0.02, IF(PQ_Cleansing!L23="Poor", 0, 0))))</f>
        <v>4809.1279999999997</v>
      </c>
      <c r="R23">
        <f>IFERROR(VALUE(SUBSTITUTE(SUBSTITUTE(PQ_Cleansing!I23, "$", ""), ",", "")), "")</f>
        <v>96182.56</v>
      </c>
    </row>
    <row r="24" spans="1:18" x14ac:dyDescent="0.25">
      <c r="A24" t="str">
        <f>PROPER(TRIM(CLEAN(RAW_DATA!A24)))</f>
        <v>Emp1022</v>
      </c>
      <c r="B24" t="str">
        <f>RAW_DATA!B24</f>
        <v>Charlie</v>
      </c>
      <c r="C24" t="str">
        <f>RAW_DATA!C24</f>
        <v>Johnson</v>
      </c>
      <c r="D24">
        <f>RAW_DATA!D24</f>
        <v>35</v>
      </c>
      <c r="E24" t="str">
        <f>RAW_DATA!E24</f>
        <v>Sales-Illinois</v>
      </c>
      <c r="F24" t="str">
        <f t="shared" si="0"/>
        <v>Sales</v>
      </c>
      <c r="G24" t="str">
        <f t="shared" si="1"/>
        <v>Illinois</v>
      </c>
      <c r="P24">
        <f t="shared" si="2"/>
        <v>115023.94</v>
      </c>
      <c r="Q24">
        <f>IF(PQ_Cleansing!L24="Excellent", P24 * 0.1, IF(PQ_Cleansing!L24="Good", P24 * 0.05, IF(PQ_Cleansing!L24="Average", P24 * 0.02, IF(PQ_Cleansing!L24="Poor", 0, 0))))</f>
        <v>2300.4788000000003</v>
      </c>
      <c r="R24">
        <f>IFERROR(VALUE(SUBSTITUTE(SUBSTITUTE(PQ_Cleansing!I24, "$", ""), ",", "")), "")</f>
        <v>115023.94</v>
      </c>
    </row>
    <row r="25" spans="1:18" x14ac:dyDescent="0.25">
      <c r="A25" t="str">
        <f>PROPER(TRIM(CLEAN(RAW_DATA!A25)))</f>
        <v>Emp1023</v>
      </c>
      <c r="B25" t="str">
        <f>RAW_DATA!B25</f>
        <v>David</v>
      </c>
      <c r="C25" t="str">
        <f>RAW_DATA!C25</f>
        <v>Garcia</v>
      </c>
      <c r="D25">
        <f>RAW_DATA!D25</f>
        <v>35</v>
      </c>
      <c r="E25" t="str">
        <f>RAW_DATA!E25</f>
        <v>Finance-Nevada</v>
      </c>
      <c r="F25" t="str">
        <f t="shared" si="0"/>
        <v>Finance</v>
      </c>
      <c r="G25" t="str">
        <f t="shared" si="1"/>
        <v>Nevada</v>
      </c>
      <c r="P25">
        <f t="shared" si="2"/>
        <v>80667.009999999995</v>
      </c>
      <c r="Q25">
        <f>IF(PQ_Cleansing!L25="Excellent", P25 * 0.1, IF(PQ_Cleansing!L25="Good", P25 * 0.05, IF(PQ_Cleansing!L25="Average", P25 * 0.02, IF(PQ_Cleansing!L25="Poor", 0, 0))))</f>
        <v>8066.701</v>
      </c>
      <c r="R25">
        <f>IFERROR(VALUE(SUBSTITUTE(SUBSTITUTE(PQ_Cleansing!I25, "$", ""), ",", "")), "")</f>
        <v>80667.009999999995</v>
      </c>
    </row>
    <row r="26" spans="1:18" x14ac:dyDescent="0.25">
      <c r="A26" t="str">
        <f>PROPER(TRIM(CLEAN(RAW_DATA!A26)))</f>
        <v>Emp1024</v>
      </c>
      <c r="B26" t="str">
        <f>RAW_DATA!B26</f>
        <v>Bob</v>
      </c>
      <c r="C26" t="str">
        <f>RAW_DATA!C26</f>
        <v>Brown</v>
      </c>
      <c r="D26">
        <f>RAW_DATA!D26</f>
        <v>30</v>
      </c>
      <c r="E26" t="str">
        <f>RAW_DATA!E26</f>
        <v>Admin-Texas</v>
      </c>
      <c r="F26" t="str">
        <f t="shared" si="0"/>
        <v>Admin</v>
      </c>
      <c r="G26" t="str">
        <f t="shared" si="1"/>
        <v>Texas</v>
      </c>
      <c r="P26">
        <f t="shared" si="2"/>
        <v>91181.61</v>
      </c>
      <c r="Q26">
        <f>IF(PQ_Cleansing!L26="Excellent", P26 * 0.1, IF(PQ_Cleansing!L26="Good", P26 * 0.05, IF(PQ_Cleansing!L26="Average", P26 * 0.02, IF(PQ_Cleansing!L26="Poor", 0, 0))))</f>
        <v>4559.0805</v>
      </c>
      <c r="R26">
        <f>IFERROR(VALUE(SUBSTITUTE(SUBSTITUTE(PQ_Cleansing!I26, "$", ""), ",", "")), "")</f>
        <v>91181.61</v>
      </c>
    </row>
    <row r="27" spans="1:18" x14ac:dyDescent="0.25">
      <c r="A27" t="str">
        <f>PROPER(TRIM(CLEAN(RAW_DATA!A27)))</f>
        <v>Emp1025</v>
      </c>
      <c r="B27" t="str">
        <f>RAW_DATA!B27</f>
        <v>David</v>
      </c>
      <c r="C27" t="str">
        <f>RAW_DATA!C27</f>
        <v>Miller</v>
      </c>
      <c r="D27">
        <f>RAW_DATA!D27</f>
        <v>25</v>
      </c>
      <c r="E27" t="str">
        <f>RAW_DATA!E27</f>
        <v>Cloud Tech-Nevada</v>
      </c>
      <c r="F27" t="str">
        <f t="shared" si="0"/>
        <v>Cloud Tech</v>
      </c>
      <c r="G27" t="str">
        <f t="shared" si="1"/>
        <v>Nevada</v>
      </c>
      <c r="P27">
        <f t="shared" si="2"/>
        <v>66025.919999999998</v>
      </c>
      <c r="Q27">
        <f>IF(PQ_Cleansing!L27="Excellent", P27 * 0.1, IF(PQ_Cleansing!L27="Good", P27 * 0.05, IF(PQ_Cleansing!L27="Average", P27 * 0.02, IF(PQ_Cleansing!L27="Poor", 0, 0))))</f>
        <v>1320.5183999999999</v>
      </c>
      <c r="R27">
        <f>IFERROR(VALUE(SUBSTITUTE(SUBSTITUTE(PQ_Cleansing!I27, "$", ""), ",", "")), "")</f>
        <v>66025.919999999998</v>
      </c>
    </row>
    <row r="28" spans="1:18" x14ac:dyDescent="0.25">
      <c r="A28" t="str">
        <f>PROPER(TRIM(CLEAN(RAW_DATA!A28)))</f>
        <v>Emp1026</v>
      </c>
      <c r="B28" t="str">
        <f>RAW_DATA!B28</f>
        <v>Frank</v>
      </c>
      <c r="C28" t="str">
        <f>RAW_DATA!C28</f>
        <v>Miller</v>
      </c>
      <c r="D28">
        <f>RAW_DATA!D28</f>
        <v>25</v>
      </c>
      <c r="E28" t="str">
        <f>RAW_DATA!E28</f>
        <v>Sales-New York</v>
      </c>
      <c r="F28" t="str">
        <f t="shared" si="0"/>
        <v>Sales</v>
      </c>
      <c r="G28" t="str">
        <f t="shared" si="1"/>
        <v>New York</v>
      </c>
      <c r="P28">
        <f t="shared" si="2"/>
        <v>83979.01</v>
      </c>
      <c r="Q28">
        <f>IF(PQ_Cleansing!L28="Excellent", P28 * 0.1, IF(PQ_Cleansing!L28="Good", P28 * 0.05, IF(PQ_Cleansing!L28="Average", P28 * 0.02, IF(PQ_Cleansing!L28="Poor", 0, 0))))</f>
        <v>1679.5801999999999</v>
      </c>
      <c r="R28">
        <f>IFERROR(VALUE(SUBSTITUTE(SUBSTITUTE(PQ_Cleansing!I28, "$", ""), ",", "")), "")</f>
        <v>83979.01</v>
      </c>
    </row>
    <row r="29" spans="1:18" x14ac:dyDescent="0.25">
      <c r="A29" t="str">
        <f>PROPER(TRIM(CLEAN(RAW_DATA!A29)))</f>
        <v>Emp1027</v>
      </c>
      <c r="B29" t="str">
        <f>RAW_DATA!B29</f>
        <v>Heidi</v>
      </c>
      <c r="C29" t="str">
        <f>RAW_DATA!C29</f>
        <v>Johnson</v>
      </c>
      <c r="D29">
        <f>RAW_DATA!D29</f>
        <v>30</v>
      </c>
      <c r="E29" t="str">
        <f>RAW_DATA!E29</f>
        <v>Finance-Florida</v>
      </c>
      <c r="F29" t="str">
        <f t="shared" si="0"/>
        <v>Finance</v>
      </c>
      <c r="G29" t="str">
        <f t="shared" si="1"/>
        <v>Florida</v>
      </c>
      <c r="P29">
        <f t="shared" si="2"/>
        <v>56785.16</v>
      </c>
      <c r="Q29">
        <f>IF(PQ_Cleansing!L29="Excellent", P29 * 0.1, IF(PQ_Cleansing!L29="Good", P29 * 0.05, IF(PQ_Cleansing!L29="Average", P29 * 0.02, IF(PQ_Cleansing!L29="Poor", 0, 0))))</f>
        <v>5678.5160000000005</v>
      </c>
      <c r="R29">
        <f>IFERROR(VALUE(SUBSTITUTE(SUBSTITUTE(PQ_Cleansing!I29, "$", ""), ",", "")), "")</f>
        <v>56785.16</v>
      </c>
    </row>
    <row r="30" spans="1:18" x14ac:dyDescent="0.25">
      <c r="A30" t="str">
        <f>PROPER(TRIM(CLEAN(RAW_DATA!A30)))</f>
        <v>Emp1028</v>
      </c>
      <c r="B30" t="str">
        <f>RAW_DATA!B30</f>
        <v>Grace</v>
      </c>
      <c r="C30" t="str">
        <f>RAW_DATA!C30</f>
        <v>Garcia</v>
      </c>
      <c r="D30">
        <f>RAW_DATA!D30</f>
        <v>40</v>
      </c>
      <c r="E30" t="str">
        <f>RAW_DATA!E30</f>
        <v>Finance-Nevada</v>
      </c>
      <c r="F30" t="str">
        <f t="shared" si="0"/>
        <v>Finance</v>
      </c>
      <c r="G30" t="str">
        <f t="shared" si="1"/>
        <v>Nevada</v>
      </c>
      <c r="P30">
        <f t="shared" si="2"/>
        <v>95741.88</v>
      </c>
      <c r="Q30">
        <f>IF(PQ_Cleansing!L30="Excellent", P30 * 0.1, IF(PQ_Cleansing!L30="Good", P30 * 0.05, IF(PQ_Cleansing!L30="Average", P30 * 0.02, IF(PQ_Cleansing!L30="Poor", 0, 0))))</f>
        <v>9574.1880000000001</v>
      </c>
      <c r="R30">
        <f>IFERROR(VALUE(SUBSTITUTE(SUBSTITUTE(PQ_Cleansing!I30, "$", ""), ",", "")), "")</f>
        <v>95741.88</v>
      </c>
    </row>
    <row r="31" spans="1:18" x14ac:dyDescent="0.25">
      <c r="A31" t="str">
        <f>PROPER(TRIM(CLEAN(RAW_DATA!A31)))</f>
        <v>Emp1029</v>
      </c>
      <c r="B31" t="str">
        <f>RAW_DATA!B31</f>
        <v>Alice</v>
      </c>
      <c r="C31" t="str">
        <f>RAW_DATA!C31</f>
        <v>Brown</v>
      </c>
      <c r="D31">
        <f>RAW_DATA!D31</f>
        <v>40</v>
      </c>
      <c r="E31" t="str">
        <f>RAW_DATA!E31</f>
        <v>DevOps-California</v>
      </c>
      <c r="F31" t="str">
        <f t="shared" si="0"/>
        <v>DevOps</v>
      </c>
      <c r="G31" t="str">
        <f t="shared" si="1"/>
        <v>California</v>
      </c>
      <c r="P31">
        <f t="shared" si="2"/>
        <v>63411.31</v>
      </c>
      <c r="Q31">
        <f>IF(PQ_Cleansing!L31="Excellent", P31 * 0.1, IF(PQ_Cleansing!L31="Good", P31 * 0.05, IF(PQ_Cleansing!L31="Average", P31 * 0.02, IF(PQ_Cleansing!L31="Poor", 0, 0))))</f>
        <v>6341.1310000000003</v>
      </c>
      <c r="R31">
        <f>IFERROR(VALUE(SUBSTITUTE(SUBSTITUTE(PQ_Cleansing!I31, "$", ""), ",", "")), "")</f>
        <v>63411.31</v>
      </c>
    </row>
    <row r="32" spans="1:18" x14ac:dyDescent="0.25">
      <c r="A32" t="str">
        <f>PROPER(TRIM(CLEAN(RAW_DATA!A32)))</f>
        <v>Emp1030</v>
      </c>
      <c r="B32" t="str">
        <f>RAW_DATA!B32</f>
        <v>Charlie</v>
      </c>
      <c r="C32" t="str">
        <f>RAW_DATA!C32</f>
        <v>Jones</v>
      </c>
      <c r="D32">
        <f>RAW_DATA!D32</f>
        <v>40</v>
      </c>
      <c r="E32" t="str">
        <f>RAW_DATA!E32</f>
        <v>Admin-California</v>
      </c>
      <c r="F32" t="str">
        <f t="shared" si="0"/>
        <v>Admin</v>
      </c>
      <c r="G32" t="str">
        <f t="shared" si="1"/>
        <v>California</v>
      </c>
      <c r="P32">
        <f t="shared" si="2"/>
        <v>111214.02</v>
      </c>
      <c r="Q32">
        <f>IF(PQ_Cleansing!L32="Excellent", P32 * 0.1, IF(PQ_Cleansing!L32="Good", P32 * 0.05, IF(PQ_Cleansing!L32="Average", P32 * 0.02, IF(PQ_Cleansing!L32="Poor", 0, 0))))</f>
        <v>5560.7010000000009</v>
      </c>
      <c r="R32">
        <f>IFERROR(VALUE(SUBSTITUTE(SUBSTITUTE(PQ_Cleansing!I32, "$", ""), ",", "")), "")</f>
        <v>111214.02</v>
      </c>
    </row>
    <row r="33" spans="1:18" x14ac:dyDescent="0.25">
      <c r="A33" t="str">
        <f>PROPER(TRIM(CLEAN(RAW_DATA!A33)))</f>
        <v>Emp1031</v>
      </c>
      <c r="B33" t="str">
        <f>RAW_DATA!B33</f>
        <v>Bob</v>
      </c>
      <c r="C33" t="str">
        <f>RAW_DATA!C33</f>
        <v>Smith</v>
      </c>
      <c r="D33">
        <f>RAW_DATA!D33</f>
        <v>25</v>
      </c>
      <c r="E33" t="str">
        <f>RAW_DATA!E33</f>
        <v>DevOps-Illinois</v>
      </c>
      <c r="F33" t="str">
        <f t="shared" si="0"/>
        <v>DevOps</v>
      </c>
      <c r="G33" t="str">
        <f t="shared" si="1"/>
        <v>Illinois</v>
      </c>
      <c r="P33">
        <f t="shared" si="2"/>
        <v>114845.69</v>
      </c>
      <c r="Q33">
        <f>IF(PQ_Cleansing!L33="Excellent", P33 * 0.1, IF(PQ_Cleansing!L33="Good", P33 * 0.05, IF(PQ_Cleansing!L33="Average", P33 * 0.02, IF(PQ_Cleansing!L33="Poor", 0, 0))))</f>
        <v>11484.569000000001</v>
      </c>
      <c r="R33">
        <f>IFERROR(VALUE(SUBSTITUTE(SUBSTITUTE(PQ_Cleansing!I33, "$", ""), ",", "")), "")</f>
        <v>114845.69</v>
      </c>
    </row>
    <row r="34" spans="1:18" x14ac:dyDescent="0.25">
      <c r="A34" t="str">
        <f>PROPER(TRIM(CLEAN(RAW_DATA!A34)))</f>
        <v>Emp1032</v>
      </c>
      <c r="B34" t="str">
        <f>RAW_DATA!B34</f>
        <v>Charlie</v>
      </c>
      <c r="C34" t="str">
        <f>RAW_DATA!C34</f>
        <v>Brown</v>
      </c>
      <c r="D34">
        <f>RAW_DATA!D34</f>
        <v>40</v>
      </c>
      <c r="E34" t="str">
        <f>RAW_DATA!E34</f>
        <v>Finance-Florida</v>
      </c>
      <c r="F34" t="str">
        <f t="shared" si="0"/>
        <v>Finance</v>
      </c>
      <c r="G34" t="str">
        <f t="shared" si="1"/>
        <v>Florida</v>
      </c>
      <c r="P34">
        <f t="shared" si="2"/>
        <v>78072.820000000007</v>
      </c>
      <c r="Q34">
        <f>IF(PQ_Cleansing!L34="Excellent", P34 * 0.1, IF(PQ_Cleansing!L34="Good", P34 * 0.05, IF(PQ_Cleansing!L34="Average", P34 * 0.02, IF(PQ_Cleansing!L34="Poor", 0, 0))))</f>
        <v>1561.4564000000003</v>
      </c>
      <c r="R34">
        <f>IFERROR(VALUE(SUBSTITUTE(SUBSTITUTE(PQ_Cleansing!I34, "$", ""), ",", "")), "")</f>
        <v>78072.820000000007</v>
      </c>
    </row>
    <row r="35" spans="1:18" x14ac:dyDescent="0.25">
      <c r="A35" t="str">
        <f>PROPER(TRIM(CLEAN(RAW_DATA!A35)))</f>
        <v>Emp1033</v>
      </c>
      <c r="B35" t="str">
        <f>RAW_DATA!B35</f>
        <v>Grace</v>
      </c>
      <c r="C35" t="str">
        <f>RAW_DATA!C35</f>
        <v>Johnson</v>
      </c>
      <c r="D35">
        <f>RAW_DATA!D35</f>
        <v>25</v>
      </c>
      <c r="E35" t="str">
        <f>RAW_DATA!E35</f>
        <v>Finance-California</v>
      </c>
      <c r="F35" t="str">
        <f t="shared" si="0"/>
        <v>Finance</v>
      </c>
      <c r="G35" t="str">
        <f t="shared" si="1"/>
        <v>California</v>
      </c>
      <c r="P35">
        <f t="shared" si="2"/>
        <v>79610.52</v>
      </c>
      <c r="Q35">
        <f>IF(PQ_Cleansing!L35="Excellent", P35 * 0.1, IF(PQ_Cleansing!L35="Good", P35 * 0.05, IF(PQ_Cleansing!L35="Average", P35 * 0.02, IF(PQ_Cleansing!L35="Poor", 0, 0))))</f>
        <v>1592.2104000000002</v>
      </c>
      <c r="R35">
        <f>IFERROR(VALUE(SUBSTITUTE(SUBSTITUTE(PQ_Cleansing!I35, "$", ""), ",", "")), "")</f>
        <v>79610.52</v>
      </c>
    </row>
    <row r="36" spans="1:18" x14ac:dyDescent="0.25">
      <c r="A36" t="str">
        <f>PROPER(TRIM(CLEAN(RAW_DATA!A36)))</f>
        <v>Emp1034</v>
      </c>
      <c r="B36" t="str">
        <f>RAW_DATA!B36</f>
        <v>Heidi</v>
      </c>
      <c r="C36" t="str">
        <f>RAW_DATA!C36</f>
        <v>Miller</v>
      </c>
      <c r="D36">
        <f>RAW_DATA!D36</f>
        <v>30</v>
      </c>
      <c r="E36" t="str">
        <f>RAW_DATA!E36</f>
        <v>Admin-California</v>
      </c>
      <c r="F36" t="str">
        <f t="shared" si="0"/>
        <v>Admin</v>
      </c>
      <c r="G36" t="str">
        <f t="shared" si="1"/>
        <v>California</v>
      </c>
      <c r="P36">
        <f t="shared" si="2"/>
        <v>90542.62</v>
      </c>
      <c r="Q36">
        <f>IF(PQ_Cleansing!L36="Excellent", P36 * 0.1, IF(PQ_Cleansing!L36="Good", P36 * 0.05, IF(PQ_Cleansing!L36="Average", P36 * 0.02, IF(PQ_Cleansing!L36="Poor", 0, 0))))</f>
        <v>9054.2620000000006</v>
      </c>
      <c r="R36">
        <f>IFERROR(VALUE(SUBSTITUTE(SUBSTITUTE(PQ_Cleansing!I36, "$", ""), ",", "")), "")</f>
        <v>90542.62</v>
      </c>
    </row>
    <row r="37" spans="1:18" x14ac:dyDescent="0.25">
      <c r="A37" t="str">
        <f>PROPER(TRIM(CLEAN(RAW_DATA!A37)))</f>
        <v>Emp1035</v>
      </c>
      <c r="B37" t="str">
        <f>RAW_DATA!B37</f>
        <v>Frank</v>
      </c>
      <c r="C37" t="str">
        <f>RAW_DATA!C37</f>
        <v>Jones</v>
      </c>
      <c r="D37">
        <f>RAW_DATA!D37</f>
        <v>25</v>
      </c>
      <c r="E37" t="str">
        <f>RAW_DATA!E37</f>
        <v>Cloud Tech-Illinois</v>
      </c>
      <c r="F37" t="str">
        <f t="shared" si="0"/>
        <v>Cloud Tech</v>
      </c>
      <c r="G37" t="str">
        <f t="shared" si="1"/>
        <v>Illinois</v>
      </c>
      <c r="P37">
        <f t="shared" si="2"/>
        <v>114357.1</v>
      </c>
      <c r="Q37">
        <f>IF(PQ_Cleansing!L37="Excellent", P37 * 0.1, IF(PQ_Cleansing!L37="Good", P37 * 0.05, IF(PQ_Cleansing!L37="Average", P37 * 0.02, IF(PQ_Cleansing!L37="Poor", 0, 0))))</f>
        <v>11435.710000000001</v>
      </c>
      <c r="R37">
        <f>IFERROR(VALUE(SUBSTITUTE(SUBSTITUTE(PQ_Cleansing!I37, "$", ""), ",", "")), "")</f>
        <v>114357.1</v>
      </c>
    </row>
    <row r="38" spans="1:18" x14ac:dyDescent="0.25">
      <c r="A38" t="str">
        <f>PROPER(TRIM(CLEAN(RAW_DATA!A38)))</f>
        <v>Emp1036</v>
      </c>
      <c r="B38" t="str">
        <f>RAW_DATA!B38</f>
        <v>Alice</v>
      </c>
      <c r="C38" t="str">
        <f>RAW_DATA!C38</f>
        <v>Brown</v>
      </c>
      <c r="D38">
        <f>RAW_DATA!D38</f>
        <v>0</v>
      </c>
      <c r="E38" t="str">
        <f>RAW_DATA!E38</f>
        <v>Cloud Tech-New York</v>
      </c>
      <c r="F38" t="str">
        <f t="shared" si="0"/>
        <v>Cloud Tech</v>
      </c>
      <c r="G38" t="str">
        <f t="shared" si="1"/>
        <v>New York</v>
      </c>
      <c r="P38">
        <f t="shared" si="2"/>
        <v>54757.26</v>
      </c>
      <c r="Q38">
        <f>IF(PQ_Cleansing!L38="Excellent", P38 * 0.1, IF(PQ_Cleansing!L38="Good", P38 * 0.05, IF(PQ_Cleansing!L38="Average", P38 * 0.02, IF(PQ_Cleansing!L38="Poor", 0, 0))))</f>
        <v>0</v>
      </c>
      <c r="R38">
        <f>IFERROR(VALUE(SUBSTITUTE(SUBSTITUTE(PQ_Cleansing!I38, "$", ""), ",", "")), "")</f>
        <v>54757.26</v>
      </c>
    </row>
    <row r="39" spans="1:18" x14ac:dyDescent="0.25">
      <c r="A39" t="str">
        <f>PROPER(TRIM(CLEAN(RAW_DATA!A39)))</f>
        <v>Emp1037</v>
      </c>
      <c r="B39" t="str">
        <f>RAW_DATA!B39</f>
        <v>Grace</v>
      </c>
      <c r="C39" t="str">
        <f>RAW_DATA!C39</f>
        <v>Smith</v>
      </c>
      <c r="D39">
        <f>RAW_DATA!D39</f>
        <v>25</v>
      </c>
      <c r="E39" t="str">
        <f>RAW_DATA!E39</f>
        <v>Sales-New York</v>
      </c>
      <c r="F39" t="str">
        <f t="shared" si="0"/>
        <v>Sales</v>
      </c>
      <c r="G39" t="str">
        <f t="shared" si="1"/>
        <v>New York</v>
      </c>
      <c r="P39">
        <f t="shared" si="2"/>
        <v>52781.919999999998</v>
      </c>
      <c r="Q39">
        <f>IF(PQ_Cleansing!L39="Excellent", P39 * 0.1, IF(PQ_Cleansing!L39="Good", P39 * 0.05, IF(PQ_Cleansing!L39="Average", P39 * 0.02, IF(PQ_Cleansing!L39="Poor", 0, 0))))</f>
        <v>1055.6384</v>
      </c>
      <c r="R39">
        <f>IFERROR(VALUE(SUBSTITUTE(SUBSTITUTE(PQ_Cleansing!I39, "$", ""), ",", "")), "")</f>
        <v>52781.919999999998</v>
      </c>
    </row>
    <row r="40" spans="1:18" x14ac:dyDescent="0.25">
      <c r="A40" t="str">
        <f>PROPER(TRIM(CLEAN(RAW_DATA!A40)))</f>
        <v>Emp1038</v>
      </c>
      <c r="B40" t="str">
        <f>RAW_DATA!B40</f>
        <v>Frank</v>
      </c>
      <c r="C40" t="str">
        <f>RAW_DATA!C40</f>
        <v>Smith</v>
      </c>
      <c r="D40">
        <f>RAW_DATA!D40</f>
        <v>35</v>
      </c>
      <c r="E40" t="str">
        <f>RAW_DATA!E40</f>
        <v>Admin-Nevada</v>
      </c>
      <c r="F40" t="str">
        <f t="shared" si="0"/>
        <v>Admin</v>
      </c>
      <c r="G40" t="str">
        <f t="shared" si="1"/>
        <v>Nevada</v>
      </c>
      <c r="P40">
        <f t="shared" si="2"/>
        <v>66708.02</v>
      </c>
      <c r="Q40">
        <f>IF(PQ_Cleansing!L40="Excellent", P40 * 0.1, IF(PQ_Cleansing!L40="Good", P40 * 0.05, IF(PQ_Cleansing!L40="Average", P40 * 0.02, IF(PQ_Cleansing!L40="Poor", 0, 0))))</f>
        <v>3335.4010000000003</v>
      </c>
      <c r="R40">
        <f>IFERROR(VALUE(SUBSTITUTE(SUBSTITUTE(PQ_Cleansing!I40, "$", ""), ",", "")), "")</f>
        <v>66708.02</v>
      </c>
    </row>
    <row r="41" spans="1:18" x14ac:dyDescent="0.25">
      <c r="A41" t="str">
        <f>PROPER(TRIM(CLEAN(RAW_DATA!A41)))</f>
        <v>Emp1039</v>
      </c>
      <c r="B41" t="str">
        <f>RAW_DATA!B41</f>
        <v>Eva</v>
      </c>
      <c r="C41" t="str">
        <f>RAW_DATA!C41</f>
        <v>Williams</v>
      </c>
      <c r="D41">
        <f>RAW_DATA!D41</f>
        <v>40</v>
      </c>
      <c r="E41" t="str">
        <f>RAW_DATA!E41</f>
        <v>HR-Texas</v>
      </c>
      <c r="F41" t="str">
        <f t="shared" si="0"/>
        <v>HR</v>
      </c>
      <c r="G41" t="str">
        <f t="shared" si="1"/>
        <v>Texas</v>
      </c>
      <c r="P41">
        <f t="shared" si="2"/>
        <v>93481.15</v>
      </c>
      <c r="Q41">
        <f>IF(PQ_Cleansing!L41="Excellent", P41 * 0.1, IF(PQ_Cleansing!L41="Good", P41 * 0.05, IF(PQ_Cleansing!L41="Average", P41 * 0.02, IF(PQ_Cleansing!L41="Poor", 0, 0))))</f>
        <v>0</v>
      </c>
      <c r="R41">
        <f>IFERROR(VALUE(SUBSTITUTE(SUBSTITUTE(PQ_Cleansing!I41, "$", ""), ",", "")), "")</f>
        <v>93481.15</v>
      </c>
    </row>
    <row r="42" spans="1:18" x14ac:dyDescent="0.25">
      <c r="A42" t="str">
        <f>PROPER(TRIM(CLEAN(RAW_DATA!A42)))</f>
        <v>Emp1040</v>
      </c>
      <c r="B42" t="str">
        <f>RAW_DATA!B42</f>
        <v>Bob</v>
      </c>
      <c r="C42" t="str">
        <f>RAW_DATA!C42</f>
        <v>Williams</v>
      </c>
      <c r="D42">
        <f>RAW_DATA!D42</f>
        <v>25</v>
      </c>
      <c r="E42" t="str">
        <f>RAW_DATA!E42</f>
        <v>Sales-New York</v>
      </c>
      <c r="F42" t="str">
        <f t="shared" si="0"/>
        <v>Sales</v>
      </c>
      <c r="G42" t="str">
        <f t="shared" si="1"/>
        <v>New York</v>
      </c>
      <c r="P42">
        <f t="shared" si="2"/>
        <v>59271.96</v>
      </c>
      <c r="Q42">
        <f>IF(PQ_Cleansing!L42="Excellent", P42 * 0.1, IF(PQ_Cleansing!L42="Good", P42 * 0.05, IF(PQ_Cleansing!L42="Average", P42 * 0.02, IF(PQ_Cleansing!L42="Poor", 0, 0))))</f>
        <v>5927.1959999999999</v>
      </c>
      <c r="R42">
        <f>IFERROR(VALUE(SUBSTITUTE(SUBSTITUTE(PQ_Cleansing!I42, "$", ""), ",", "")), "")</f>
        <v>59271.96</v>
      </c>
    </row>
    <row r="43" spans="1:18" x14ac:dyDescent="0.25">
      <c r="A43" t="str">
        <f>PROPER(TRIM(CLEAN(RAW_DATA!A43)))</f>
        <v>Emp1041</v>
      </c>
      <c r="B43" t="str">
        <f>RAW_DATA!B43</f>
        <v>Bob</v>
      </c>
      <c r="C43" t="str">
        <f>RAW_DATA!C43</f>
        <v>Davis</v>
      </c>
      <c r="D43">
        <f>RAW_DATA!D43</f>
        <v>30</v>
      </c>
      <c r="E43" t="str">
        <f>RAW_DATA!E43</f>
        <v>HR-California</v>
      </c>
      <c r="F43" t="str">
        <f t="shared" si="0"/>
        <v>HR</v>
      </c>
      <c r="G43" t="str">
        <f t="shared" si="1"/>
        <v>California</v>
      </c>
      <c r="P43">
        <f t="shared" si="2"/>
        <v>108362.15</v>
      </c>
      <c r="Q43">
        <f>IF(PQ_Cleansing!L43="Excellent", P43 * 0.1, IF(PQ_Cleansing!L43="Good", P43 * 0.05, IF(PQ_Cleansing!L43="Average", P43 * 0.02, IF(PQ_Cleansing!L43="Poor", 0, 0))))</f>
        <v>10836.215</v>
      </c>
      <c r="R43">
        <f>IFERROR(VALUE(SUBSTITUTE(SUBSTITUTE(PQ_Cleansing!I43, "$", ""), ",", "")), "")</f>
        <v>108362.15</v>
      </c>
    </row>
    <row r="44" spans="1:18" x14ac:dyDescent="0.25">
      <c r="A44" t="str">
        <f>PROPER(TRIM(CLEAN(RAW_DATA!A44)))</f>
        <v>Emp1042</v>
      </c>
      <c r="B44" t="str">
        <f>RAW_DATA!B44</f>
        <v>Alice</v>
      </c>
      <c r="C44" t="str">
        <f>RAW_DATA!C44</f>
        <v>Johnson</v>
      </c>
      <c r="D44">
        <f>RAW_DATA!D44</f>
        <v>0</v>
      </c>
      <c r="E44" t="str">
        <f>RAW_DATA!E44</f>
        <v>HR-Nevada</v>
      </c>
      <c r="F44" t="str">
        <f t="shared" si="0"/>
        <v>HR</v>
      </c>
      <c r="G44" t="str">
        <f t="shared" si="1"/>
        <v>Nevada</v>
      </c>
      <c r="P44">
        <f t="shared" si="2"/>
        <v>59400.38</v>
      </c>
      <c r="Q44">
        <f>IF(PQ_Cleansing!L44="Excellent", P44 * 0.1, IF(PQ_Cleansing!L44="Good", P44 * 0.05, IF(PQ_Cleansing!L44="Average", P44 * 0.02, IF(PQ_Cleansing!L44="Poor", 0, 0))))</f>
        <v>1188.0075999999999</v>
      </c>
      <c r="R44">
        <f>IFERROR(VALUE(SUBSTITUTE(SUBSTITUTE(PQ_Cleansing!I44, "$", ""), ",", "")), "")</f>
        <v>59400.38</v>
      </c>
    </row>
    <row r="45" spans="1:18" x14ac:dyDescent="0.25">
      <c r="A45" t="str">
        <f>PROPER(TRIM(CLEAN(RAW_DATA!A45)))</f>
        <v>Emp1043</v>
      </c>
      <c r="B45" t="str">
        <f>RAW_DATA!B45</f>
        <v>Bob</v>
      </c>
      <c r="C45" t="str">
        <f>RAW_DATA!C45</f>
        <v>Garcia</v>
      </c>
      <c r="D45">
        <f>RAW_DATA!D45</f>
        <v>0</v>
      </c>
      <c r="E45" t="str">
        <f>RAW_DATA!E45</f>
        <v>Admin-California</v>
      </c>
      <c r="F45" t="str">
        <f t="shared" si="0"/>
        <v>Admin</v>
      </c>
      <c r="G45" t="str">
        <f t="shared" si="1"/>
        <v>California</v>
      </c>
      <c r="P45">
        <f t="shared" si="2"/>
        <v>64744.08</v>
      </c>
      <c r="Q45">
        <f>IF(PQ_Cleansing!L45="Excellent", P45 * 0.1, IF(PQ_Cleansing!L45="Good", P45 * 0.05, IF(PQ_Cleansing!L45="Average", P45 * 0.02, IF(PQ_Cleansing!L45="Poor", 0, 0))))</f>
        <v>6474.4080000000004</v>
      </c>
      <c r="R45">
        <f>IFERROR(VALUE(SUBSTITUTE(SUBSTITUTE(PQ_Cleansing!I45, "$", ""), ",", "")), "")</f>
        <v>64744.08</v>
      </c>
    </row>
    <row r="46" spans="1:18" x14ac:dyDescent="0.25">
      <c r="A46" t="str">
        <f>PROPER(TRIM(CLEAN(RAW_DATA!A46)))</f>
        <v>Emp1044</v>
      </c>
      <c r="B46" t="str">
        <f>RAW_DATA!B46</f>
        <v>Eva</v>
      </c>
      <c r="C46" t="str">
        <f>RAW_DATA!C46</f>
        <v>Brown</v>
      </c>
      <c r="D46">
        <f>RAW_DATA!D46</f>
        <v>0</v>
      </c>
      <c r="E46" t="str">
        <f>RAW_DATA!E46</f>
        <v>Finance-California</v>
      </c>
      <c r="F46" t="str">
        <f t="shared" si="0"/>
        <v>Finance</v>
      </c>
      <c r="G46" t="str">
        <f t="shared" si="1"/>
        <v>California</v>
      </c>
      <c r="P46">
        <f t="shared" si="2"/>
        <v>94399.91</v>
      </c>
      <c r="Q46">
        <f>IF(PQ_Cleansing!L46="Excellent", P46 * 0.1, IF(PQ_Cleansing!L46="Good", P46 * 0.05, IF(PQ_Cleansing!L46="Average", P46 * 0.02, IF(PQ_Cleansing!L46="Poor", 0, 0))))</f>
        <v>4719.9955</v>
      </c>
      <c r="R46">
        <f>IFERROR(VALUE(SUBSTITUTE(SUBSTITUTE(PQ_Cleansing!I46, "$", ""), ",", "")), "")</f>
        <v>94399.91</v>
      </c>
    </row>
    <row r="47" spans="1:18" x14ac:dyDescent="0.25">
      <c r="A47" t="str">
        <f>PROPER(TRIM(CLEAN(RAW_DATA!A47)))</f>
        <v>Emp1045</v>
      </c>
      <c r="B47" t="str">
        <f>RAW_DATA!B47</f>
        <v>Alice</v>
      </c>
      <c r="C47" t="str">
        <f>RAW_DATA!C47</f>
        <v>Brown</v>
      </c>
      <c r="D47">
        <f>RAW_DATA!D47</f>
        <v>25</v>
      </c>
      <c r="E47" t="str">
        <f>RAW_DATA!E47</f>
        <v>HR-New York</v>
      </c>
      <c r="F47" t="str">
        <f t="shared" si="0"/>
        <v>HR</v>
      </c>
      <c r="G47" t="str">
        <f t="shared" si="1"/>
        <v>New York</v>
      </c>
      <c r="P47">
        <f t="shared" si="2"/>
        <v>61310.74</v>
      </c>
      <c r="Q47">
        <f>IF(PQ_Cleansing!L47="Excellent", P47 * 0.1, IF(PQ_Cleansing!L47="Good", P47 * 0.05, IF(PQ_Cleansing!L47="Average", P47 * 0.02, IF(PQ_Cleansing!L47="Poor", 0, 0))))</f>
        <v>1226.2148</v>
      </c>
      <c r="R47">
        <f>IFERROR(VALUE(SUBSTITUTE(SUBSTITUTE(PQ_Cleansing!I47, "$", ""), ",", "")), "")</f>
        <v>61310.74</v>
      </c>
    </row>
    <row r="48" spans="1:18" x14ac:dyDescent="0.25">
      <c r="A48" t="str">
        <f>PROPER(TRIM(CLEAN(RAW_DATA!A48)))</f>
        <v>Emp1046</v>
      </c>
      <c r="B48" t="str">
        <f>RAW_DATA!B48</f>
        <v>Grace</v>
      </c>
      <c r="C48" t="str">
        <f>RAW_DATA!C48</f>
        <v>Garcia</v>
      </c>
      <c r="D48">
        <f>RAW_DATA!D48</f>
        <v>0</v>
      </c>
      <c r="E48" t="str">
        <f>RAW_DATA!E48</f>
        <v>Cloud Tech-Texas</v>
      </c>
      <c r="F48" t="str">
        <f t="shared" si="0"/>
        <v>Cloud Tech</v>
      </c>
      <c r="G48" t="str">
        <f t="shared" si="1"/>
        <v>Texas</v>
      </c>
      <c r="P48">
        <f t="shared" si="2"/>
        <v>98371.37</v>
      </c>
      <c r="Q48">
        <f>IF(PQ_Cleansing!L48="Excellent", P48 * 0.1, IF(PQ_Cleansing!L48="Good", P48 * 0.05, IF(PQ_Cleansing!L48="Average", P48 * 0.02, IF(PQ_Cleansing!L48="Poor", 0, 0))))</f>
        <v>9837.1370000000006</v>
      </c>
      <c r="R48">
        <f>IFERROR(VALUE(SUBSTITUTE(SUBSTITUTE(PQ_Cleansing!I48, "$", ""), ",", "")), "")</f>
        <v>98371.37</v>
      </c>
    </row>
    <row r="49" spans="1:18" x14ac:dyDescent="0.25">
      <c r="A49" t="str">
        <f>PROPER(TRIM(CLEAN(RAW_DATA!A49)))</f>
        <v>Emp1047</v>
      </c>
      <c r="B49" t="str">
        <f>RAW_DATA!B49</f>
        <v>Alice</v>
      </c>
      <c r="C49" t="str">
        <f>RAW_DATA!C49</f>
        <v>Davis</v>
      </c>
      <c r="D49">
        <f>RAW_DATA!D49</f>
        <v>35</v>
      </c>
      <c r="E49" t="str">
        <f>RAW_DATA!E49</f>
        <v>Sales-Illinois</v>
      </c>
      <c r="F49" t="str">
        <f t="shared" si="0"/>
        <v>Sales</v>
      </c>
      <c r="G49" t="str">
        <f t="shared" si="1"/>
        <v>Illinois</v>
      </c>
      <c r="P49">
        <f t="shared" si="2"/>
        <v>58921.19</v>
      </c>
      <c r="Q49">
        <f>IF(PQ_Cleansing!L49="Excellent", P49 * 0.1, IF(PQ_Cleansing!L49="Good", P49 * 0.05, IF(PQ_Cleansing!L49="Average", P49 * 0.02, IF(PQ_Cleansing!L49="Poor", 0, 0))))</f>
        <v>1178.4238</v>
      </c>
      <c r="R49">
        <f>IFERROR(VALUE(SUBSTITUTE(SUBSTITUTE(PQ_Cleansing!I49, "$", ""), ",", "")), "")</f>
        <v>58921.19</v>
      </c>
    </row>
    <row r="50" spans="1:18" x14ac:dyDescent="0.25">
      <c r="A50" t="str">
        <f>PROPER(TRIM(CLEAN(RAW_DATA!A50)))</f>
        <v>Emp1048</v>
      </c>
      <c r="B50" t="str">
        <f>RAW_DATA!B50</f>
        <v>Alice</v>
      </c>
      <c r="C50" t="str">
        <f>RAW_DATA!C50</f>
        <v>Miller</v>
      </c>
      <c r="D50">
        <f>RAW_DATA!D50</f>
        <v>35</v>
      </c>
      <c r="E50" t="str">
        <f>RAW_DATA!E50</f>
        <v>Admin-Nevada</v>
      </c>
      <c r="F50" t="str">
        <f t="shared" si="0"/>
        <v>Admin</v>
      </c>
      <c r="G50" t="str">
        <f t="shared" si="1"/>
        <v>Nevada</v>
      </c>
      <c r="P50">
        <f t="shared" si="2"/>
        <v>57195.55</v>
      </c>
      <c r="Q50">
        <f>IF(PQ_Cleansing!L50="Excellent", P50 * 0.1, IF(PQ_Cleansing!L50="Good", P50 * 0.05, IF(PQ_Cleansing!L50="Average", P50 * 0.02, IF(PQ_Cleansing!L50="Poor", 0, 0))))</f>
        <v>5719.5550000000003</v>
      </c>
      <c r="R50">
        <f>IFERROR(VALUE(SUBSTITUTE(SUBSTITUTE(PQ_Cleansing!I50, "$", ""), ",", "")), "")</f>
        <v>57195.55</v>
      </c>
    </row>
    <row r="51" spans="1:18" x14ac:dyDescent="0.25">
      <c r="A51" t="str">
        <f>PROPER(TRIM(CLEAN(RAW_DATA!A51)))</f>
        <v>Emp1049</v>
      </c>
      <c r="B51" t="str">
        <f>RAW_DATA!B51</f>
        <v>Grace</v>
      </c>
      <c r="C51" t="str">
        <f>RAW_DATA!C51</f>
        <v>Miller</v>
      </c>
      <c r="D51">
        <f>RAW_DATA!D51</f>
        <v>0</v>
      </c>
      <c r="E51" t="str">
        <f>RAW_DATA!E51</f>
        <v>DevOps-New York</v>
      </c>
      <c r="F51" t="str">
        <f t="shared" si="0"/>
        <v>DevOps</v>
      </c>
      <c r="G51" t="str">
        <f t="shared" si="1"/>
        <v>New York</v>
      </c>
      <c r="P51">
        <f t="shared" si="2"/>
        <v>61375.12</v>
      </c>
      <c r="Q51">
        <f>IF(PQ_Cleansing!L51="Excellent", P51 * 0.1, IF(PQ_Cleansing!L51="Good", P51 * 0.05, IF(PQ_Cleansing!L51="Average", P51 * 0.02, IF(PQ_Cleansing!L51="Poor", 0, 0))))</f>
        <v>6137.5120000000006</v>
      </c>
      <c r="R51">
        <f>IFERROR(VALUE(SUBSTITUTE(SUBSTITUTE(PQ_Cleansing!I51, "$", ""), ",", "")), "")</f>
        <v>61375.12</v>
      </c>
    </row>
    <row r="52" spans="1:18" x14ac:dyDescent="0.25">
      <c r="A52" t="str">
        <f>PROPER(TRIM(CLEAN(RAW_DATA!A52)))</f>
        <v>Emp1050</v>
      </c>
      <c r="B52" t="str">
        <f>RAW_DATA!B52</f>
        <v>Charlie</v>
      </c>
      <c r="C52" t="str">
        <f>RAW_DATA!C52</f>
        <v>Davis</v>
      </c>
      <c r="D52">
        <f>RAW_DATA!D52</f>
        <v>40</v>
      </c>
      <c r="E52" t="str">
        <f>RAW_DATA!E52</f>
        <v>Cloud Tech-New York</v>
      </c>
      <c r="F52" t="str">
        <f t="shared" si="0"/>
        <v>Cloud Tech</v>
      </c>
      <c r="G52" t="str">
        <f t="shared" si="1"/>
        <v>New York</v>
      </c>
      <c r="P52">
        <f t="shared" si="2"/>
        <v>104767.05</v>
      </c>
      <c r="Q52">
        <f>IF(PQ_Cleansing!L52="Excellent", P52 * 0.1, IF(PQ_Cleansing!L52="Good", P52 * 0.05, IF(PQ_Cleansing!L52="Average", P52 * 0.02, IF(PQ_Cleansing!L52="Poor", 0, 0))))</f>
        <v>10476.705000000002</v>
      </c>
      <c r="R52">
        <f>IFERROR(VALUE(SUBSTITUTE(SUBSTITUTE(PQ_Cleansing!I52, "$", ""), ",", "")), "")</f>
        <v>104767.05</v>
      </c>
    </row>
    <row r="53" spans="1:18" x14ac:dyDescent="0.25">
      <c r="A53" t="str">
        <f>PROPER(TRIM(CLEAN(RAW_DATA!A53)))</f>
        <v>Emp1051</v>
      </c>
      <c r="B53" t="str">
        <f>RAW_DATA!B53</f>
        <v>David</v>
      </c>
      <c r="C53" t="str">
        <f>RAW_DATA!C53</f>
        <v>Miller</v>
      </c>
      <c r="D53">
        <f>RAW_DATA!D53</f>
        <v>35</v>
      </c>
      <c r="E53" t="str">
        <f>RAW_DATA!E53</f>
        <v>Admin-Nevada</v>
      </c>
      <c r="F53" t="str">
        <f t="shared" si="0"/>
        <v>Admin</v>
      </c>
      <c r="G53" t="str">
        <f t="shared" si="1"/>
        <v>Nevada</v>
      </c>
      <c r="P53">
        <f t="shared" si="2"/>
        <v>111051.67</v>
      </c>
      <c r="Q53">
        <f>IF(PQ_Cleansing!L53="Excellent", P53 * 0.1, IF(PQ_Cleansing!L53="Good", P53 * 0.05, IF(PQ_Cleansing!L53="Average", P53 * 0.02, IF(PQ_Cleansing!L53="Poor", 0, 0))))</f>
        <v>5552.5835000000006</v>
      </c>
      <c r="R53">
        <f>IFERROR(VALUE(SUBSTITUTE(SUBSTITUTE(PQ_Cleansing!I53, "$", ""), ",", "")), "")</f>
        <v>111051.67</v>
      </c>
    </row>
    <row r="54" spans="1:18" x14ac:dyDescent="0.25">
      <c r="A54" t="str">
        <f>PROPER(TRIM(CLEAN(RAW_DATA!A54)))</f>
        <v>Emp1052</v>
      </c>
      <c r="B54" t="str">
        <f>RAW_DATA!B54</f>
        <v>David</v>
      </c>
      <c r="C54" t="str">
        <f>RAW_DATA!C54</f>
        <v>Williams</v>
      </c>
      <c r="D54">
        <f>RAW_DATA!D54</f>
        <v>30</v>
      </c>
      <c r="E54" t="str">
        <f>RAW_DATA!E54</f>
        <v>Finance-California</v>
      </c>
      <c r="F54" t="str">
        <f t="shared" si="0"/>
        <v>Finance</v>
      </c>
      <c r="G54" t="str">
        <f t="shared" si="1"/>
        <v>California</v>
      </c>
      <c r="P54">
        <f t="shared" si="2"/>
        <v>105674.18</v>
      </c>
      <c r="Q54">
        <f>IF(PQ_Cleansing!L54="Excellent", P54 * 0.1, IF(PQ_Cleansing!L54="Good", P54 * 0.05, IF(PQ_Cleansing!L54="Average", P54 * 0.02, IF(PQ_Cleansing!L54="Poor", 0, 0))))</f>
        <v>5283.7089999999998</v>
      </c>
      <c r="R54">
        <f>IFERROR(VALUE(SUBSTITUTE(SUBSTITUTE(PQ_Cleansing!I54, "$", ""), ",", "")), "")</f>
        <v>105674.18</v>
      </c>
    </row>
    <row r="55" spans="1:18" x14ac:dyDescent="0.25">
      <c r="A55" t="str">
        <f>PROPER(TRIM(CLEAN(RAW_DATA!A55)))</f>
        <v>Emp1053</v>
      </c>
      <c r="B55" t="str">
        <f>RAW_DATA!B55</f>
        <v>Alice</v>
      </c>
      <c r="C55" t="str">
        <f>RAW_DATA!C55</f>
        <v>Brown</v>
      </c>
      <c r="D55">
        <f>RAW_DATA!D55</f>
        <v>30</v>
      </c>
      <c r="E55" t="str">
        <f>RAW_DATA!E55</f>
        <v>Finance-California</v>
      </c>
      <c r="F55" t="str">
        <f t="shared" si="0"/>
        <v>Finance</v>
      </c>
      <c r="G55" t="str">
        <f t="shared" si="1"/>
        <v>California</v>
      </c>
      <c r="P55">
        <f t="shared" si="2"/>
        <v>54859.45</v>
      </c>
      <c r="Q55">
        <f>IF(PQ_Cleansing!L55="Excellent", P55 * 0.1, IF(PQ_Cleansing!L55="Good", P55 * 0.05, IF(PQ_Cleansing!L55="Average", P55 * 0.02, IF(PQ_Cleansing!L55="Poor", 0, 0))))</f>
        <v>1097.1890000000001</v>
      </c>
      <c r="R55">
        <f>IFERROR(VALUE(SUBSTITUTE(SUBSTITUTE(PQ_Cleansing!I55, "$", ""), ",", "")), "")</f>
        <v>54859.45</v>
      </c>
    </row>
    <row r="56" spans="1:18" x14ac:dyDescent="0.25">
      <c r="A56" t="str">
        <f>PROPER(TRIM(CLEAN(RAW_DATA!A56)))</f>
        <v>Emp1054</v>
      </c>
      <c r="B56" t="str">
        <f>RAW_DATA!B56</f>
        <v>Frank</v>
      </c>
      <c r="C56" t="str">
        <f>RAW_DATA!C56</f>
        <v>Davis</v>
      </c>
      <c r="D56">
        <f>RAW_DATA!D56</f>
        <v>0</v>
      </c>
      <c r="E56" t="str">
        <f>RAW_DATA!E56</f>
        <v>Finance-Nevada</v>
      </c>
      <c r="F56" t="str">
        <f t="shared" si="0"/>
        <v>Finance</v>
      </c>
      <c r="G56" t="str">
        <f t="shared" si="1"/>
        <v>Nevada</v>
      </c>
      <c r="P56">
        <f t="shared" si="2"/>
        <v>115746.6</v>
      </c>
      <c r="Q56">
        <f>IF(PQ_Cleansing!L56="Excellent", P56 * 0.1, IF(PQ_Cleansing!L56="Good", P56 * 0.05, IF(PQ_Cleansing!L56="Average", P56 * 0.02, IF(PQ_Cleansing!L56="Poor", 0, 0))))</f>
        <v>11574.660000000002</v>
      </c>
      <c r="R56">
        <f>IFERROR(VALUE(SUBSTITUTE(SUBSTITUTE(PQ_Cleansing!I56, "$", ""), ",", "")), "")</f>
        <v>115746.6</v>
      </c>
    </row>
    <row r="57" spans="1:18" x14ac:dyDescent="0.25">
      <c r="A57" t="str">
        <f>PROPER(TRIM(CLEAN(RAW_DATA!A57)))</f>
        <v>Emp1055</v>
      </c>
      <c r="B57" t="str">
        <f>RAW_DATA!B57</f>
        <v>Eva</v>
      </c>
      <c r="C57" t="str">
        <f>RAW_DATA!C57</f>
        <v>Brown</v>
      </c>
      <c r="D57">
        <f>RAW_DATA!D57</f>
        <v>30</v>
      </c>
      <c r="E57" t="str">
        <f>RAW_DATA!E57</f>
        <v>Sales-California</v>
      </c>
      <c r="F57" t="str">
        <f t="shared" si="0"/>
        <v>Sales</v>
      </c>
      <c r="G57" t="str">
        <f t="shared" si="1"/>
        <v>California</v>
      </c>
      <c r="P57">
        <f t="shared" si="2"/>
        <v>91759.99</v>
      </c>
      <c r="Q57">
        <f>IF(PQ_Cleansing!L57="Excellent", P57 * 0.1, IF(PQ_Cleansing!L57="Good", P57 * 0.05, IF(PQ_Cleansing!L57="Average", P57 * 0.02, IF(PQ_Cleansing!L57="Poor", 0, 0))))</f>
        <v>9175.9990000000016</v>
      </c>
      <c r="R57">
        <f>IFERROR(VALUE(SUBSTITUTE(SUBSTITUTE(PQ_Cleansing!I57, "$", ""), ",", "")), "")</f>
        <v>91759.99</v>
      </c>
    </row>
    <row r="58" spans="1:18" x14ac:dyDescent="0.25">
      <c r="A58" t="str">
        <f>PROPER(TRIM(CLEAN(RAW_DATA!A58)))</f>
        <v>Emp1056</v>
      </c>
      <c r="B58" t="str">
        <f>RAW_DATA!B58</f>
        <v>Frank</v>
      </c>
      <c r="C58" t="str">
        <f>RAW_DATA!C58</f>
        <v>Garcia</v>
      </c>
      <c r="D58">
        <f>RAW_DATA!D58</f>
        <v>40</v>
      </c>
      <c r="E58" t="str">
        <f>RAW_DATA!E58</f>
        <v>Sales-Illinois</v>
      </c>
      <c r="F58" t="str">
        <f t="shared" si="0"/>
        <v>Sales</v>
      </c>
      <c r="G58" t="str">
        <f t="shared" si="1"/>
        <v>Illinois</v>
      </c>
      <c r="P58">
        <f t="shared" si="2"/>
        <v>112965.33</v>
      </c>
      <c r="Q58">
        <f>IF(PQ_Cleansing!L58="Excellent", P58 * 0.1, IF(PQ_Cleansing!L58="Good", P58 * 0.05, IF(PQ_Cleansing!L58="Average", P58 * 0.02, IF(PQ_Cleansing!L58="Poor", 0, 0))))</f>
        <v>5648.2665000000006</v>
      </c>
      <c r="R58">
        <f>IFERROR(VALUE(SUBSTITUTE(SUBSTITUTE(PQ_Cleansing!I58, "$", ""), ",", "")), "")</f>
        <v>112965.33</v>
      </c>
    </row>
    <row r="59" spans="1:18" x14ac:dyDescent="0.25">
      <c r="A59" t="str">
        <f>PROPER(TRIM(CLEAN(RAW_DATA!A59)))</f>
        <v>Emp1057</v>
      </c>
      <c r="B59" t="str">
        <f>RAW_DATA!B59</f>
        <v>Alice</v>
      </c>
      <c r="C59" t="str">
        <f>RAW_DATA!C59</f>
        <v>Smith</v>
      </c>
      <c r="D59">
        <f>RAW_DATA!D59</f>
        <v>40</v>
      </c>
      <c r="E59" t="str">
        <f>RAW_DATA!E59</f>
        <v>Cloud Tech-Illinois</v>
      </c>
      <c r="F59" t="str">
        <f t="shared" si="0"/>
        <v>Cloud Tech</v>
      </c>
      <c r="G59" t="str">
        <f t="shared" si="1"/>
        <v>Illinois</v>
      </c>
      <c r="P59">
        <f t="shared" si="2"/>
        <v>100360.1</v>
      </c>
      <c r="Q59">
        <f>IF(PQ_Cleansing!L59="Excellent", P59 * 0.1, IF(PQ_Cleansing!L59="Good", P59 * 0.05, IF(PQ_Cleansing!L59="Average", P59 * 0.02, IF(PQ_Cleansing!L59="Poor", 0, 0))))</f>
        <v>10036.010000000002</v>
      </c>
      <c r="R59">
        <f>IFERROR(VALUE(SUBSTITUTE(SUBSTITUTE(PQ_Cleansing!I59, "$", ""), ",", "")), "")</f>
        <v>100360.1</v>
      </c>
    </row>
    <row r="60" spans="1:18" x14ac:dyDescent="0.25">
      <c r="A60" t="str">
        <f>PROPER(TRIM(CLEAN(RAW_DATA!A60)))</f>
        <v>Emp1058</v>
      </c>
      <c r="B60" t="str">
        <f>RAW_DATA!B60</f>
        <v>David</v>
      </c>
      <c r="C60" t="str">
        <f>RAW_DATA!C60</f>
        <v>Williams</v>
      </c>
      <c r="D60">
        <f>RAW_DATA!D60</f>
        <v>35</v>
      </c>
      <c r="E60" t="str">
        <f>RAW_DATA!E60</f>
        <v>Finance-Texas</v>
      </c>
      <c r="F60" t="str">
        <f t="shared" si="0"/>
        <v>Finance</v>
      </c>
      <c r="G60" t="str">
        <f t="shared" si="1"/>
        <v>Texas</v>
      </c>
      <c r="P60">
        <f t="shared" si="2"/>
        <v>93620.88</v>
      </c>
      <c r="Q60">
        <f>IF(PQ_Cleansing!L60="Excellent", P60 * 0.1, IF(PQ_Cleansing!L60="Good", P60 * 0.05, IF(PQ_Cleansing!L60="Average", P60 * 0.02, IF(PQ_Cleansing!L60="Poor", 0, 0))))</f>
        <v>4681.0440000000008</v>
      </c>
      <c r="R60">
        <f>IFERROR(VALUE(SUBSTITUTE(SUBSTITUTE(PQ_Cleansing!I60, "$", ""), ",", "")), "")</f>
        <v>93620.88</v>
      </c>
    </row>
    <row r="61" spans="1:18" x14ac:dyDescent="0.25">
      <c r="A61" t="str">
        <f>PROPER(TRIM(CLEAN(RAW_DATA!A61)))</f>
        <v>Emp1059</v>
      </c>
      <c r="B61" t="str">
        <f>RAW_DATA!B61</f>
        <v>Bob</v>
      </c>
      <c r="C61" t="str">
        <f>RAW_DATA!C61</f>
        <v>Jones</v>
      </c>
      <c r="D61">
        <f>RAW_DATA!D61</f>
        <v>35</v>
      </c>
      <c r="E61" t="str">
        <f>RAW_DATA!E61</f>
        <v>Sales-California</v>
      </c>
      <c r="F61" t="str">
        <f t="shared" si="0"/>
        <v>Sales</v>
      </c>
      <c r="G61" t="str">
        <f t="shared" si="1"/>
        <v>California</v>
      </c>
      <c r="P61">
        <f t="shared" si="2"/>
        <v>72832.800000000003</v>
      </c>
      <c r="Q61">
        <f>IF(PQ_Cleansing!L61="Excellent", P61 * 0.1, IF(PQ_Cleansing!L61="Good", P61 * 0.05, IF(PQ_Cleansing!L61="Average", P61 * 0.02, IF(PQ_Cleansing!L61="Poor", 0, 0))))</f>
        <v>7283.2800000000007</v>
      </c>
      <c r="R61">
        <f>IFERROR(VALUE(SUBSTITUTE(SUBSTITUTE(PQ_Cleansing!I61, "$", ""), ",", "")), "")</f>
        <v>72832.800000000003</v>
      </c>
    </row>
    <row r="62" spans="1:18" x14ac:dyDescent="0.25">
      <c r="A62" t="str">
        <f>PROPER(TRIM(CLEAN(RAW_DATA!A62)))</f>
        <v>Emp1060</v>
      </c>
      <c r="B62" t="str">
        <f>RAW_DATA!B62</f>
        <v>Charlie</v>
      </c>
      <c r="C62" t="str">
        <f>RAW_DATA!C62</f>
        <v>Williams</v>
      </c>
      <c r="D62">
        <f>RAW_DATA!D62</f>
        <v>30</v>
      </c>
      <c r="E62" t="str">
        <f>RAW_DATA!E62</f>
        <v>Finance-Nevada</v>
      </c>
      <c r="F62" t="str">
        <f t="shared" si="0"/>
        <v>Finance</v>
      </c>
      <c r="G62" t="str">
        <f t="shared" si="1"/>
        <v>Nevada</v>
      </c>
      <c r="P62">
        <f t="shared" si="2"/>
        <v>102369.42</v>
      </c>
      <c r="Q62">
        <f>IF(PQ_Cleansing!L62="Excellent", P62 * 0.1, IF(PQ_Cleansing!L62="Good", P62 * 0.05, IF(PQ_Cleansing!L62="Average", P62 * 0.02, IF(PQ_Cleansing!L62="Poor", 0, 0))))</f>
        <v>2047.3884</v>
      </c>
      <c r="R62">
        <f>IFERROR(VALUE(SUBSTITUTE(SUBSTITUTE(PQ_Cleansing!I62, "$", ""), ",", "")), "")</f>
        <v>102369.42</v>
      </c>
    </row>
    <row r="63" spans="1:18" x14ac:dyDescent="0.25">
      <c r="A63" t="str">
        <f>PROPER(TRIM(CLEAN(RAW_DATA!A63)))</f>
        <v>Emp1061</v>
      </c>
      <c r="B63" t="str">
        <f>RAW_DATA!B63</f>
        <v>Eva</v>
      </c>
      <c r="C63" t="str">
        <f>RAW_DATA!C63</f>
        <v>Davis</v>
      </c>
      <c r="D63">
        <f>RAW_DATA!D63</f>
        <v>40</v>
      </c>
      <c r="E63" t="str">
        <f>RAW_DATA!E63</f>
        <v>Sales-Texas</v>
      </c>
      <c r="F63" t="str">
        <f t="shared" si="0"/>
        <v>Sales</v>
      </c>
      <c r="G63" t="str">
        <f t="shared" si="1"/>
        <v>Texas</v>
      </c>
      <c r="P63">
        <f t="shared" si="2"/>
        <v>64712.79</v>
      </c>
      <c r="Q63">
        <f>IF(PQ_Cleansing!L63="Excellent", P63 * 0.1, IF(PQ_Cleansing!L63="Good", P63 * 0.05, IF(PQ_Cleansing!L63="Average", P63 * 0.02, IF(PQ_Cleansing!L63="Poor", 0, 0))))</f>
        <v>6471.2790000000005</v>
      </c>
      <c r="R63">
        <f>IFERROR(VALUE(SUBSTITUTE(SUBSTITUTE(PQ_Cleansing!I63, "$", ""), ",", "")), "")</f>
        <v>64712.79</v>
      </c>
    </row>
    <row r="64" spans="1:18" x14ac:dyDescent="0.25">
      <c r="A64" t="str">
        <f>PROPER(TRIM(CLEAN(RAW_DATA!A64)))</f>
        <v>Emp1062</v>
      </c>
      <c r="B64" t="str">
        <f>RAW_DATA!B64</f>
        <v>Frank</v>
      </c>
      <c r="C64" t="str">
        <f>RAW_DATA!C64</f>
        <v>Jones</v>
      </c>
      <c r="D64">
        <f>RAW_DATA!D64</f>
        <v>40</v>
      </c>
      <c r="E64" t="str">
        <f>RAW_DATA!E64</f>
        <v>Finance-Florida</v>
      </c>
      <c r="F64" t="str">
        <f t="shared" si="0"/>
        <v>Finance</v>
      </c>
      <c r="G64" t="str">
        <f t="shared" si="1"/>
        <v>Florida</v>
      </c>
      <c r="P64">
        <f t="shared" si="2"/>
        <v>85782.18</v>
      </c>
      <c r="Q64">
        <f>IF(PQ_Cleansing!L64="Excellent", P64 * 0.1, IF(PQ_Cleansing!L64="Good", P64 * 0.05, IF(PQ_Cleansing!L64="Average", P64 * 0.02, IF(PQ_Cleansing!L64="Poor", 0, 0))))</f>
        <v>8578.2179999999989</v>
      </c>
      <c r="R64">
        <f>IFERROR(VALUE(SUBSTITUTE(SUBSTITUTE(PQ_Cleansing!I64, "$", ""), ",", "")), "")</f>
        <v>85782.18</v>
      </c>
    </row>
    <row r="65" spans="1:18" x14ac:dyDescent="0.25">
      <c r="A65" t="str">
        <f>PROPER(TRIM(CLEAN(RAW_DATA!A65)))</f>
        <v>Emp1063</v>
      </c>
      <c r="B65" t="str">
        <f>RAW_DATA!B65</f>
        <v>Charlie</v>
      </c>
      <c r="C65" t="str">
        <f>RAW_DATA!C65</f>
        <v>Smith</v>
      </c>
      <c r="D65">
        <f>RAW_DATA!D65</f>
        <v>25</v>
      </c>
      <c r="E65" t="str">
        <f>RAW_DATA!E65</f>
        <v>HR-Illinois</v>
      </c>
      <c r="F65" t="str">
        <f t="shared" si="0"/>
        <v>HR</v>
      </c>
      <c r="G65" t="str">
        <f t="shared" si="1"/>
        <v>Illinois</v>
      </c>
      <c r="P65">
        <f t="shared" si="2"/>
        <v>93348.26</v>
      </c>
      <c r="Q65">
        <f>IF(PQ_Cleansing!L65="Excellent", P65 * 0.1, IF(PQ_Cleansing!L65="Good", P65 * 0.05, IF(PQ_Cleansing!L65="Average", P65 * 0.02, IF(PQ_Cleansing!L65="Poor", 0, 0))))</f>
        <v>0</v>
      </c>
      <c r="R65">
        <f>IFERROR(VALUE(SUBSTITUTE(SUBSTITUTE(PQ_Cleansing!I65, "$", ""), ",", "")), "")</f>
        <v>93348.26</v>
      </c>
    </row>
    <row r="66" spans="1:18" x14ac:dyDescent="0.25">
      <c r="A66" t="str">
        <f>PROPER(TRIM(CLEAN(RAW_DATA!A66)))</f>
        <v>Emp1064</v>
      </c>
      <c r="B66" t="str">
        <f>RAW_DATA!B66</f>
        <v>David</v>
      </c>
      <c r="C66" t="str">
        <f>RAW_DATA!C66</f>
        <v>Davis</v>
      </c>
      <c r="D66">
        <f>RAW_DATA!D66</f>
        <v>35</v>
      </c>
      <c r="E66" t="str">
        <f>RAW_DATA!E66</f>
        <v>Admin-New York</v>
      </c>
      <c r="F66" t="str">
        <f t="shared" si="0"/>
        <v>Admin</v>
      </c>
      <c r="G66" t="str">
        <f t="shared" si="1"/>
        <v>New York</v>
      </c>
      <c r="P66">
        <f t="shared" si="2"/>
        <v>53234.96</v>
      </c>
      <c r="Q66">
        <f>IF(PQ_Cleansing!L66="Excellent", P66 * 0.1, IF(PQ_Cleansing!L66="Good", P66 * 0.05, IF(PQ_Cleansing!L66="Average", P66 * 0.02, IF(PQ_Cleansing!L66="Poor", 0, 0))))</f>
        <v>2661.748</v>
      </c>
      <c r="R66">
        <f>IFERROR(VALUE(SUBSTITUTE(SUBSTITUTE(PQ_Cleansing!I66, "$", ""), ",", "")), "")</f>
        <v>53234.96</v>
      </c>
    </row>
    <row r="67" spans="1:18" x14ac:dyDescent="0.25">
      <c r="A67" t="str">
        <f>PROPER(TRIM(CLEAN(RAW_DATA!A67)))</f>
        <v>Emp1065</v>
      </c>
      <c r="B67" t="str">
        <f>RAW_DATA!B67</f>
        <v>Bob</v>
      </c>
      <c r="C67" t="str">
        <f>RAW_DATA!C67</f>
        <v>Johnson</v>
      </c>
      <c r="D67">
        <f>RAW_DATA!D67</f>
        <v>40</v>
      </c>
      <c r="E67" t="str">
        <f>RAW_DATA!E67</f>
        <v>Finance-Nevada</v>
      </c>
      <c r="F67" t="str">
        <f t="shared" ref="F67:F130" si="3">LEFT(E67, FIND("-", E67) - 1)</f>
        <v>Finance</v>
      </c>
      <c r="G67" t="str">
        <f t="shared" ref="G67:G130" si="4">RIGHT(E67, LEN(E67) - FIND("-",E67))</f>
        <v>Nevada</v>
      </c>
      <c r="P67">
        <f t="shared" ref="P67:P130" si="5">IF(ISNUMBER(R67), R67, AVERAGEIF($R$2:$R$1000, "&gt;0"))</f>
        <v>100284.21</v>
      </c>
      <c r="Q67">
        <f>IF(PQ_Cleansing!L67="Excellent", P67 * 0.1, IF(PQ_Cleansing!L67="Good", P67 * 0.05, IF(PQ_Cleansing!L67="Average", P67 * 0.02, IF(PQ_Cleansing!L67="Poor", 0, 0))))</f>
        <v>10028.421000000002</v>
      </c>
      <c r="R67">
        <f>IFERROR(VALUE(SUBSTITUTE(SUBSTITUTE(PQ_Cleansing!I67, "$", ""), ",", "")), "")</f>
        <v>100284.21</v>
      </c>
    </row>
    <row r="68" spans="1:18" x14ac:dyDescent="0.25">
      <c r="A68" t="str">
        <f>PROPER(TRIM(CLEAN(RAW_DATA!A68)))</f>
        <v>Emp1066</v>
      </c>
      <c r="B68" t="str">
        <f>RAW_DATA!B68</f>
        <v>Grace</v>
      </c>
      <c r="C68" t="str">
        <f>RAW_DATA!C68</f>
        <v>Brown</v>
      </c>
      <c r="D68">
        <f>RAW_DATA!D68</f>
        <v>30</v>
      </c>
      <c r="E68" t="str">
        <f>RAW_DATA!E68</f>
        <v>Admin-Nevada</v>
      </c>
      <c r="F68" t="str">
        <f t="shared" si="3"/>
        <v>Admin</v>
      </c>
      <c r="G68" t="str">
        <f t="shared" si="4"/>
        <v>Nevada</v>
      </c>
      <c r="P68">
        <f t="shared" si="5"/>
        <v>112486.19</v>
      </c>
      <c r="Q68">
        <f>IF(PQ_Cleansing!L68="Excellent", P68 * 0.1, IF(PQ_Cleansing!L68="Good", P68 * 0.05, IF(PQ_Cleansing!L68="Average", P68 * 0.02, IF(PQ_Cleansing!L68="Poor", 0, 0))))</f>
        <v>11248.619000000001</v>
      </c>
      <c r="R68">
        <f>IFERROR(VALUE(SUBSTITUTE(SUBSTITUTE(PQ_Cleansing!I68, "$", ""), ",", "")), "")</f>
        <v>112486.19</v>
      </c>
    </row>
    <row r="69" spans="1:18" x14ac:dyDescent="0.25">
      <c r="A69" t="str">
        <f>PROPER(TRIM(CLEAN(RAW_DATA!A69)))</f>
        <v>Emp1067</v>
      </c>
      <c r="B69" t="str">
        <f>RAW_DATA!B69</f>
        <v>Bob</v>
      </c>
      <c r="C69" t="str">
        <f>RAW_DATA!C69</f>
        <v>Smith</v>
      </c>
      <c r="D69">
        <f>RAW_DATA!D69</f>
        <v>40</v>
      </c>
      <c r="E69" t="str">
        <f>RAW_DATA!E69</f>
        <v>Admin-New York</v>
      </c>
      <c r="F69" t="str">
        <f t="shared" si="3"/>
        <v>Admin</v>
      </c>
      <c r="G69" t="str">
        <f t="shared" si="4"/>
        <v>New York</v>
      </c>
      <c r="P69">
        <f t="shared" si="5"/>
        <v>82518.490000000005</v>
      </c>
      <c r="Q69">
        <f>IF(PQ_Cleansing!L69="Excellent", P69 * 0.1, IF(PQ_Cleansing!L69="Good", P69 * 0.05, IF(PQ_Cleansing!L69="Average", P69 * 0.02, IF(PQ_Cleansing!L69="Poor", 0, 0))))</f>
        <v>0</v>
      </c>
      <c r="R69">
        <f>IFERROR(VALUE(SUBSTITUTE(SUBSTITUTE(PQ_Cleansing!I69, "$", ""), ",", "")), "")</f>
        <v>82518.490000000005</v>
      </c>
    </row>
    <row r="70" spans="1:18" x14ac:dyDescent="0.25">
      <c r="A70" t="str">
        <f>PROPER(TRIM(CLEAN(RAW_DATA!A70)))</f>
        <v>Emp1068</v>
      </c>
      <c r="B70" t="str">
        <f>RAW_DATA!B70</f>
        <v>Bob</v>
      </c>
      <c r="C70" t="str">
        <f>RAW_DATA!C70</f>
        <v>Brown</v>
      </c>
      <c r="D70">
        <f>RAW_DATA!D70</f>
        <v>40</v>
      </c>
      <c r="E70" t="str">
        <f>RAW_DATA!E70</f>
        <v>Admin-Florida</v>
      </c>
      <c r="F70" t="str">
        <f t="shared" si="3"/>
        <v>Admin</v>
      </c>
      <c r="G70" t="str">
        <f t="shared" si="4"/>
        <v>Florida</v>
      </c>
      <c r="P70">
        <f t="shared" si="5"/>
        <v>119152.47</v>
      </c>
      <c r="Q70">
        <f>IF(PQ_Cleansing!L70="Excellent", P70 * 0.1, IF(PQ_Cleansing!L70="Good", P70 * 0.05, IF(PQ_Cleansing!L70="Average", P70 * 0.02, IF(PQ_Cleansing!L70="Poor", 0, 0))))</f>
        <v>0</v>
      </c>
      <c r="R70">
        <f>IFERROR(VALUE(SUBSTITUTE(SUBSTITUTE(PQ_Cleansing!I70, "$", ""), ",", "")), "")</f>
        <v>119152.47</v>
      </c>
    </row>
    <row r="71" spans="1:18" x14ac:dyDescent="0.25">
      <c r="A71" t="str">
        <f>PROPER(TRIM(CLEAN(RAW_DATA!A71)))</f>
        <v>Emp1069</v>
      </c>
      <c r="B71" t="str">
        <f>RAW_DATA!B71</f>
        <v>Heidi</v>
      </c>
      <c r="C71" t="str">
        <f>RAW_DATA!C71</f>
        <v>Miller</v>
      </c>
      <c r="D71">
        <f>RAW_DATA!D71</f>
        <v>0</v>
      </c>
      <c r="E71" t="str">
        <f>RAW_DATA!E71</f>
        <v>DevOps-Illinois</v>
      </c>
      <c r="F71" t="str">
        <f t="shared" si="3"/>
        <v>DevOps</v>
      </c>
      <c r="G71" t="str">
        <f t="shared" si="4"/>
        <v>Illinois</v>
      </c>
      <c r="P71">
        <f t="shared" si="5"/>
        <v>113479.83</v>
      </c>
      <c r="Q71">
        <f>IF(PQ_Cleansing!L71="Excellent", P71 * 0.1, IF(PQ_Cleansing!L71="Good", P71 * 0.05, IF(PQ_Cleansing!L71="Average", P71 * 0.02, IF(PQ_Cleansing!L71="Poor", 0, 0))))</f>
        <v>5673.9915000000001</v>
      </c>
      <c r="R71">
        <f>IFERROR(VALUE(SUBSTITUTE(SUBSTITUTE(PQ_Cleansing!I71, "$", ""), ",", "")), "")</f>
        <v>113479.83</v>
      </c>
    </row>
    <row r="72" spans="1:18" x14ac:dyDescent="0.25">
      <c r="A72" t="str">
        <f>PROPER(TRIM(CLEAN(RAW_DATA!A72)))</f>
        <v>Emp1070</v>
      </c>
      <c r="B72" t="str">
        <f>RAW_DATA!B72</f>
        <v>Charlie</v>
      </c>
      <c r="C72" t="str">
        <f>RAW_DATA!C72</f>
        <v>Johnson</v>
      </c>
      <c r="D72">
        <f>RAW_DATA!D72</f>
        <v>40</v>
      </c>
      <c r="E72" t="str">
        <f>RAW_DATA!E72</f>
        <v>Finance-California</v>
      </c>
      <c r="F72" t="str">
        <f t="shared" si="3"/>
        <v>Finance</v>
      </c>
      <c r="G72" t="str">
        <f t="shared" si="4"/>
        <v>California</v>
      </c>
      <c r="P72">
        <f t="shared" si="5"/>
        <v>94636.3</v>
      </c>
      <c r="Q72">
        <f>IF(PQ_Cleansing!L72="Excellent", P72 * 0.1, IF(PQ_Cleansing!L72="Good", P72 * 0.05, IF(PQ_Cleansing!L72="Average", P72 * 0.02, IF(PQ_Cleansing!L72="Poor", 0, 0))))</f>
        <v>0</v>
      </c>
      <c r="R72">
        <f>IFERROR(VALUE(SUBSTITUTE(SUBSTITUTE(PQ_Cleansing!I72, "$", ""), ",", "")), "")</f>
        <v>94636.3</v>
      </c>
    </row>
    <row r="73" spans="1:18" x14ac:dyDescent="0.25">
      <c r="A73" t="str">
        <f>PROPER(TRIM(CLEAN(RAW_DATA!A73)))</f>
        <v>Emp1071</v>
      </c>
      <c r="B73" t="str">
        <f>RAW_DATA!B73</f>
        <v>Heidi</v>
      </c>
      <c r="C73" t="str">
        <f>RAW_DATA!C73</f>
        <v>Johnson</v>
      </c>
      <c r="D73">
        <f>RAW_DATA!D73</f>
        <v>30</v>
      </c>
      <c r="E73" t="str">
        <f>RAW_DATA!E73</f>
        <v>HR-Florida</v>
      </c>
      <c r="F73" t="str">
        <f t="shared" si="3"/>
        <v>HR</v>
      </c>
      <c r="G73" t="str">
        <f t="shared" si="4"/>
        <v>Florida</v>
      </c>
      <c r="P73">
        <f t="shared" si="5"/>
        <v>70000.97</v>
      </c>
      <c r="Q73">
        <f>IF(PQ_Cleansing!L73="Excellent", P73 * 0.1, IF(PQ_Cleansing!L73="Good", P73 * 0.05, IF(PQ_Cleansing!L73="Average", P73 * 0.02, IF(PQ_Cleansing!L73="Poor", 0, 0))))</f>
        <v>1400.0194000000001</v>
      </c>
      <c r="R73">
        <f>IFERROR(VALUE(SUBSTITUTE(SUBSTITUTE(PQ_Cleansing!I73, "$", ""), ",", "")), "")</f>
        <v>70000.97</v>
      </c>
    </row>
    <row r="74" spans="1:18" x14ac:dyDescent="0.25">
      <c r="A74" t="str">
        <f>PROPER(TRIM(CLEAN(RAW_DATA!A74)))</f>
        <v>Emp1072</v>
      </c>
      <c r="B74" t="str">
        <f>RAW_DATA!B74</f>
        <v>Frank</v>
      </c>
      <c r="C74" t="str">
        <f>RAW_DATA!C74</f>
        <v>Smith</v>
      </c>
      <c r="D74">
        <f>RAW_DATA!D74</f>
        <v>0</v>
      </c>
      <c r="E74" t="str">
        <f>RAW_DATA!E74</f>
        <v>Cloud Tech-New York</v>
      </c>
      <c r="F74" t="str">
        <f t="shared" si="3"/>
        <v>Cloud Tech</v>
      </c>
      <c r="G74" t="str">
        <f t="shared" si="4"/>
        <v>New York</v>
      </c>
      <c r="P74">
        <f t="shared" si="5"/>
        <v>76812.47</v>
      </c>
      <c r="Q74">
        <f>IF(PQ_Cleansing!L74="Excellent", P74 * 0.1, IF(PQ_Cleansing!L74="Good", P74 * 0.05, IF(PQ_Cleansing!L74="Average", P74 * 0.02, IF(PQ_Cleansing!L74="Poor", 0, 0))))</f>
        <v>0</v>
      </c>
      <c r="R74">
        <f>IFERROR(VALUE(SUBSTITUTE(SUBSTITUTE(PQ_Cleansing!I74, "$", ""), ",", "")), "")</f>
        <v>76812.47</v>
      </c>
    </row>
    <row r="75" spans="1:18" x14ac:dyDescent="0.25">
      <c r="A75" t="str">
        <f>PROPER(TRIM(CLEAN(RAW_DATA!A75)))</f>
        <v>Emp1073</v>
      </c>
      <c r="B75" t="str">
        <f>RAW_DATA!B75</f>
        <v>David</v>
      </c>
      <c r="C75" t="str">
        <f>RAW_DATA!C75</f>
        <v>Johnson</v>
      </c>
      <c r="D75">
        <f>RAW_DATA!D75</f>
        <v>25</v>
      </c>
      <c r="E75" t="str">
        <f>RAW_DATA!E75</f>
        <v>Finance-Florida</v>
      </c>
      <c r="F75" t="str">
        <f t="shared" si="3"/>
        <v>Finance</v>
      </c>
      <c r="G75" t="str">
        <f t="shared" si="4"/>
        <v>Florida</v>
      </c>
      <c r="P75">
        <f t="shared" si="5"/>
        <v>82614.7</v>
      </c>
      <c r="Q75">
        <f>IF(PQ_Cleansing!L75="Excellent", P75 * 0.1, IF(PQ_Cleansing!L75="Good", P75 * 0.05, IF(PQ_Cleansing!L75="Average", P75 * 0.02, IF(PQ_Cleansing!L75="Poor", 0, 0))))</f>
        <v>1652.2939999999999</v>
      </c>
      <c r="R75">
        <f>IFERROR(VALUE(SUBSTITUTE(SUBSTITUTE(PQ_Cleansing!I75, "$", ""), ",", "")), "")</f>
        <v>82614.7</v>
      </c>
    </row>
    <row r="76" spans="1:18" x14ac:dyDescent="0.25">
      <c r="A76" t="str">
        <f>PROPER(TRIM(CLEAN(RAW_DATA!A76)))</f>
        <v>Emp1074</v>
      </c>
      <c r="B76" t="str">
        <f>RAW_DATA!B76</f>
        <v>Grace</v>
      </c>
      <c r="C76" t="str">
        <f>RAW_DATA!C76</f>
        <v>Jones</v>
      </c>
      <c r="D76">
        <f>RAW_DATA!D76</f>
        <v>40</v>
      </c>
      <c r="E76" t="str">
        <f>RAW_DATA!E76</f>
        <v>Sales-Nevada</v>
      </c>
      <c r="F76" t="str">
        <f t="shared" si="3"/>
        <v>Sales</v>
      </c>
      <c r="G76" t="str">
        <f t="shared" si="4"/>
        <v>Nevada</v>
      </c>
      <c r="P76">
        <f t="shared" si="5"/>
        <v>111645.97</v>
      </c>
      <c r="Q76">
        <f>IF(PQ_Cleansing!L76="Excellent", P76 * 0.1, IF(PQ_Cleansing!L76="Good", P76 * 0.05, IF(PQ_Cleansing!L76="Average", P76 * 0.02, IF(PQ_Cleansing!L76="Poor", 0, 0))))</f>
        <v>5582.2985000000008</v>
      </c>
      <c r="R76">
        <f>IFERROR(VALUE(SUBSTITUTE(SUBSTITUTE(PQ_Cleansing!I76, "$", ""), ",", "")), "")</f>
        <v>111645.97</v>
      </c>
    </row>
    <row r="77" spans="1:18" x14ac:dyDescent="0.25">
      <c r="A77" t="str">
        <f>PROPER(TRIM(CLEAN(RAW_DATA!A77)))</f>
        <v>Emp1075</v>
      </c>
      <c r="B77" t="str">
        <f>RAW_DATA!B77</f>
        <v>Heidi</v>
      </c>
      <c r="C77" t="str">
        <f>RAW_DATA!C77</f>
        <v>Johnson</v>
      </c>
      <c r="D77">
        <f>RAW_DATA!D77</f>
        <v>25</v>
      </c>
      <c r="E77" t="str">
        <f>RAW_DATA!E77</f>
        <v>HR-California</v>
      </c>
      <c r="F77" t="str">
        <f t="shared" si="3"/>
        <v>HR</v>
      </c>
      <c r="G77" t="str">
        <f t="shared" si="4"/>
        <v>California</v>
      </c>
      <c r="P77">
        <f t="shared" si="5"/>
        <v>112414.91</v>
      </c>
      <c r="Q77">
        <f>IF(PQ_Cleansing!L77="Excellent", P77 * 0.1, IF(PQ_Cleansing!L77="Good", P77 * 0.05, IF(PQ_Cleansing!L77="Average", P77 * 0.02, IF(PQ_Cleansing!L77="Poor", 0, 0))))</f>
        <v>5620.7455000000009</v>
      </c>
      <c r="R77">
        <f>IFERROR(VALUE(SUBSTITUTE(SUBSTITUTE(PQ_Cleansing!I77, "$", ""), ",", "")), "")</f>
        <v>112414.91</v>
      </c>
    </row>
    <row r="78" spans="1:18" x14ac:dyDescent="0.25">
      <c r="A78" t="str">
        <f>PROPER(TRIM(CLEAN(RAW_DATA!A78)))</f>
        <v>Emp1076</v>
      </c>
      <c r="B78" t="str">
        <f>RAW_DATA!B78</f>
        <v>David</v>
      </c>
      <c r="C78" t="str">
        <f>RAW_DATA!C78</f>
        <v>Brown</v>
      </c>
      <c r="D78">
        <f>RAW_DATA!D78</f>
        <v>40</v>
      </c>
      <c r="E78" t="str">
        <f>RAW_DATA!E78</f>
        <v>Admin-California</v>
      </c>
      <c r="F78" t="str">
        <f t="shared" si="3"/>
        <v>Admin</v>
      </c>
      <c r="G78" t="str">
        <f t="shared" si="4"/>
        <v>California</v>
      </c>
      <c r="P78">
        <f t="shared" si="5"/>
        <v>52031.74</v>
      </c>
      <c r="Q78">
        <f>IF(PQ_Cleansing!L78="Excellent", P78 * 0.1, IF(PQ_Cleansing!L78="Good", P78 * 0.05, IF(PQ_Cleansing!L78="Average", P78 * 0.02, IF(PQ_Cleansing!L78="Poor", 0, 0))))</f>
        <v>2601.587</v>
      </c>
      <c r="R78">
        <f>IFERROR(VALUE(SUBSTITUTE(SUBSTITUTE(PQ_Cleansing!I78, "$", ""), ",", "")), "")</f>
        <v>52031.74</v>
      </c>
    </row>
    <row r="79" spans="1:18" x14ac:dyDescent="0.25">
      <c r="A79" t="str">
        <f>PROPER(TRIM(CLEAN(RAW_DATA!A79)))</f>
        <v>Emp1077</v>
      </c>
      <c r="B79" t="str">
        <f>RAW_DATA!B79</f>
        <v>Grace</v>
      </c>
      <c r="C79" t="str">
        <f>RAW_DATA!C79</f>
        <v>Brown</v>
      </c>
      <c r="D79">
        <f>RAW_DATA!D79</f>
        <v>30</v>
      </c>
      <c r="E79" t="str">
        <f>RAW_DATA!E79</f>
        <v>Finance-New York</v>
      </c>
      <c r="F79" t="str">
        <f t="shared" si="3"/>
        <v>Finance</v>
      </c>
      <c r="G79" t="str">
        <f t="shared" si="4"/>
        <v>New York</v>
      </c>
      <c r="P79">
        <f t="shared" si="5"/>
        <v>51887.65</v>
      </c>
      <c r="Q79">
        <f>IF(PQ_Cleansing!L79="Excellent", P79 * 0.1, IF(PQ_Cleansing!L79="Good", P79 * 0.05, IF(PQ_Cleansing!L79="Average", P79 * 0.02, IF(PQ_Cleansing!L79="Poor", 0, 0))))</f>
        <v>2594.3825000000002</v>
      </c>
      <c r="R79">
        <f>IFERROR(VALUE(SUBSTITUTE(SUBSTITUTE(PQ_Cleansing!I79, "$", ""), ",", "")), "")</f>
        <v>51887.65</v>
      </c>
    </row>
    <row r="80" spans="1:18" x14ac:dyDescent="0.25">
      <c r="A80" t="str">
        <f>PROPER(TRIM(CLEAN(RAW_DATA!A80)))</f>
        <v>Emp1078</v>
      </c>
      <c r="B80" t="str">
        <f>RAW_DATA!B80</f>
        <v>Alice</v>
      </c>
      <c r="C80" t="str">
        <f>RAW_DATA!C80</f>
        <v>Davis</v>
      </c>
      <c r="D80">
        <f>RAW_DATA!D80</f>
        <v>25</v>
      </c>
      <c r="E80" t="str">
        <f>RAW_DATA!E80</f>
        <v>DevOps-Florida</v>
      </c>
      <c r="F80" t="str">
        <f t="shared" si="3"/>
        <v>DevOps</v>
      </c>
      <c r="G80" t="str">
        <f t="shared" si="4"/>
        <v>Florida</v>
      </c>
      <c r="P80">
        <f t="shared" si="5"/>
        <v>82318.89</v>
      </c>
      <c r="Q80">
        <f>IF(PQ_Cleansing!L80="Excellent", P80 * 0.1, IF(PQ_Cleansing!L80="Good", P80 * 0.05, IF(PQ_Cleansing!L80="Average", P80 * 0.02, IF(PQ_Cleansing!L80="Poor", 0, 0))))</f>
        <v>4115.9445000000005</v>
      </c>
      <c r="R80">
        <f>IFERROR(VALUE(SUBSTITUTE(SUBSTITUTE(PQ_Cleansing!I80, "$", ""), ",", "")), "")</f>
        <v>82318.89</v>
      </c>
    </row>
    <row r="81" spans="1:18" x14ac:dyDescent="0.25">
      <c r="A81" t="str">
        <f>PROPER(TRIM(CLEAN(RAW_DATA!A81)))</f>
        <v>Emp1079</v>
      </c>
      <c r="B81" t="str">
        <f>RAW_DATA!B81</f>
        <v>Grace</v>
      </c>
      <c r="C81" t="str">
        <f>RAW_DATA!C81</f>
        <v>Brown</v>
      </c>
      <c r="D81">
        <f>RAW_DATA!D81</f>
        <v>35</v>
      </c>
      <c r="E81" t="str">
        <f>RAW_DATA!E81</f>
        <v>Admin-Florida</v>
      </c>
      <c r="F81" t="str">
        <f t="shared" si="3"/>
        <v>Admin</v>
      </c>
      <c r="G81" t="str">
        <f t="shared" si="4"/>
        <v>Florida</v>
      </c>
      <c r="P81">
        <f t="shared" si="5"/>
        <v>103286.08</v>
      </c>
      <c r="Q81">
        <f>IF(PQ_Cleansing!L81="Excellent", P81 * 0.1, IF(PQ_Cleansing!L81="Good", P81 * 0.05, IF(PQ_Cleansing!L81="Average", P81 * 0.02, IF(PQ_Cleansing!L81="Poor", 0, 0))))</f>
        <v>2065.7215999999999</v>
      </c>
      <c r="R81">
        <f>IFERROR(VALUE(SUBSTITUTE(SUBSTITUTE(PQ_Cleansing!I81, "$", ""), ",", "")), "")</f>
        <v>103286.08</v>
      </c>
    </row>
    <row r="82" spans="1:18" x14ac:dyDescent="0.25">
      <c r="A82" t="str">
        <f>PROPER(TRIM(CLEAN(RAW_DATA!A82)))</f>
        <v>Emp1080</v>
      </c>
      <c r="B82" t="str">
        <f>RAW_DATA!B82</f>
        <v>Grace</v>
      </c>
      <c r="C82" t="str">
        <f>RAW_DATA!C82</f>
        <v>Davis</v>
      </c>
      <c r="D82">
        <f>RAW_DATA!D82</f>
        <v>35</v>
      </c>
      <c r="E82" t="str">
        <f>RAW_DATA!E82</f>
        <v>Cloud Tech-Florida</v>
      </c>
      <c r="F82" t="str">
        <f t="shared" si="3"/>
        <v>Cloud Tech</v>
      </c>
      <c r="G82" t="str">
        <f t="shared" si="4"/>
        <v>Florida</v>
      </c>
      <c r="P82">
        <f t="shared" si="5"/>
        <v>87759.33</v>
      </c>
      <c r="Q82">
        <f>IF(PQ_Cleansing!L82="Excellent", P82 * 0.1, IF(PQ_Cleansing!L82="Good", P82 * 0.05, IF(PQ_Cleansing!L82="Average", P82 * 0.02, IF(PQ_Cleansing!L82="Poor", 0, 0))))</f>
        <v>1755.1866</v>
      </c>
      <c r="R82">
        <f>IFERROR(VALUE(SUBSTITUTE(SUBSTITUTE(PQ_Cleansing!I82, "$", ""), ",", "")), "")</f>
        <v>87759.33</v>
      </c>
    </row>
    <row r="83" spans="1:18" x14ac:dyDescent="0.25">
      <c r="A83" t="str">
        <f>PROPER(TRIM(CLEAN(RAW_DATA!A83)))</f>
        <v>Emp1081</v>
      </c>
      <c r="B83" t="str">
        <f>RAW_DATA!B83</f>
        <v>Frank</v>
      </c>
      <c r="C83" t="str">
        <f>RAW_DATA!C83</f>
        <v>Brown</v>
      </c>
      <c r="D83">
        <f>RAW_DATA!D83</f>
        <v>30</v>
      </c>
      <c r="E83" t="str">
        <f>RAW_DATA!E83</f>
        <v>DevOps-Texas</v>
      </c>
      <c r="F83" t="str">
        <f t="shared" si="3"/>
        <v>DevOps</v>
      </c>
      <c r="G83" t="str">
        <f t="shared" si="4"/>
        <v>Texas</v>
      </c>
      <c r="P83">
        <f t="shared" si="5"/>
        <v>102796.32</v>
      </c>
      <c r="Q83">
        <f>IF(PQ_Cleansing!L83="Excellent", P83 * 0.1, IF(PQ_Cleansing!L83="Good", P83 * 0.05, IF(PQ_Cleansing!L83="Average", P83 * 0.02, IF(PQ_Cleansing!L83="Poor", 0, 0))))</f>
        <v>5139.8160000000007</v>
      </c>
      <c r="R83">
        <f>IFERROR(VALUE(SUBSTITUTE(SUBSTITUTE(PQ_Cleansing!I83, "$", ""), ",", "")), "")</f>
        <v>102796.32</v>
      </c>
    </row>
    <row r="84" spans="1:18" x14ac:dyDescent="0.25">
      <c r="A84" t="str">
        <f>PROPER(TRIM(CLEAN(RAW_DATA!A84)))</f>
        <v>Emp1082</v>
      </c>
      <c r="B84" t="str">
        <f>RAW_DATA!B84</f>
        <v>David</v>
      </c>
      <c r="C84" t="str">
        <f>RAW_DATA!C84</f>
        <v>Jones</v>
      </c>
      <c r="D84">
        <f>RAW_DATA!D84</f>
        <v>25</v>
      </c>
      <c r="E84" t="str">
        <f>RAW_DATA!E84</f>
        <v>Sales-New York</v>
      </c>
      <c r="F84" t="str">
        <f t="shared" si="3"/>
        <v>Sales</v>
      </c>
      <c r="G84" t="str">
        <f t="shared" si="4"/>
        <v>New York</v>
      </c>
      <c r="P84">
        <f t="shared" si="5"/>
        <v>83149.27</v>
      </c>
      <c r="Q84">
        <f>IF(PQ_Cleansing!L84="Excellent", P84 * 0.1, IF(PQ_Cleansing!L84="Good", P84 * 0.05, IF(PQ_Cleansing!L84="Average", P84 * 0.02, IF(PQ_Cleansing!L84="Poor", 0, 0))))</f>
        <v>0</v>
      </c>
      <c r="R84">
        <f>IFERROR(VALUE(SUBSTITUTE(SUBSTITUTE(PQ_Cleansing!I84, "$", ""), ",", "")), "")</f>
        <v>83149.27</v>
      </c>
    </row>
    <row r="85" spans="1:18" x14ac:dyDescent="0.25">
      <c r="A85" t="str">
        <f>PROPER(TRIM(CLEAN(RAW_DATA!A85)))</f>
        <v>Emp1083</v>
      </c>
      <c r="B85" t="str">
        <f>RAW_DATA!B85</f>
        <v>David</v>
      </c>
      <c r="C85" t="str">
        <f>RAW_DATA!C85</f>
        <v>Garcia</v>
      </c>
      <c r="D85">
        <f>RAW_DATA!D85</f>
        <v>40</v>
      </c>
      <c r="E85" t="str">
        <f>RAW_DATA!E85</f>
        <v>DevOps-California</v>
      </c>
      <c r="F85" t="str">
        <f t="shared" si="3"/>
        <v>DevOps</v>
      </c>
      <c r="G85" t="str">
        <f t="shared" si="4"/>
        <v>California</v>
      </c>
      <c r="P85">
        <f t="shared" si="5"/>
        <v>92412.49</v>
      </c>
      <c r="Q85">
        <f>IF(PQ_Cleansing!L85="Excellent", P85 * 0.1, IF(PQ_Cleansing!L85="Good", P85 * 0.05, IF(PQ_Cleansing!L85="Average", P85 * 0.02, IF(PQ_Cleansing!L85="Poor", 0, 0))))</f>
        <v>9241.2490000000016</v>
      </c>
      <c r="R85">
        <f>IFERROR(VALUE(SUBSTITUTE(SUBSTITUTE(PQ_Cleansing!I85, "$", ""), ",", "")), "")</f>
        <v>92412.49</v>
      </c>
    </row>
    <row r="86" spans="1:18" x14ac:dyDescent="0.25">
      <c r="A86" t="str">
        <f>PROPER(TRIM(CLEAN(RAW_DATA!A86)))</f>
        <v>Emp1084</v>
      </c>
      <c r="B86" t="str">
        <f>RAW_DATA!B86</f>
        <v>Bob</v>
      </c>
      <c r="C86" t="str">
        <f>RAW_DATA!C86</f>
        <v>Davis</v>
      </c>
      <c r="D86">
        <f>RAW_DATA!D86</f>
        <v>30</v>
      </c>
      <c r="E86" t="str">
        <f>RAW_DATA!E86</f>
        <v>HR-Texas</v>
      </c>
      <c r="F86" t="str">
        <f t="shared" si="3"/>
        <v>HR</v>
      </c>
      <c r="G86" t="str">
        <f t="shared" si="4"/>
        <v>Texas</v>
      </c>
      <c r="P86">
        <f t="shared" si="5"/>
        <v>115022.1</v>
      </c>
      <c r="Q86">
        <f>IF(PQ_Cleansing!L86="Excellent", P86 * 0.1, IF(PQ_Cleansing!L86="Good", P86 * 0.05, IF(PQ_Cleansing!L86="Average", P86 * 0.02, IF(PQ_Cleansing!L86="Poor", 0, 0))))</f>
        <v>5751.1050000000005</v>
      </c>
      <c r="R86">
        <f>IFERROR(VALUE(SUBSTITUTE(SUBSTITUTE(PQ_Cleansing!I86, "$", ""), ",", "")), "")</f>
        <v>115022.1</v>
      </c>
    </row>
    <row r="87" spans="1:18" x14ac:dyDescent="0.25">
      <c r="A87" t="str">
        <f>PROPER(TRIM(CLEAN(RAW_DATA!A87)))</f>
        <v>Emp1085</v>
      </c>
      <c r="B87" t="str">
        <f>RAW_DATA!B87</f>
        <v>Grace</v>
      </c>
      <c r="C87" t="str">
        <f>RAW_DATA!C87</f>
        <v>Williams</v>
      </c>
      <c r="D87">
        <f>RAW_DATA!D87</f>
        <v>40</v>
      </c>
      <c r="E87" t="str">
        <f>RAW_DATA!E87</f>
        <v>DevOps-New York</v>
      </c>
      <c r="F87" t="str">
        <f t="shared" si="3"/>
        <v>DevOps</v>
      </c>
      <c r="G87" t="str">
        <f t="shared" si="4"/>
        <v>New York</v>
      </c>
      <c r="P87">
        <f t="shared" si="5"/>
        <v>98343.01</v>
      </c>
      <c r="Q87">
        <f>IF(PQ_Cleansing!L87="Excellent", P87 * 0.1, IF(PQ_Cleansing!L87="Good", P87 * 0.05, IF(PQ_Cleansing!L87="Average", P87 * 0.02, IF(PQ_Cleansing!L87="Poor", 0, 0))))</f>
        <v>0</v>
      </c>
      <c r="R87">
        <f>IFERROR(VALUE(SUBSTITUTE(SUBSTITUTE(PQ_Cleansing!I87, "$", ""), ",", "")), "")</f>
        <v>98343.01</v>
      </c>
    </row>
    <row r="88" spans="1:18" x14ac:dyDescent="0.25">
      <c r="A88" t="str">
        <f>PROPER(TRIM(CLEAN(RAW_DATA!A88)))</f>
        <v>Emp1086</v>
      </c>
      <c r="B88" t="str">
        <f>RAW_DATA!B88</f>
        <v>Bob</v>
      </c>
      <c r="C88" t="str">
        <f>RAW_DATA!C88</f>
        <v>Miller</v>
      </c>
      <c r="D88">
        <f>RAW_DATA!D88</f>
        <v>35</v>
      </c>
      <c r="E88" t="str">
        <f>RAW_DATA!E88</f>
        <v>DevOps-Illinois</v>
      </c>
      <c r="F88" t="str">
        <f t="shared" si="3"/>
        <v>DevOps</v>
      </c>
      <c r="G88" t="str">
        <f t="shared" si="4"/>
        <v>Illinois</v>
      </c>
      <c r="P88">
        <f t="shared" si="5"/>
        <v>118869.1</v>
      </c>
      <c r="Q88">
        <f>IF(PQ_Cleansing!L88="Excellent", P88 * 0.1, IF(PQ_Cleansing!L88="Good", P88 * 0.05, IF(PQ_Cleansing!L88="Average", P88 * 0.02, IF(PQ_Cleansing!L88="Poor", 0, 0))))</f>
        <v>11886.910000000002</v>
      </c>
      <c r="R88">
        <f>IFERROR(VALUE(SUBSTITUTE(SUBSTITUTE(PQ_Cleansing!I88, "$", ""), ",", "")), "")</f>
        <v>118869.1</v>
      </c>
    </row>
    <row r="89" spans="1:18" x14ac:dyDescent="0.25">
      <c r="A89" t="str">
        <f>PROPER(TRIM(CLEAN(RAW_DATA!A89)))</f>
        <v>Emp1087</v>
      </c>
      <c r="B89" t="str">
        <f>RAW_DATA!B89</f>
        <v>Frank</v>
      </c>
      <c r="C89" t="str">
        <f>RAW_DATA!C89</f>
        <v>Smith</v>
      </c>
      <c r="D89">
        <f>RAW_DATA!D89</f>
        <v>0</v>
      </c>
      <c r="E89" t="str">
        <f>RAW_DATA!E89</f>
        <v>Finance-Nevada</v>
      </c>
      <c r="F89" t="str">
        <f t="shared" si="3"/>
        <v>Finance</v>
      </c>
      <c r="G89" t="str">
        <f t="shared" si="4"/>
        <v>Nevada</v>
      </c>
      <c r="P89">
        <f t="shared" si="5"/>
        <v>85417.26</v>
      </c>
      <c r="Q89">
        <f>IF(PQ_Cleansing!L89="Excellent", P89 * 0.1, IF(PQ_Cleansing!L89="Good", P89 * 0.05, IF(PQ_Cleansing!L89="Average", P89 * 0.02, IF(PQ_Cleansing!L89="Poor", 0, 0))))</f>
        <v>4270.8630000000003</v>
      </c>
      <c r="R89">
        <f>IFERROR(VALUE(SUBSTITUTE(SUBSTITUTE(PQ_Cleansing!I89, "$", ""), ",", "")), "")</f>
        <v>85417.26</v>
      </c>
    </row>
    <row r="90" spans="1:18" x14ac:dyDescent="0.25">
      <c r="A90" t="str">
        <f>PROPER(TRIM(CLEAN(RAW_DATA!A90)))</f>
        <v>Emp1088</v>
      </c>
      <c r="B90" t="str">
        <f>RAW_DATA!B90</f>
        <v>Grace</v>
      </c>
      <c r="C90" t="str">
        <f>RAW_DATA!C90</f>
        <v>Brown</v>
      </c>
      <c r="D90">
        <f>RAW_DATA!D90</f>
        <v>40</v>
      </c>
      <c r="E90" t="str">
        <f>RAW_DATA!E90</f>
        <v>Cloud Tech-Florida</v>
      </c>
      <c r="F90" t="str">
        <f t="shared" si="3"/>
        <v>Cloud Tech</v>
      </c>
      <c r="G90" t="str">
        <f t="shared" si="4"/>
        <v>Florida</v>
      </c>
      <c r="P90">
        <f t="shared" si="5"/>
        <v>112410.25</v>
      </c>
      <c r="Q90">
        <f>IF(PQ_Cleansing!L90="Excellent", P90 * 0.1, IF(PQ_Cleansing!L90="Good", P90 * 0.05, IF(PQ_Cleansing!L90="Average", P90 * 0.02, IF(PQ_Cleansing!L90="Poor", 0, 0))))</f>
        <v>5620.5125000000007</v>
      </c>
      <c r="R90">
        <f>IFERROR(VALUE(SUBSTITUTE(SUBSTITUTE(PQ_Cleansing!I90, "$", ""), ",", "")), "")</f>
        <v>112410.25</v>
      </c>
    </row>
    <row r="91" spans="1:18" x14ac:dyDescent="0.25">
      <c r="A91" t="str">
        <f>PROPER(TRIM(CLEAN(RAW_DATA!A91)))</f>
        <v>Emp1089</v>
      </c>
      <c r="B91" t="str">
        <f>RAW_DATA!B91</f>
        <v>Charlie</v>
      </c>
      <c r="C91" t="str">
        <f>RAW_DATA!C91</f>
        <v>Johnson</v>
      </c>
      <c r="D91">
        <f>RAW_DATA!D91</f>
        <v>40</v>
      </c>
      <c r="E91" t="str">
        <f>RAW_DATA!E91</f>
        <v>Admin-Nevada</v>
      </c>
      <c r="F91" t="str">
        <f t="shared" si="3"/>
        <v>Admin</v>
      </c>
      <c r="G91" t="str">
        <f t="shared" si="4"/>
        <v>Nevada</v>
      </c>
      <c r="P91">
        <f t="shared" si="5"/>
        <v>68905.77</v>
      </c>
      <c r="Q91">
        <f>IF(PQ_Cleansing!L91="Excellent", P91 * 0.1, IF(PQ_Cleansing!L91="Good", P91 * 0.05, IF(PQ_Cleansing!L91="Average", P91 * 0.02, IF(PQ_Cleansing!L91="Poor", 0, 0))))</f>
        <v>1378.1154000000001</v>
      </c>
      <c r="R91">
        <f>IFERROR(VALUE(SUBSTITUTE(SUBSTITUTE(PQ_Cleansing!I91, "$", ""), ",", "")), "")</f>
        <v>68905.77</v>
      </c>
    </row>
    <row r="92" spans="1:18" x14ac:dyDescent="0.25">
      <c r="A92" t="str">
        <f>PROPER(TRIM(CLEAN(RAW_DATA!A92)))</f>
        <v>Emp1090</v>
      </c>
      <c r="B92" t="str">
        <f>RAW_DATA!B92</f>
        <v>Heidi</v>
      </c>
      <c r="C92" t="str">
        <f>RAW_DATA!C92</f>
        <v>Garcia</v>
      </c>
      <c r="D92">
        <f>RAW_DATA!D92</f>
        <v>40</v>
      </c>
      <c r="E92" t="str">
        <f>RAW_DATA!E92</f>
        <v>Finance-Nevada</v>
      </c>
      <c r="F92" t="str">
        <f t="shared" si="3"/>
        <v>Finance</v>
      </c>
      <c r="G92" t="str">
        <f t="shared" si="4"/>
        <v>Nevada</v>
      </c>
      <c r="P92">
        <f t="shared" si="5"/>
        <v>72561.320000000007</v>
      </c>
      <c r="Q92">
        <f>IF(PQ_Cleansing!L92="Excellent", P92 * 0.1, IF(PQ_Cleansing!L92="Good", P92 * 0.05, IF(PQ_Cleansing!L92="Average", P92 * 0.02, IF(PQ_Cleansing!L92="Poor", 0, 0))))</f>
        <v>7256.1320000000014</v>
      </c>
      <c r="R92">
        <f>IFERROR(VALUE(SUBSTITUTE(SUBSTITUTE(PQ_Cleansing!I92, "$", ""), ",", "")), "")</f>
        <v>72561.320000000007</v>
      </c>
    </row>
    <row r="93" spans="1:18" x14ac:dyDescent="0.25">
      <c r="A93" t="str">
        <f>PROPER(TRIM(CLEAN(RAW_DATA!A93)))</f>
        <v>Emp1091</v>
      </c>
      <c r="B93" t="str">
        <f>RAW_DATA!B93</f>
        <v>Bob</v>
      </c>
      <c r="C93" t="str">
        <f>RAW_DATA!C93</f>
        <v>Brown</v>
      </c>
      <c r="D93">
        <f>RAW_DATA!D93</f>
        <v>35</v>
      </c>
      <c r="E93" t="str">
        <f>RAW_DATA!E93</f>
        <v>Finance-New York</v>
      </c>
      <c r="F93" t="str">
        <f t="shared" si="3"/>
        <v>Finance</v>
      </c>
      <c r="G93" t="str">
        <f t="shared" si="4"/>
        <v>New York</v>
      </c>
      <c r="P93">
        <f t="shared" si="5"/>
        <v>92723.22</v>
      </c>
      <c r="Q93">
        <f>IF(PQ_Cleansing!L93="Excellent", P93 * 0.1, IF(PQ_Cleansing!L93="Good", P93 * 0.05, IF(PQ_Cleansing!L93="Average", P93 * 0.02, IF(PQ_Cleansing!L93="Poor", 0, 0))))</f>
        <v>9272.3220000000001</v>
      </c>
      <c r="R93">
        <f>IFERROR(VALUE(SUBSTITUTE(SUBSTITUTE(PQ_Cleansing!I93, "$", ""), ",", "")), "")</f>
        <v>92723.22</v>
      </c>
    </row>
    <row r="94" spans="1:18" x14ac:dyDescent="0.25">
      <c r="A94" t="str">
        <f>PROPER(TRIM(CLEAN(RAW_DATA!A94)))</f>
        <v>Emp1092</v>
      </c>
      <c r="B94" t="str">
        <f>RAW_DATA!B94</f>
        <v>Alice</v>
      </c>
      <c r="C94" t="str">
        <f>RAW_DATA!C94</f>
        <v>Johnson</v>
      </c>
      <c r="D94">
        <f>RAW_DATA!D94</f>
        <v>40</v>
      </c>
      <c r="E94" t="str">
        <f>RAW_DATA!E94</f>
        <v>HR-New York</v>
      </c>
      <c r="F94" t="str">
        <f t="shared" si="3"/>
        <v>HR</v>
      </c>
      <c r="G94" t="str">
        <f t="shared" si="4"/>
        <v>New York</v>
      </c>
      <c r="P94">
        <f t="shared" si="5"/>
        <v>74837.75</v>
      </c>
      <c r="Q94">
        <f>IF(PQ_Cleansing!L94="Excellent", P94 * 0.1, IF(PQ_Cleansing!L94="Good", P94 * 0.05, IF(PQ_Cleansing!L94="Average", P94 * 0.02, IF(PQ_Cleansing!L94="Poor", 0, 0))))</f>
        <v>0</v>
      </c>
      <c r="R94">
        <f>IFERROR(VALUE(SUBSTITUTE(SUBSTITUTE(PQ_Cleansing!I94, "$", ""), ",", "")), "")</f>
        <v>74837.75</v>
      </c>
    </row>
    <row r="95" spans="1:18" x14ac:dyDescent="0.25">
      <c r="A95" t="str">
        <f>PROPER(TRIM(CLEAN(RAW_DATA!A95)))</f>
        <v>Emp1093</v>
      </c>
      <c r="B95" t="str">
        <f>RAW_DATA!B95</f>
        <v>Eva</v>
      </c>
      <c r="C95" t="str">
        <f>RAW_DATA!C95</f>
        <v>Miller</v>
      </c>
      <c r="D95">
        <f>RAW_DATA!D95</f>
        <v>0</v>
      </c>
      <c r="E95" t="str">
        <f>RAW_DATA!E95</f>
        <v>DevOps-California</v>
      </c>
      <c r="F95" t="str">
        <f t="shared" si="3"/>
        <v>DevOps</v>
      </c>
      <c r="G95" t="str">
        <f t="shared" si="4"/>
        <v>California</v>
      </c>
      <c r="P95">
        <f t="shared" si="5"/>
        <v>86163.91</v>
      </c>
      <c r="Q95">
        <f>IF(PQ_Cleansing!L95="Excellent", P95 * 0.1, IF(PQ_Cleansing!L95="Good", P95 * 0.05, IF(PQ_Cleansing!L95="Average", P95 * 0.02, IF(PQ_Cleansing!L95="Poor", 0, 0))))</f>
        <v>1723.2782000000002</v>
      </c>
      <c r="R95">
        <f>IFERROR(VALUE(SUBSTITUTE(SUBSTITUTE(PQ_Cleansing!I95, "$", ""), ",", "")), "")</f>
        <v>86163.91</v>
      </c>
    </row>
    <row r="96" spans="1:18" x14ac:dyDescent="0.25">
      <c r="A96" t="str">
        <f>PROPER(TRIM(CLEAN(RAW_DATA!A96)))</f>
        <v>Emp1094</v>
      </c>
      <c r="B96" t="str">
        <f>RAW_DATA!B96</f>
        <v>David</v>
      </c>
      <c r="C96" t="str">
        <f>RAW_DATA!C96</f>
        <v>Miller</v>
      </c>
      <c r="D96">
        <f>RAW_DATA!D96</f>
        <v>40</v>
      </c>
      <c r="E96" t="str">
        <f>RAW_DATA!E96</f>
        <v>Finance-Illinois</v>
      </c>
      <c r="F96" t="str">
        <f t="shared" si="3"/>
        <v>Finance</v>
      </c>
      <c r="G96" t="str">
        <f t="shared" si="4"/>
        <v>Illinois</v>
      </c>
      <c r="P96">
        <f t="shared" si="5"/>
        <v>83326.52</v>
      </c>
      <c r="Q96">
        <f>IF(PQ_Cleansing!L96="Excellent", P96 * 0.1, IF(PQ_Cleansing!L96="Good", P96 * 0.05, IF(PQ_Cleansing!L96="Average", P96 * 0.02, IF(PQ_Cleansing!L96="Poor", 0, 0))))</f>
        <v>1666.5304000000001</v>
      </c>
      <c r="R96">
        <f>IFERROR(VALUE(SUBSTITUTE(SUBSTITUTE(PQ_Cleansing!I96, "$", ""), ",", "")), "")</f>
        <v>83326.52</v>
      </c>
    </row>
    <row r="97" spans="1:18" x14ac:dyDescent="0.25">
      <c r="A97" t="str">
        <f>PROPER(TRIM(CLEAN(RAW_DATA!A97)))</f>
        <v>Emp1095</v>
      </c>
      <c r="B97" t="str">
        <f>RAW_DATA!B97</f>
        <v>Heidi</v>
      </c>
      <c r="C97" t="str">
        <f>RAW_DATA!C97</f>
        <v>Miller</v>
      </c>
      <c r="D97">
        <f>RAW_DATA!D97</f>
        <v>25</v>
      </c>
      <c r="E97" t="str">
        <f>RAW_DATA!E97</f>
        <v>Cloud Tech-California</v>
      </c>
      <c r="F97" t="str">
        <f t="shared" si="3"/>
        <v>Cloud Tech</v>
      </c>
      <c r="G97" t="str">
        <f t="shared" si="4"/>
        <v>California</v>
      </c>
      <c r="P97">
        <f t="shared" si="5"/>
        <v>98425.1</v>
      </c>
      <c r="Q97">
        <f>IF(PQ_Cleansing!L97="Excellent", P97 * 0.1, IF(PQ_Cleansing!L97="Good", P97 * 0.05, IF(PQ_Cleansing!L97="Average", P97 * 0.02, IF(PQ_Cleansing!L97="Poor", 0, 0))))</f>
        <v>1968.5020000000002</v>
      </c>
      <c r="R97">
        <f>IFERROR(VALUE(SUBSTITUTE(SUBSTITUTE(PQ_Cleansing!I97, "$", ""), ",", "")), "")</f>
        <v>98425.1</v>
      </c>
    </row>
    <row r="98" spans="1:18" x14ac:dyDescent="0.25">
      <c r="A98" t="str">
        <f>PROPER(TRIM(CLEAN(RAW_DATA!A98)))</f>
        <v>Emp1096</v>
      </c>
      <c r="B98" t="str">
        <f>RAW_DATA!B98</f>
        <v>Frank</v>
      </c>
      <c r="C98" t="str">
        <f>RAW_DATA!C98</f>
        <v>Johnson</v>
      </c>
      <c r="D98">
        <f>RAW_DATA!D98</f>
        <v>40</v>
      </c>
      <c r="E98" t="str">
        <f>RAW_DATA!E98</f>
        <v>Sales-Illinois</v>
      </c>
      <c r="F98" t="str">
        <f t="shared" si="3"/>
        <v>Sales</v>
      </c>
      <c r="G98" t="str">
        <f t="shared" si="4"/>
        <v>Illinois</v>
      </c>
      <c r="P98">
        <f t="shared" si="5"/>
        <v>119764.2</v>
      </c>
      <c r="Q98">
        <f>IF(PQ_Cleansing!L98="Excellent", P98 * 0.1, IF(PQ_Cleansing!L98="Good", P98 * 0.05, IF(PQ_Cleansing!L98="Average", P98 * 0.02, IF(PQ_Cleansing!L98="Poor", 0, 0))))</f>
        <v>2395.2840000000001</v>
      </c>
      <c r="R98">
        <f>IFERROR(VALUE(SUBSTITUTE(SUBSTITUTE(PQ_Cleansing!I98, "$", ""), ",", "")), "")</f>
        <v>119764.2</v>
      </c>
    </row>
    <row r="99" spans="1:18" x14ac:dyDescent="0.25">
      <c r="A99" t="str">
        <f>PROPER(TRIM(CLEAN(RAW_DATA!A99)))</f>
        <v>Emp1097</v>
      </c>
      <c r="B99" t="str">
        <f>RAW_DATA!B99</f>
        <v>Frank</v>
      </c>
      <c r="C99" t="str">
        <f>RAW_DATA!C99</f>
        <v>Brown</v>
      </c>
      <c r="D99">
        <f>RAW_DATA!D99</f>
        <v>40</v>
      </c>
      <c r="E99" t="str">
        <f>RAW_DATA!E99</f>
        <v>HR-California</v>
      </c>
      <c r="F99" t="str">
        <f t="shared" si="3"/>
        <v>HR</v>
      </c>
      <c r="G99" t="str">
        <f t="shared" si="4"/>
        <v>California</v>
      </c>
      <c r="P99">
        <f t="shared" si="5"/>
        <v>58445.91</v>
      </c>
      <c r="Q99">
        <f>IF(PQ_Cleansing!L99="Excellent", P99 * 0.1, IF(PQ_Cleansing!L99="Good", P99 * 0.05, IF(PQ_Cleansing!L99="Average", P99 * 0.02, IF(PQ_Cleansing!L99="Poor", 0, 0))))</f>
        <v>5844.5910000000003</v>
      </c>
      <c r="R99">
        <f>IFERROR(VALUE(SUBSTITUTE(SUBSTITUTE(PQ_Cleansing!I99, "$", ""), ",", "")), "")</f>
        <v>58445.91</v>
      </c>
    </row>
    <row r="100" spans="1:18" x14ac:dyDescent="0.25">
      <c r="A100" t="str">
        <f>PROPER(TRIM(CLEAN(RAW_DATA!A100)))</f>
        <v>Emp1098</v>
      </c>
      <c r="B100" t="str">
        <f>RAW_DATA!B100</f>
        <v>Bob</v>
      </c>
      <c r="C100" t="str">
        <f>RAW_DATA!C100</f>
        <v>Miller</v>
      </c>
      <c r="D100">
        <f>RAW_DATA!D100</f>
        <v>0</v>
      </c>
      <c r="E100" t="str">
        <f>RAW_DATA!E100</f>
        <v>DevOps-New York</v>
      </c>
      <c r="F100" t="str">
        <f t="shared" si="3"/>
        <v>DevOps</v>
      </c>
      <c r="G100" t="str">
        <f t="shared" si="4"/>
        <v>New York</v>
      </c>
      <c r="P100">
        <f t="shared" si="5"/>
        <v>101702.33</v>
      </c>
      <c r="Q100">
        <f>IF(PQ_Cleansing!L100="Excellent", P100 * 0.1, IF(PQ_Cleansing!L100="Good", P100 * 0.05, IF(PQ_Cleansing!L100="Average", P100 * 0.02, IF(PQ_Cleansing!L100="Poor", 0, 0))))</f>
        <v>10170.233</v>
      </c>
      <c r="R100">
        <f>IFERROR(VALUE(SUBSTITUTE(SUBSTITUTE(PQ_Cleansing!I100, "$", ""), ",", "")), "")</f>
        <v>101702.33</v>
      </c>
    </row>
    <row r="101" spans="1:18" x14ac:dyDescent="0.25">
      <c r="A101" t="str">
        <f>PROPER(TRIM(CLEAN(RAW_DATA!A101)))</f>
        <v>Emp1099</v>
      </c>
      <c r="B101" t="str">
        <f>RAW_DATA!B101</f>
        <v>Eva</v>
      </c>
      <c r="C101" t="str">
        <f>RAW_DATA!C101</f>
        <v>Jones</v>
      </c>
      <c r="D101">
        <f>RAW_DATA!D101</f>
        <v>25</v>
      </c>
      <c r="E101" t="str">
        <f>RAW_DATA!E101</f>
        <v>Admin-California</v>
      </c>
      <c r="F101" t="str">
        <f t="shared" si="3"/>
        <v>Admin</v>
      </c>
      <c r="G101" t="str">
        <f t="shared" si="4"/>
        <v>California</v>
      </c>
      <c r="P101">
        <f t="shared" si="5"/>
        <v>85268.279969293711</v>
      </c>
      <c r="Q101">
        <f>IF(PQ_Cleansing!L101="Excellent", P101 * 0.1, IF(PQ_Cleansing!L101="Good", P101 * 0.05, IF(PQ_Cleansing!L101="Average", P101 * 0.02, IF(PQ_Cleansing!L101="Poor", 0, 0))))</f>
        <v>4263.4139984646854</v>
      </c>
      <c r="R101" t="str">
        <f>IFERROR(VALUE(SUBSTITUTE(SUBSTITUTE(PQ_Cleansing!I101, "$", ""), ",", "")), "")</f>
        <v/>
      </c>
    </row>
    <row r="102" spans="1:18" x14ac:dyDescent="0.25">
      <c r="A102" t="str">
        <f>PROPER(TRIM(CLEAN(RAW_DATA!A102)))</f>
        <v>Emp1100</v>
      </c>
      <c r="B102" t="str">
        <f>RAW_DATA!B102</f>
        <v>Charlie</v>
      </c>
      <c r="C102" t="str">
        <f>RAW_DATA!C102</f>
        <v>Davis</v>
      </c>
      <c r="D102">
        <f>RAW_DATA!D102</f>
        <v>35</v>
      </c>
      <c r="E102" t="str">
        <f>RAW_DATA!E102</f>
        <v>Cloud Tech-Texas</v>
      </c>
      <c r="F102" t="str">
        <f t="shared" si="3"/>
        <v>Cloud Tech</v>
      </c>
      <c r="G102" t="str">
        <f t="shared" si="4"/>
        <v>Texas</v>
      </c>
      <c r="P102">
        <f t="shared" si="5"/>
        <v>98819.22</v>
      </c>
      <c r="Q102">
        <f>IF(PQ_Cleansing!L102="Excellent", P102 * 0.1, IF(PQ_Cleansing!L102="Good", P102 * 0.05, IF(PQ_Cleansing!L102="Average", P102 * 0.02, IF(PQ_Cleansing!L102="Poor", 0, 0))))</f>
        <v>4940.9610000000002</v>
      </c>
      <c r="R102">
        <f>IFERROR(VALUE(SUBSTITUTE(SUBSTITUTE(PQ_Cleansing!I102, "$", ""), ",", "")), "")</f>
        <v>98819.22</v>
      </c>
    </row>
    <row r="103" spans="1:18" x14ac:dyDescent="0.25">
      <c r="A103" t="str">
        <f>PROPER(TRIM(CLEAN(RAW_DATA!A103)))</f>
        <v>Emp1101</v>
      </c>
      <c r="B103" t="str">
        <f>RAW_DATA!B103</f>
        <v>Heidi</v>
      </c>
      <c r="C103" t="str">
        <f>RAW_DATA!C103</f>
        <v>Johnson</v>
      </c>
      <c r="D103">
        <f>RAW_DATA!D103</f>
        <v>25</v>
      </c>
      <c r="E103" t="str">
        <f>RAW_DATA!E103</f>
        <v>Cloud Tech-Illinois</v>
      </c>
      <c r="F103" t="str">
        <f t="shared" si="3"/>
        <v>Cloud Tech</v>
      </c>
      <c r="G103" t="str">
        <f t="shared" si="4"/>
        <v>Illinois</v>
      </c>
      <c r="P103">
        <f t="shared" si="5"/>
        <v>83509.990000000005</v>
      </c>
      <c r="Q103">
        <f>IF(PQ_Cleansing!L103="Excellent", P103 * 0.1, IF(PQ_Cleansing!L103="Good", P103 * 0.05, IF(PQ_Cleansing!L103="Average", P103 * 0.02, IF(PQ_Cleansing!L103="Poor", 0, 0))))</f>
        <v>1670.1998000000001</v>
      </c>
      <c r="R103">
        <f>IFERROR(VALUE(SUBSTITUTE(SUBSTITUTE(PQ_Cleansing!I103, "$", ""), ",", "")), "")</f>
        <v>83509.990000000005</v>
      </c>
    </row>
    <row r="104" spans="1:18" x14ac:dyDescent="0.25">
      <c r="A104" t="str">
        <f>PROPER(TRIM(CLEAN(RAW_DATA!A104)))</f>
        <v>Emp1102</v>
      </c>
      <c r="B104" t="str">
        <f>RAW_DATA!B104</f>
        <v>Alice</v>
      </c>
      <c r="C104" t="str">
        <f>RAW_DATA!C104</f>
        <v>Johnson</v>
      </c>
      <c r="D104">
        <f>RAW_DATA!D104</f>
        <v>35</v>
      </c>
      <c r="E104" t="str">
        <f>RAW_DATA!E104</f>
        <v>Finance-Texas</v>
      </c>
      <c r="F104" t="str">
        <f t="shared" si="3"/>
        <v>Finance</v>
      </c>
      <c r="G104" t="str">
        <f t="shared" si="4"/>
        <v>Texas</v>
      </c>
      <c r="P104">
        <f t="shared" si="5"/>
        <v>84422.26</v>
      </c>
      <c r="Q104">
        <f>IF(PQ_Cleansing!L104="Excellent", P104 * 0.1, IF(PQ_Cleansing!L104="Good", P104 * 0.05, IF(PQ_Cleansing!L104="Average", P104 * 0.02, IF(PQ_Cleansing!L104="Poor", 0, 0))))</f>
        <v>1688.4451999999999</v>
      </c>
      <c r="R104">
        <f>IFERROR(VALUE(SUBSTITUTE(SUBSTITUTE(PQ_Cleansing!I104, "$", ""), ",", "")), "")</f>
        <v>84422.26</v>
      </c>
    </row>
    <row r="105" spans="1:18" x14ac:dyDescent="0.25">
      <c r="A105" t="str">
        <f>PROPER(TRIM(CLEAN(RAW_DATA!A105)))</f>
        <v>Emp1103</v>
      </c>
      <c r="B105" t="str">
        <f>RAW_DATA!B105</f>
        <v>Alice</v>
      </c>
      <c r="C105" t="str">
        <f>RAW_DATA!C105</f>
        <v>Brown</v>
      </c>
      <c r="D105">
        <f>RAW_DATA!D105</f>
        <v>30</v>
      </c>
      <c r="E105" t="str">
        <f>RAW_DATA!E105</f>
        <v>Admin-Illinois</v>
      </c>
      <c r="F105" t="str">
        <f t="shared" si="3"/>
        <v>Admin</v>
      </c>
      <c r="G105" t="str">
        <f t="shared" si="4"/>
        <v>Illinois</v>
      </c>
      <c r="P105">
        <f t="shared" si="5"/>
        <v>119574.27</v>
      </c>
      <c r="Q105">
        <f>IF(PQ_Cleansing!L105="Excellent", P105 * 0.1, IF(PQ_Cleansing!L105="Good", P105 * 0.05, IF(PQ_Cleansing!L105="Average", P105 * 0.02, IF(PQ_Cleansing!L105="Poor", 0, 0))))</f>
        <v>2391.4854</v>
      </c>
      <c r="R105">
        <f>IFERROR(VALUE(SUBSTITUTE(SUBSTITUTE(PQ_Cleansing!I105, "$", ""), ",", "")), "")</f>
        <v>119574.27</v>
      </c>
    </row>
    <row r="106" spans="1:18" x14ac:dyDescent="0.25">
      <c r="A106" t="str">
        <f>PROPER(TRIM(CLEAN(RAW_DATA!A106)))</f>
        <v>Emp1104</v>
      </c>
      <c r="B106" t="str">
        <f>RAW_DATA!B106</f>
        <v>Grace</v>
      </c>
      <c r="C106" t="str">
        <f>RAW_DATA!C106</f>
        <v>Johnson</v>
      </c>
      <c r="D106">
        <f>RAW_DATA!D106</f>
        <v>0</v>
      </c>
      <c r="E106" t="str">
        <f>RAW_DATA!E106</f>
        <v>Sales-Illinois</v>
      </c>
      <c r="F106" t="str">
        <f t="shared" si="3"/>
        <v>Sales</v>
      </c>
      <c r="G106" t="str">
        <f t="shared" si="4"/>
        <v>Illinois</v>
      </c>
      <c r="P106">
        <f t="shared" si="5"/>
        <v>86580.08</v>
      </c>
      <c r="Q106">
        <f>IF(PQ_Cleansing!L106="Excellent", P106 * 0.1, IF(PQ_Cleansing!L106="Good", P106 * 0.05, IF(PQ_Cleansing!L106="Average", P106 * 0.02, IF(PQ_Cleansing!L106="Poor", 0, 0))))</f>
        <v>4329.0039999999999</v>
      </c>
      <c r="R106">
        <f>IFERROR(VALUE(SUBSTITUTE(SUBSTITUTE(PQ_Cleansing!I106, "$", ""), ",", "")), "")</f>
        <v>86580.08</v>
      </c>
    </row>
    <row r="107" spans="1:18" x14ac:dyDescent="0.25">
      <c r="A107" t="str">
        <f>PROPER(TRIM(CLEAN(RAW_DATA!A107)))</f>
        <v>Emp1105</v>
      </c>
      <c r="B107" t="str">
        <f>RAW_DATA!B107</f>
        <v>Heidi</v>
      </c>
      <c r="C107" t="str">
        <f>RAW_DATA!C107</f>
        <v>Johnson</v>
      </c>
      <c r="D107">
        <f>RAW_DATA!D107</f>
        <v>35</v>
      </c>
      <c r="E107" t="str">
        <f>RAW_DATA!E107</f>
        <v>Sales-Florida</v>
      </c>
      <c r="F107" t="str">
        <f t="shared" si="3"/>
        <v>Sales</v>
      </c>
      <c r="G107" t="str">
        <f t="shared" si="4"/>
        <v>Florida</v>
      </c>
      <c r="P107">
        <f t="shared" si="5"/>
        <v>93471.91</v>
      </c>
      <c r="Q107">
        <f>IF(PQ_Cleansing!L107="Excellent", P107 * 0.1, IF(PQ_Cleansing!L107="Good", P107 * 0.05, IF(PQ_Cleansing!L107="Average", P107 * 0.02, IF(PQ_Cleansing!L107="Poor", 0, 0))))</f>
        <v>0</v>
      </c>
      <c r="R107">
        <f>IFERROR(VALUE(SUBSTITUTE(SUBSTITUTE(PQ_Cleansing!I107, "$", ""), ",", "")), "")</f>
        <v>93471.91</v>
      </c>
    </row>
    <row r="108" spans="1:18" x14ac:dyDescent="0.25">
      <c r="A108" t="str">
        <f>PROPER(TRIM(CLEAN(RAW_DATA!A108)))</f>
        <v>Emp1106</v>
      </c>
      <c r="B108" t="str">
        <f>RAW_DATA!B108</f>
        <v>Bob</v>
      </c>
      <c r="C108" t="str">
        <f>RAW_DATA!C108</f>
        <v>Miller</v>
      </c>
      <c r="D108">
        <f>RAW_DATA!D108</f>
        <v>30</v>
      </c>
      <c r="E108" t="str">
        <f>RAW_DATA!E108</f>
        <v>DevOps-New York</v>
      </c>
      <c r="F108" t="str">
        <f t="shared" si="3"/>
        <v>DevOps</v>
      </c>
      <c r="G108" t="str">
        <f t="shared" si="4"/>
        <v>New York</v>
      </c>
      <c r="P108">
        <f t="shared" si="5"/>
        <v>55683.12</v>
      </c>
      <c r="Q108">
        <f>IF(PQ_Cleansing!L108="Excellent", P108 * 0.1, IF(PQ_Cleansing!L108="Good", P108 * 0.05, IF(PQ_Cleansing!L108="Average", P108 * 0.02, IF(PQ_Cleansing!L108="Poor", 0, 0))))</f>
        <v>0</v>
      </c>
      <c r="R108">
        <f>IFERROR(VALUE(SUBSTITUTE(SUBSTITUTE(PQ_Cleansing!I108, "$", ""), ",", "")), "")</f>
        <v>55683.12</v>
      </c>
    </row>
    <row r="109" spans="1:18" x14ac:dyDescent="0.25">
      <c r="A109" t="str">
        <f>PROPER(TRIM(CLEAN(RAW_DATA!A109)))</f>
        <v>Emp1107</v>
      </c>
      <c r="B109" t="str">
        <f>RAW_DATA!B109</f>
        <v>Bob</v>
      </c>
      <c r="C109" t="str">
        <f>RAW_DATA!C109</f>
        <v>Brown</v>
      </c>
      <c r="D109">
        <f>RAW_DATA!D109</f>
        <v>30</v>
      </c>
      <c r="E109" t="str">
        <f>RAW_DATA!E109</f>
        <v>Cloud Tech-Florida</v>
      </c>
      <c r="F109" t="str">
        <f t="shared" si="3"/>
        <v>Cloud Tech</v>
      </c>
      <c r="G109" t="str">
        <f t="shared" si="4"/>
        <v>Florida</v>
      </c>
      <c r="P109">
        <f t="shared" si="5"/>
        <v>91566.78</v>
      </c>
      <c r="Q109">
        <f>IF(PQ_Cleansing!L109="Excellent", P109 * 0.1, IF(PQ_Cleansing!L109="Good", P109 * 0.05, IF(PQ_Cleansing!L109="Average", P109 * 0.02, IF(PQ_Cleansing!L109="Poor", 0, 0))))</f>
        <v>4578.3389999999999</v>
      </c>
      <c r="R109">
        <f>IFERROR(VALUE(SUBSTITUTE(SUBSTITUTE(PQ_Cleansing!I109, "$", ""), ",", "")), "")</f>
        <v>91566.78</v>
      </c>
    </row>
    <row r="110" spans="1:18" x14ac:dyDescent="0.25">
      <c r="A110" t="str">
        <f>PROPER(TRIM(CLEAN(RAW_DATA!A110)))</f>
        <v>Emp1108</v>
      </c>
      <c r="B110" t="str">
        <f>RAW_DATA!B110</f>
        <v>David</v>
      </c>
      <c r="C110" t="str">
        <f>RAW_DATA!C110</f>
        <v>Miller</v>
      </c>
      <c r="D110">
        <f>RAW_DATA!D110</f>
        <v>35</v>
      </c>
      <c r="E110" t="str">
        <f>RAW_DATA!E110</f>
        <v>DevOps-California</v>
      </c>
      <c r="F110" t="str">
        <f t="shared" si="3"/>
        <v>DevOps</v>
      </c>
      <c r="G110" t="str">
        <f t="shared" si="4"/>
        <v>California</v>
      </c>
      <c r="P110">
        <f t="shared" si="5"/>
        <v>81782.19</v>
      </c>
      <c r="Q110">
        <f>IF(PQ_Cleansing!L110="Excellent", P110 * 0.1, IF(PQ_Cleansing!L110="Good", P110 * 0.05, IF(PQ_Cleansing!L110="Average", P110 * 0.02, IF(PQ_Cleansing!L110="Poor", 0, 0))))</f>
        <v>4089.1095000000005</v>
      </c>
      <c r="R110">
        <f>IFERROR(VALUE(SUBSTITUTE(SUBSTITUTE(PQ_Cleansing!I110, "$", ""), ",", "")), "")</f>
        <v>81782.19</v>
      </c>
    </row>
    <row r="111" spans="1:18" x14ac:dyDescent="0.25">
      <c r="A111" t="str">
        <f>PROPER(TRIM(CLEAN(RAW_DATA!A111)))</f>
        <v>Emp1109</v>
      </c>
      <c r="B111" t="str">
        <f>RAW_DATA!B111</f>
        <v>Eva</v>
      </c>
      <c r="C111" t="str">
        <f>RAW_DATA!C111</f>
        <v>Davis</v>
      </c>
      <c r="D111">
        <f>RAW_DATA!D111</f>
        <v>0</v>
      </c>
      <c r="E111" t="str">
        <f>RAW_DATA!E111</f>
        <v>DevOps-New York</v>
      </c>
      <c r="F111" t="str">
        <f t="shared" si="3"/>
        <v>DevOps</v>
      </c>
      <c r="G111" t="str">
        <f t="shared" si="4"/>
        <v>New York</v>
      </c>
      <c r="P111">
        <f t="shared" si="5"/>
        <v>88119.37</v>
      </c>
      <c r="Q111">
        <f>IF(PQ_Cleansing!L111="Excellent", P111 * 0.1, IF(PQ_Cleansing!L111="Good", P111 * 0.05, IF(PQ_Cleansing!L111="Average", P111 * 0.02, IF(PQ_Cleansing!L111="Poor", 0, 0))))</f>
        <v>4405.9684999999999</v>
      </c>
      <c r="R111">
        <f>IFERROR(VALUE(SUBSTITUTE(SUBSTITUTE(PQ_Cleansing!I111, "$", ""), ",", "")), "")</f>
        <v>88119.37</v>
      </c>
    </row>
    <row r="112" spans="1:18" x14ac:dyDescent="0.25">
      <c r="A112" t="str">
        <f>PROPER(TRIM(CLEAN(RAW_DATA!A112)))</f>
        <v>Emp1110</v>
      </c>
      <c r="B112" t="str">
        <f>RAW_DATA!B112</f>
        <v>Eva</v>
      </c>
      <c r="C112" t="str">
        <f>RAW_DATA!C112</f>
        <v>Garcia</v>
      </c>
      <c r="D112">
        <f>RAW_DATA!D112</f>
        <v>30</v>
      </c>
      <c r="E112" t="str">
        <f>RAW_DATA!E112</f>
        <v>Cloud Tech-Texas</v>
      </c>
      <c r="F112" t="str">
        <f t="shared" si="3"/>
        <v>Cloud Tech</v>
      </c>
      <c r="G112" t="str">
        <f t="shared" si="4"/>
        <v>Texas</v>
      </c>
      <c r="P112">
        <f t="shared" si="5"/>
        <v>71532.83</v>
      </c>
      <c r="Q112">
        <f>IF(PQ_Cleansing!L112="Excellent", P112 * 0.1, IF(PQ_Cleansing!L112="Good", P112 * 0.05, IF(PQ_Cleansing!L112="Average", P112 * 0.02, IF(PQ_Cleansing!L112="Poor", 0, 0))))</f>
        <v>3576.6415000000002</v>
      </c>
      <c r="R112">
        <f>IFERROR(VALUE(SUBSTITUTE(SUBSTITUTE(PQ_Cleansing!I112, "$", ""), ",", "")), "")</f>
        <v>71532.83</v>
      </c>
    </row>
    <row r="113" spans="1:18" x14ac:dyDescent="0.25">
      <c r="A113" t="str">
        <f>PROPER(TRIM(CLEAN(RAW_DATA!A113)))</f>
        <v>Emp1111</v>
      </c>
      <c r="B113" t="str">
        <f>RAW_DATA!B113</f>
        <v>Eva</v>
      </c>
      <c r="C113" t="str">
        <f>RAW_DATA!C113</f>
        <v>Davis</v>
      </c>
      <c r="D113">
        <f>RAW_DATA!D113</f>
        <v>40</v>
      </c>
      <c r="E113" t="str">
        <f>RAW_DATA!E113</f>
        <v>Cloud Tech-Florida</v>
      </c>
      <c r="F113" t="str">
        <f t="shared" si="3"/>
        <v>Cloud Tech</v>
      </c>
      <c r="G113" t="str">
        <f t="shared" si="4"/>
        <v>Florida</v>
      </c>
      <c r="P113">
        <f t="shared" si="5"/>
        <v>98981.36</v>
      </c>
      <c r="Q113">
        <f>IF(PQ_Cleansing!L113="Excellent", P113 * 0.1, IF(PQ_Cleansing!L113="Good", P113 * 0.05, IF(PQ_Cleansing!L113="Average", P113 * 0.02, IF(PQ_Cleansing!L113="Poor", 0, 0))))</f>
        <v>4949.0680000000002</v>
      </c>
      <c r="R113">
        <f>IFERROR(VALUE(SUBSTITUTE(SUBSTITUTE(PQ_Cleansing!I113, "$", ""), ",", "")), "")</f>
        <v>98981.36</v>
      </c>
    </row>
    <row r="114" spans="1:18" x14ac:dyDescent="0.25">
      <c r="A114" t="str">
        <f>PROPER(TRIM(CLEAN(RAW_DATA!A114)))</f>
        <v>Emp1112</v>
      </c>
      <c r="B114" t="str">
        <f>RAW_DATA!B114</f>
        <v>Heidi</v>
      </c>
      <c r="C114" t="str">
        <f>RAW_DATA!C114</f>
        <v>Garcia</v>
      </c>
      <c r="D114">
        <f>RAW_DATA!D114</f>
        <v>40</v>
      </c>
      <c r="E114" t="str">
        <f>RAW_DATA!E114</f>
        <v>Cloud Tech-Illinois</v>
      </c>
      <c r="F114" t="str">
        <f t="shared" si="3"/>
        <v>Cloud Tech</v>
      </c>
      <c r="G114" t="str">
        <f t="shared" si="4"/>
        <v>Illinois</v>
      </c>
      <c r="P114">
        <f t="shared" si="5"/>
        <v>80242.009999999995</v>
      </c>
      <c r="Q114">
        <f>IF(PQ_Cleansing!L114="Excellent", P114 * 0.1, IF(PQ_Cleansing!L114="Good", P114 * 0.05, IF(PQ_Cleansing!L114="Average", P114 * 0.02, IF(PQ_Cleansing!L114="Poor", 0, 0))))</f>
        <v>4012.1005</v>
      </c>
      <c r="R114">
        <f>IFERROR(VALUE(SUBSTITUTE(SUBSTITUTE(PQ_Cleansing!I114, "$", ""), ",", "")), "")</f>
        <v>80242.009999999995</v>
      </c>
    </row>
    <row r="115" spans="1:18" x14ac:dyDescent="0.25">
      <c r="A115" t="str">
        <f>PROPER(TRIM(CLEAN(RAW_DATA!A115)))</f>
        <v>Emp1113</v>
      </c>
      <c r="B115" t="str">
        <f>RAW_DATA!B115</f>
        <v>Eva</v>
      </c>
      <c r="C115" t="str">
        <f>RAW_DATA!C115</f>
        <v>Miller</v>
      </c>
      <c r="D115">
        <f>RAW_DATA!D115</f>
        <v>25</v>
      </c>
      <c r="E115" t="str">
        <f>RAW_DATA!E115</f>
        <v>Cloud Tech-New York</v>
      </c>
      <c r="F115" t="str">
        <f t="shared" si="3"/>
        <v>Cloud Tech</v>
      </c>
      <c r="G115" t="str">
        <f t="shared" si="4"/>
        <v>New York</v>
      </c>
      <c r="P115">
        <f t="shared" si="5"/>
        <v>110236.18</v>
      </c>
      <c r="Q115">
        <f>IF(PQ_Cleansing!L115="Excellent", P115 * 0.1, IF(PQ_Cleansing!L115="Good", P115 * 0.05, IF(PQ_Cleansing!L115="Average", P115 * 0.02, IF(PQ_Cleansing!L115="Poor", 0, 0))))</f>
        <v>2204.7235999999998</v>
      </c>
      <c r="R115">
        <f>IFERROR(VALUE(SUBSTITUTE(SUBSTITUTE(PQ_Cleansing!I115, "$", ""), ",", "")), "")</f>
        <v>110236.18</v>
      </c>
    </row>
    <row r="116" spans="1:18" x14ac:dyDescent="0.25">
      <c r="A116" t="str">
        <f>PROPER(TRIM(CLEAN(RAW_DATA!A116)))</f>
        <v>Emp1114</v>
      </c>
      <c r="B116" t="str">
        <f>RAW_DATA!B116</f>
        <v>Alice</v>
      </c>
      <c r="C116" t="str">
        <f>RAW_DATA!C116</f>
        <v>Davis</v>
      </c>
      <c r="D116">
        <f>RAW_DATA!D116</f>
        <v>35</v>
      </c>
      <c r="E116" t="str">
        <f>RAW_DATA!E116</f>
        <v>Sales-Texas</v>
      </c>
      <c r="F116" t="str">
        <f t="shared" si="3"/>
        <v>Sales</v>
      </c>
      <c r="G116" t="str">
        <f t="shared" si="4"/>
        <v>Texas</v>
      </c>
      <c r="P116">
        <f t="shared" si="5"/>
        <v>86327.47</v>
      </c>
      <c r="Q116">
        <f>IF(PQ_Cleansing!L116="Excellent", P116 * 0.1, IF(PQ_Cleansing!L116="Good", P116 * 0.05, IF(PQ_Cleansing!L116="Average", P116 * 0.02, IF(PQ_Cleansing!L116="Poor", 0, 0))))</f>
        <v>1726.5494000000001</v>
      </c>
      <c r="R116">
        <f>IFERROR(VALUE(SUBSTITUTE(SUBSTITUTE(PQ_Cleansing!I116, "$", ""), ",", "")), "")</f>
        <v>86327.47</v>
      </c>
    </row>
    <row r="117" spans="1:18" x14ac:dyDescent="0.25">
      <c r="A117" t="str">
        <f>PROPER(TRIM(CLEAN(RAW_DATA!A117)))</f>
        <v>Emp1115</v>
      </c>
      <c r="B117" t="str">
        <f>RAW_DATA!B117</f>
        <v>Eva</v>
      </c>
      <c r="C117" t="str">
        <f>RAW_DATA!C117</f>
        <v>Brown</v>
      </c>
      <c r="D117">
        <f>RAW_DATA!D117</f>
        <v>30</v>
      </c>
      <c r="E117" t="str">
        <f>RAW_DATA!E117</f>
        <v>Sales-Florida</v>
      </c>
      <c r="F117" t="str">
        <f t="shared" si="3"/>
        <v>Sales</v>
      </c>
      <c r="G117" t="str">
        <f t="shared" si="4"/>
        <v>Florida</v>
      </c>
      <c r="P117">
        <f t="shared" si="5"/>
        <v>84420.81</v>
      </c>
      <c r="Q117">
        <f>IF(PQ_Cleansing!L117="Excellent", P117 * 0.1, IF(PQ_Cleansing!L117="Good", P117 * 0.05, IF(PQ_Cleansing!L117="Average", P117 * 0.02, IF(PQ_Cleansing!L117="Poor", 0, 0))))</f>
        <v>1688.4161999999999</v>
      </c>
      <c r="R117">
        <f>IFERROR(VALUE(SUBSTITUTE(SUBSTITUTE(PQ_Cleansing!I117, "$", ""), ",", "")), "")</f>
        <v>84420.81</v>
      </c>
    </row>
    <row r="118" spans="1:18" x14ac:dyDescent="0.25">
      <c r="A118" t="str">
        <f>PROPER(TRIM(CLEAN(RAW_DATA!A118)))</f>
        <v>Emp1116</v>
      </c>
      <c r="B118" t="str">
        <f>RAW_DATA!B118</f>
        <v>Frank</v>
      </c>
      <c r="C118" t="str">
        <f>RAW_DATA!C118</f>
        <v>Smith</v>
      </c>
      <c r="D118">
        <f>RAW_DATA!D118</f>
        <v>40</v>
      </c>
      <c r="E118" t="str">
        <f>RAW_DATA!E118</f>
        <v>HR-California</v>
      </c>
      <c r="F118" t="str">
        <f t="shared" si="3"/>
        <v>HR</v>
      </c>
      <c r="G118" t="str">
        <f t="shared" si="4"/>
        <v>California</v>
      </c>
      <c r="P118">
        <f t="shared" si="5"/>
        <v>110041.32</v>
      </c>
      <c r="Q118">
        <f>IF(PQ_Cleansing!L118="Excellent", P118 * 0.1, IF(PQ_Cleansing!L118="Good", P118 * 0.05, IF(PQ_Cleansing!L118="Average", P118 * 0.02, IF(PQ_Cleansing!L118="Poor", 0, 0))))</f>
        <v>2200.8264000000004</v>
      </c>
      <c r="R118">
        <f>IFERROR(VALUE(SUBSTITUTE(SUBSTITUTE(PQ_Cleansing!I118, "$", ""), ",", "")), "")</f>
        <v>110041.32</v>
      </c>
    </row>
    <row r="119" spans="1:18" x14ac:dyDescent="0.25">
      <c r="A119" t="str">
        <f>PROPER(TRIM(CLEAN(RAW_DATA!A119)))</f>
        <v>Emp1117</v>
      </c>
      <c r="B119" t="str">
        <f>RAW_DATA!B119</f>
        <v>Heidi</v>
      </c>
      <c r="C119" t="str">
        <f>RAW_DATA!C119</f>
        <v>Miller</v>
      </c>
      <c r="D119">
        <f>RAW_DATA!D119</f>
        <v>35</v>
      </c>
      <c r="E119" t="str">
        <f>RAW_DATA!E119</f>
        <v>DevOps-Florida</v>
      </c>
      <c r="F119" t="str">
        <f t="shared" si="3"/>
        <v>DevOps</v>
      </c>
      <c r="G119" t="str">
        <f t="shared" si="4"/>
        <v>Florida</v>
      </c>
      <c r="P119">
        <f t="shared" si="5"/>
        <v>81837.81</v>
      </c>
      <c r="Q119">
        <f>IF(PQ_Cleansing!L119="Excellent", P119 * 0.1, IF(PQ_Cleansing!L119="Good", P119 * 0.05, IF(PQ_Cleansing!L119="Average", P119 * 0.02, IF(PQ_Cleansing!L119="Poor", 0, 0))))</f>
        <v>4091.8905</v>
      </c>
      <c r="R119">
        <f>IFERROR(VALUE(SUBSTITUTE(SUBSTITUTE(PQ_Cleansing!I119, "$", ""), ",", "")), "")</f>
        <v>81837.81</v>
      </c>
    </row>
    <row r="120" spans="1:18" x14ac:dyDescent="0.25">
      <c r="A120" t="str">
        <f>PROPER(TRIM(CLEAN(RAW_DATA!A120)))</f>
        <v>Emp1118</v>
      </c>
      <c r="B120" t="str">
        <f>RAW_DATA!B120</f>
        <v>Frank</v>
      </c>
      <c r="C120" t="str">
        <f>RAW_DATA!C120</f>
        <v>Garcia</v>
      </c>
      <c r="D120">
        <f>RAW_DATA!D120</f>
        <v>25</v>
      </c>
      <c r="E120" t="str">
        <f>RAW_DATA!E120</f>
        <v>Finance-Illinois</v>
      </c>
      <c r="F120" t="str">
        <f t="shared" si="3"/>
        <v>Finance</v>
      </c>
      <c r="G120" t="str">
        <f t="shared" si="4"/>
        <v>Illinois</v>
      </c>
      <c r="P120">
        <f t="shared" si="5"/>
        <v>110855.72</v>
      </c>
      <c r="Q120">
        <f>IF(PQ_Cleansing!L120="Excellent", P120 * 0.1, IF(PQ_Cleansing!L120="Good", P120 * 0.05, IF(PQ_Cleansing!L120="Average", P120 * 0.02, IF(PQ_Cleansing!L120="Poor", 0, 0))))</f>
        <v>0</v>
      </c>
      <c r="R120">
        <f>IFERROR(VALUE(SUBSTITUTE(SUBSTITUTE(PQ_Cleansing!I120, "$", ""), ",", "")), "")</f>
        <v>110855.72</v>
      </c>
    </row>
    <row r="121" spans="1:18" x14ac:dyDescent="0.25">
      <c r="A121" t="str">
        <f>PROPER(TRIM(CLEAN(RAW_DATA!A121)))</f>
        <v>Emp1119</v>
      </c>
      <c r="B121" t="str">
        <f>RAW_DATA!B121</f>
        <v>Alice</v>
      </c>
      <c r="C121" t="str">
        <f>RAW_DATA!C121</f>
        <v>Jones</v>
      </c>
      <c r="D121">
        <f>RAW_DATA!D121</f>
        <v>30</v>
      </c>
      <c r="E121" t="str">
        <f>RAW_DATA!E121</f>
        <v>Sales-California</v>
      </c>
      <c r="F121" t="str">
        <f t="shared" si="3"/>
        <v>Sales</v>
      </c>
      <c r="G121" t="str">
        <f t="shared" si="4"/>
        <v>California</v>
      </c>
      <c r="P121">
        <f t="shared" si="5"/>
        <v>84894.52</v>
      </c>
      <c r="Q121">
        <f>IF(PQ_Cleansing!L121="Excellent", P121 * 0.1, IF(PQ_Cleansing!L121="Good", P121 * 0.05, IF(PQ_Cleansing!L121="Average", P121 * 0.02, IF(PQ_Cleansing!L121="Poor", 0, 0))))</f>
        <v>8489.4520000000011</v>
      </c>
      <c r="R121">
        <f>IFERROR(VALUE(SUBSTITUTE(SUBSTITUTE(PQ_Cleansing!I121, "$", ""), ",", "")), "")</f>
        <v>84894.52</v>
      </c>
    </row>
    <row r="122" spans="1:18" x14ac:dyDescent="0.25">
      <c r="A122" t="str">
        <f>PROPER(TRIM(CLEAN(RAW_DATA!A122)))</f>
        <v>Emp1120</v>
      </c>
      <c r="B122" t="str">
        <f>RAW_DATA!B122</f>
        <v>Alice</v>
      </c>
      <c r="C122" t="str">
        <f>RAW_DATA!C122</f>
        <v>Garcia</v>
      </c>
      <c r="D122">
        <f>RAW_DATA!D122</f>
        <v>30</v>
      </c>
      <c r="E122" t="str">
        <f>RAW_DATA!E122</f>
        <v>HR-Illinois</v>
      </c>
      <c r="F122" t="str">
        <f t="shared" si="3"/>
        <v>HR</v>
      </c>
      <c r="G122" t="str">
        <f t="shared" si="4"/>
        <v>Illinois</v>
      </c>
      <c r="P122">
        <f t="shared" si="5"/>
        <v>80668.13</v>
      </c>
      <c r="Q122">
        <f>IF(PQ_Cleansing!L122="Excellent", P122 * 0.1, IF(PQ_Cleansing!L122="Good", P122 * 0.05, IF(PQ_Cleansing!L122="Average", P122 * 0.02, IF(PQ_Cleansing!L122="Poor", 0, 0))))</f>
        <v>4033.4065000000005</v>
      </c>
      <c r="R122">
        <f>IFERROR(VALUE(SUBSTITUTE(SUBSTITUTE(PQ_Cleansing!I122, "$", ""), ",", "")), "")</f>
        <v>80668.13</v>
      </c>
    </row>
    <row r="123" spans="1:18" x14ac:dyDescent="0.25">
      <c r="A123" t="str">
        <f>PROPER(TRIM(CLEAN(RAW_DATA!A123)))</f>
        <v>Emp1121</v>
      </c>
      <c r="B123" t="str">
        <f>RAW_DATA!B123</f>
        <v>Bob</v>
      </c>
      <c r="C123" t="str">
        <f>RAW_DATA!C123</f>
        <v>Jones</v>
      </c>
      <c r="D123">
        <f>RAW_DATA!D123</f>
        <v>25</v>
      </c>
      <c r="E123" t="str">
        <f>RAW_DATA!E123</f>
        <v>DevOps-Illinois</v>
      </c>
      <c r="F123" t="str">
        <f t="shared" si="3"/>
        <v>DevOps</v>
      </c>
      <c r="G123" t="str">
        <f t="shared" si="4"/>
        <v>Illinois</v>
      </c>
      <c r="P123">
        <f t="shared" si="5"/>
        <v>61086.47</v>
      </c>
      <c r="Q123">
        <f>IF(PQ_Cleansing!L123="Excellent", P123 * 0.1, IF(PQ_Cleansing!L123="Good", P123 * 0.05, IF(PQ_Cleansing!L123="Average", P123 * 0.02, IF(PQ_Cleansing!L123="Poor", 0, 0))))</f>
        <v>6108.6470000000008</v>
      </c>
      <c r="R123">
        <f>IFERROR(VALUE(SUBSTITUTE(SUBSTITUTE(PQ_Cleansing!I123, "$", ""), ",", "")), "")</f>
        <v>61086.47</v>
      </c>
    </row>
    <row r="124" spans="1:18" x14ac:dyDescent="0.25">
      <c r="A124" t="str">
        <f>PROPER(TRIM(CLEAN(RAW_DATA!A124)))</f>
        <v>Emp1122</v>
      </c>
      <c r="B124" t="str">
        <f>RAW_DATA!B124</f>
        <v>Grace</v>
      </c>
      <c r="C124" t="str">
        <f>RAW_DATA!C124</f>
        <v>Johnson</v>
      </c>
      <c r="D124">
        <f>RAW_DATA!D124</f>
        <v>25</v>
      </c>
      <c r="E124" t="str">
        <f>RAW_DATA!E124</f>
        <v>Admin-Texas</v>
      </c>
      <c r="F124" t="str">
        <f t="shared" si="3"/>
        <v>Admin</v>
      </c>
      <c r="G124" t="str">
        <f t="shared" si="4"/>
        <v>Texas</v>
      </c>
      <c r="P124">
        <f t="shared" si="5"/>
        <v>95339.68</v>
      </c>
      <c r="Q124">
        <f>IF(PQ_Cleansing!L124="Excellent", P124 * 0.1, IF(PQ_Cleansing!L124="Good", P124 * 0.05, IF(PQ_Cleansing!L124="Average", P124 * 0.02, IF(PQ_Cleansing!L124="Poor", 0, 0))))</f>
        <v>0</v>
      </c>
      <c r="R124">
        <f>IFERROR(VALUE(SUBSTITUTE(SUBSTITUTE(PQ_Cleansing!I124, "$", ""), ",", "")), "")</f>
        <v>95339.68</v>
      </c>
    </row>
    <row r="125" spans="1:18" x14ac:dyDescent="0.25">
      <c r="A125" t="str">
        <f>PROPER(TRIM(CLEAN(RAW_DATA!A125)))</f>
        <v>Emp1123</v>
      </c>
      <c r="B125" t="str">
        <f>RAW_DATA!B125</f>
        <v>Eva</v>
      </c>
      <c r="C125" t="str">
        <f>RAW_DATA!C125</f>
        <v>Davis</v>
      </c>
      <c r="D125">
        <f>RAW_DATA!D125</f>
        <v>0</v>
      </c>
      <c r="E125" t="str">
        <f>RAW_DATA!E125</f>
        <v>DevOps-California</v>
      </c>
      <c r="F125" t="str">
        <f t="shared" si="3"/>
        <v>DevOps</v>
      </c>
      <c r="G125" t="str">
        <f t="shared" si="4"/>
        <v>California</v>
      </c>
      <c r="P125">
        <f t="shared" si="5"/>
        <v>83774.97</v>
      </c>
      <c r="Q125">
        <f>IF(PQ_Cleansing!L125="Excellent", P125 * 0.1, IF(PQ_Cleansing!L125="Good", P125 * 0.05, IF(PQ_Cleansing!L125="Average", P125 * 0.02, IF(PQ_Cleansing!L125="Poor", 0, 0))))</f>
        <v>1675.4994000000002</v>
      </c>
      <c r="R125">
        <f>IFERROR(VALUE(SUBSTITUTE(SUBSTITUTE(PQ_Cleansing!I125, "$", ""), ",", "")), "")</f>
        <v>83774.97</v>
      </c>
    </row>
    <row r="126" spans="1:18" x14ac:dyDescent="0.25">
      <c r="A126" t="str">
        <f>PROPER(TRIM(CLEAN(RAW_DATA!A126)))</f>
        <v>Emp1124</v>
      </c>
      <c r="B126" t="str">
        <f>RAW_DATA!B126</f>
        <v>Heidi</v>
      </c>
      <c r="C126" t="str">
        <f>RAW_DATA!C126</f>
        <v>Jones</v>
      </c>
      <c r="D126">
        <f>RAW_DATA!D126</f>
        <v>0</v>
      </c>
      <c r="E126" t="str">
        <f>RAW_DATA!E126</f>
        <v>Admin-Florida</v>
      </c>
      <c r="F126" t="str">
        <f t="shared" si="3"/>
        <v>Admin</v>
      </c>
      <c r="G126" t="str">
        <f t="shared" si="4"/>
        <v>Florida</v>
      </c>
      <c r="P126">
        <f t="shared" si="5"/>
        <v>85576.86</v>
      </c>
      <c r="Q126">
        <f>IF(PQ_Cleansing!L126="Excellent", P126 * 0.1, IF(PQ_Cleansing!L126="Good", P126 * 0.05, IF(PQ_Cleansing!L126="Average", P126 * 0.02, IF(PQ_Cleansing!L126="Poor", 0, 0))))</f>
        <v>0</v>
      </c>
      <c r="R126">
        <f>IFERROR(VALUE(SUBSTITUTE(SUBSTITUTE(PQ_Cleansing!I126, "$", ""), ",", "")), "")</f>
        <v>85576.86</v>
      </c>
    </row>
    <row r="127" spans="1:18" x14ac:dyDescent="0.25">
      <c r="A127" t="str">
        <f>PROPER(TRIM(CLEAN(RAW_DATA!A127)))</f>
        <v>Emp1125</v>
      </c>
      <c r="B127" t="str">
        <f>RAW_DATA!B127</f>
        <v>Bob</v>
      </c>
      <c r="C127" t="str">
        <f>RAW_DATA!C127</f>
        <v>Garcia</v>
      </c>
      <c r="D127">
        <f>RAW_DATA!D127</f>
        <v>35</v>
      </c>
      <c r="E127" t="str">
        <f>RAW_DATA!E127</f>
        <v>Finance-California</v>
      </c>
      <c r="F127" t="str">
        <f t="shared" si="3"/>
        <v>Finance</v>
      </c>
      <c r="G127" t="str">
        <f t="shared" si="4"/>
        <v>California</v>
      </c>
      <c r="P127">
        <f t="shared" si="5"/>
        <v>107438.46</v>
      </c>
      <c r="Q127">
        <f>IF(PQ_Cleansing!L127="Excellent", P127 * 0.1, IF(PQ_Cleansing!L127="Good", P127 * 0.05, IF(PQ_Cleansing!L127="Average", P127 * 0.02, IF(PQ_Cleansing!L127="Poor", 0, 0))))</f>
        <v>5371.9230000000007</v>
      </c>
      <c r="R127">
        <f>IFERROR(VALUE(SUBSTITUTE(SUBSTITUTE(PQ_Cleansing!I127, "$", ""), ",", "")), "")</f>
        <v>107438.46</v>
      </c>
    </row>
    <row r="128" spans="1:18" x14ac:dyDescent="0.25">
      <c r="A128" t="str">
        <f>PROPER(TRIM(CLEAN(RAW_DATA!A128)))</f>
        <v>Emp1126</v>
      </c>
      <c r="B128" t="str">
        <f>RAW_DATA!B128</f>
        <v>Eva</v>
      </c>
      <c r="C128" t="str">
        <f>RAW_DATA!C128</f>
        <v>Johnson</v>
      </c>
      <c r="D128">
        <f>RAW_DATA!D128</f>
        <v>0</v>
      </c>
      <c r="E128" t="str">
        <f>RAW_DATA!E128</f>
        <v>Sales-Nevada</v>
      </c>
      <c r="F128" t="str">
        <f t="shared" si="3"/>
        <v>Sales</v>
      </c>
      <c r="G128" t="str">
        <f t="shared" si="4"/>
        <v>Nevada</v>
      </c>
      <c r="P128">
        <f t="shared" si="5"/>
        <v>60401.68</v>
      </c>
      <c r="Q128">
        <f>IF(PQ_Cleansing!L128="Excellent", P128 * 0.1, IF(PQ_Cleansing!L128="Good", P128 * 0.05, IF(PQ_Cleansing!L128="Average", P128 * 0.02, IF(PQ_Cleansing!L128="Poor", 0, 0))))</f>
        <v>1208.0336</v>
      </c>
      <c r="R128">
        <f>IFERROR(VALUE(SUBSTITUTE(SUBSTITUTE(PQ_Cleansing!I128, "$", ""), ",", "")), "")</f>
        <v>60401.68</v>
      </c>
    </row>
    <row r="129" spans="1:18" x14ac:dyDescent="0.25">
      <c r="A129" t="str">
        <f>PROPER(TRIM(CLEAN(RAW_DATA!A129)))</f>
        <v>Emp1127</v>
      </c>
      <c r="B129" t="str">
        <f>RAW_DATA!B129</f>
        <v>Frank</v>
      </c>
      <c r="C129" t="str">
        <f>RAW_DATA!C129</f>
        <v>Smith</v>
      </c>
      <c r="D129">
        <f>RAW_DATA!D129</f>
        <v>35</v>
      </c>
      <c r="E129" t="str">
        <f>RAW_DATA!E129</f>
        <v>Sales-Illinois</v>
      </c>
      <c r="F129" t="str">
        <f t="shared" si="3"/>
        <v>Sales</v>
      </c>
      <c r="G129" t="str">
        <f t="shared" si="4"/>
        <v>Illinois</v>
      </c>
      <c r="P129">
        <f t="shared" si="5"/>
        <v>115299.66</v>
      </c>
      <c r="Q129">
        <f>IF(PQ_Cleansing!L129="Excellent", P129 * 0.1, IF(PQ_Cleansing!L129="Good", P129 * 0.05, IF(PQ_Cleansing!L129="Average", P129 * 0.02, IF(PQ_Cleansing!L129="Poor", 0, 0))))</f>
        <v>5764.9830000000002</v>
      </c>
      <c r="R129">
        <f>IFERROR(VALUE(SUBSTITUTE(SUBSTITUTE(PQ_Cleansing!I129, "$", ""), ",", "")), "")</f>
        <v>115299.66</v>
      </c>
    </row>
    <row r="130" spans="1:18" x14ac:dyDescent="0.25">
      <c r="A130" t="str">
        <f>PROPER(TRIM(CLEAN(RAW_DATA!A130)))</f>
        <v>Emp1128</v>
      </c>
      <c r="B130" t="str">
        <f>RAW_DATA!B130</f>
        <v>David</v>
      </c>
      <c r="C130" t="str">
        <f>RAW_DATA!C130</f>
        <v>Brown</v>
      </c>
      <c r="D130">
        <f>RAW_DATA!D130</f>
        <v>0</v>
      </c>
      <c r="E130" t="str">
        <f>RAW_DATA!E130</f>
        <v>Finance-New York</v>
      </c>
      <c r="F130" t="str">
        <f t="shared" si="3"/>
        <v>Finance</v>
      </c>
      <c r="G130" t="str">
        <f t="shared" si="4"/>
        <v>New York</v>
      </c>
      <c r="P130">
        <f t="shared" si="5"/>
        <v>72272.34</v>
      </c>
      <c r="Q130">
        <f>IF(PQ_Cleansing!L130="Excellent", P130 * 0.1, IF(PQ_Cleansing!L130="Good", P130 * 0.05, IF(PQ_Cleansing!L130="Average", P130 * 0.02, IF(PQ_Cleansing!L130="Poor", 0, 0))))</f>
        <v>1445.4467999999999</v>
      </c>
      <c r="R130">
        <f>IFERROR(VALUE(SUBSTITUTE(SUBSTITUTE(PQ_Cleansing!I130, "$", ""), ",", "")), "")</f>
        <v>72272.34</v>
      </c>
    </row>
    <row r="131" spans="1:18" x14ac:dyDescent="0.25">
      <c r="A131" t="str">
        <f>PROPER(TRIM(CLEAN(RAW_DATA!A131)))</f>
        <v>Emp1129</v>
      </c>
      <c r="B131" t="str">
        <f>RAW_DATA!B131</f>
        <v>Grace</v>
      </c>
      <c r="C131" t="str">
        <f>RAW_DATA!C131</f>
        <v>Brown</v>
      </c>
      <c r="D131">
        <f>RAW_DATA!D131</f>
        <v>40</v>
      </c>
      <c r="E131" t="str">
        <f>RAW_DATA!E131</f>
        <v>DevOps-Nevada</v>
      </c>
      <c r="F131" t="str">
        <f t="shared" ref="F131:F194" si="6">LEFT(E131, FIND("-", E131) - 1)</f>
        <v>DevOps</v>
      </c>
      <c r="G131" t="str">
        <f t="shared" ref="G131:G194" si="7">RIGHT(E131, LEN(E131) - FIND("-",E131))</f>
        <v>Nevada</v>
      </c>
      <c r="P131">
        <f t="shared" ref="P131:P194" si="8">IF(ISNUMBER(R131), R131, AVERAGEIF($R$2:$R$1000, "&gt;0"))</f>
        <v>117537.71</v>
      </c>
      <c r="Q131">
        <f>IF(PQ_Cleansing!L131="Excellent", P131 * 0.1, IF(PQ_Cleansing!L131="Good", P131 * 0.05, IF(PQ_Cleansing!L131="Average", P131 * 0.02, IF(PQ_Cleansing!L131="Poor", 0, 0))))</f>
        <v>11753.771000000001</v>
      </c>
      <c r="R131">
        <f>IFERROR(VALUE(SUBSTITUTE(SUBSTITUTE(PQ_Cleansing!I131, "$", ""), ",", "")), "")</f>
        <v>117537.71</v>
      </c>
    </row>
    <row r="132" spans="1:18" x14ac:dyDescent="0.25">
      <c r="A132" t="str">
        <f>PROPER(TRIM(CLEAN(RAW_DATA!A132)))</f>
        <v>Emp1130</v>
      </c>
      <c r="B132" t="str">
        <f>RAW_DATA!B132</f>
        <v>Frank</v>
      </c>
      <c r="C132" t="str">
        <f>RAW_DATA!C132</f>
        <v>Brown</v>
      </c>
      <c r="D132">
        <f>RAW_DATA!D132</f>
        <v>25</v>
      </c>
      <c r="E132" t="str">
        <f>RAW_DATA!E132</f>
        <v>Finance-Texas</v>
      </c>
      <c r="F132" t="str">
        <f t="shared" si="6"/>
        <v>Finance</v>
      </c>
      <c r="G132" t="str">
        <f t="shared" si="7"/>
        <v>Texas</v>
      </c>
      <c r="P132">
        <f t="shared" si="8"/>
        <v>51074.33</v>
      </c>
      <c r="Q132">
        <f>IF(PQ_Cleansing!L132="Excellent", P132 * 0.1, IF(PQ_Cleansing!L132="Good", P132 * 0.05, IF(PQ_Cleansing!L132="Average", P132 * 0.02, IF(PQ_Cleansing!L132="Poor", 0, 0))))</f>
        <v>5107.4330000000009</v>
      </c>
      <c r="R132">
        <f>IFERROR(VALUE(SUBSTITUTE(SUBSTITUTE(PQ_Cleansing!I132, "$", ""), ",", "")), "")</f>
        <v>51074.33</v>
      </c>
    </row>
    <row r="133" spans="1:18" x14ac:dyDescent="0.25">
      <c r="A133" t="str">
        <f>PROPER(TRIM(CLEAN(RAW_DATA!A133)))</f>
        <v>Emp1131</v>
      </c>
      <c r="B133" t="str">
        <f>RAW_DATA!B133</f>
        <v>Charlie</v>
      </c>
      <c r="C133" t="str">
        <f>RAW_DATA!C133</f>
        <v>Jones</v>
      </c>
      <c r="D133">
        <f>RAW_DATA!D133</f>
        <v>25</v>
      </c>
      <c r="E133" t="str">
        <f>RAW_DATA!E133</f>
        <v>Finance-California</v>
      </c>
      <c r="F133" t="str">
        <f t="shared" si="6"/>
        <v>Finance</v>
      </c>
      <c r="G133" t="str">
        <f t="shared" si="7"/>
        <v>California</v>
      </c>
      <c r="P133">
        <f t="shared" si="8"/>
        <v>98489.32</v>
      </c>
      <c r="Q133">
        <f>IF(PQ_Cleansing!L133="Excellent", P133 * 0.1, IF(PQ_Cleansing!L133="Good", P133 * 0.05, IF(PQ_Cleansing!L133="Average", P133 * 0.02, IF(PQ_Cleansing!L133="Poor", 0, 0))))</f>
        <v>9848.9320000000007</v>
      </c>
      <c r="R133">
        <f>IFERROR(VALUE(SUBSTITUTE(SUBSTITUTE(PQ_Cleansing!I133, "$", ""), ",", "")), "")</f>
        <v>98489.32</v>
      </c>
    </row>
    <row r="134" spans="1:18" x14ac:dyDescent="0.25">
      <c r="A134" t="str">
        <f>PROPER(TRIM(CLEAN(RAW_DATA!A134)))</f>
        <v>Emp1132</v>
      </c>
      <c r="B134" t="str">
        <f>RAW_DATA!B134</f>
        <v>Frank</v>
      </c>
      <c r="C134" t="str">
        <f>RAW_DATA!C134</f>
        <v>Smith</v>
      </c>
      <c r="D134">
        <f>RAW_DATA!D134</f>
        <v>0</v>
      </c>
      <c r="E134" t="str">
        <f>RAW_DATA!E134</f>
        <v>Finance-California</v>
      </c>
      <c r="F134" t="str">
        <f t="shared" si="6"/>
        <v>Finance</v>
      </c>
      <c r="G134" t="str">
        <f t="shared" si="7"/>
        <v>California</v>
      </c>
      <c r="P134">
        <f t="shared" si="8"/>
        <v>112120.71</v>
      </c>
      <c r="Q134">
        <f>IF(PQ_Cleansing!L134="Excellent", P134 * 0.1, IF(PQ_Cleansing!L134="Good", P134 * 0.05, IF(PQ_Cleansing!L134="Average", P134 * 0.02, IF(PQ_Cleansing!L134="Poor", 0, 0))))</f>
        <v>0</v>
      </c>
      <c r="R134">
        <f>IFERROR(VALUE(SUBSTITUTE(SUBSTITUTE(PQ_Cleansing!I134, "$", ""), ",", "")), "")</f>
        <v>112120.71</v>
      </c>
    </row>
    <row r="135" spans="1:18" x14ac:dyDescent="0.25">
      <c r="A135" t="str">
        <f>PROPER(TRIM(CLEAN(RAW_DATA!A135)))</f>
        <v>Emp1133</v>
      </c>
      <c r="B135" t="str">
        <f>RAW_DATA!B135</f>
        <v>Alice</v>
      </c>
      <c r="C135" t="str">
        <f>RAW_DATA!C135</f>
        <v>Jones</v>
      </c>
      <c r="D135">
        <f>RAW_DATA!D135</f>
        <v>0</v>
      </c>
      <c r="E135" t="str">
        <f>RAW_DATA!E135</f>
        <v>Cloud Tech-New York</v>
      </c>
      <c r="F135" t="str">
        <f t="shared" si="6"/>
        <v>Cloud Tech</v>
      </c>
      <c r="G135" t="str">
        <f t="shared" si="7"/>
        <v>New York</v>
      </c>
      <c r="P135">
        <f t="shared" si="8"/>
        <v>114465.04</v>
      </c>
      <c r="Q135">
        <f>IF(PQ_Cleansing!L135="Excellent", P135 * 0.1, IF(PQ_Cleansing!L135="Good", P135 * 0.05, IF(PQ_Cleansing!L135="Average", P135 * 0.02, IF(PQ_Cleansing!L135="Poor", 0, 0))))</f>
        <v>5723.2520000000004</v>
      </c>
      <c r="R135">
        <f>IFERROR(VALUE(SUBSTITUTE(SUBSTITUTE(PQ_Cleansing!I135, "$", ""), ",", "")), "")</f>
        <v>114465.04</v>
      </c>
    </row>
    <row r="136" spans="1:18" x14ac:dyDescent="0.25">
      <c r="A136" t="str">
        <f>PROPER(TRIM(CLEAN(RAW_DATA!A136)))</f>
        <v>Emp1134</v>
      </c>
      <c r="B136" t="str">
        <f>RAW_DATA!B136</f>
        <v>Bob</v>
      </c>
      <c r="C136" t="str">
        <f>RAW_DATA!C136</f>
        <v>Davis</v>
      </c>
      <c r="D136">
        <f>RAW_DATA!D136</f>
        <v>40</v>
      </c>
      <c r="E136" t="str">
        <f>RAW_DATA!E136</f>
        <v>Cloud Tech-Nevada</v>
      </c>
      <c r="F136" t="str">
        <f t="shared" si="6"/>
        <v>Cloud Tech</v>
      </c>
      <c r="G136" t="str">
        <f t="shared" si="7"/>
        <v>Nevada</v>
      </c>
      <c r="P136">
        <f t="shared" si="8"/>
        <v>57035.51</v>
      </c>
      <c r="Q136">
        <f>IF(PQ_Cleansing!L136="Excellent", P136 * 0.1, IF(PQ_Cleansing!L136="Good", P136 * 0.05, IF(PQ_Cleansing!L136="Average", P136 * 0.02, IF(PQ_Cleansing!L136="Poor", 0, 0))))</f>
        <v>0</v>
      </c>
      <c r="R136">
        <f>IFERROR(VALUE(SUBSTITUTE(SUBSTITUTE(PQ_Cleansing!I136, "$", ""), ",", "")), "")</f>
        <v>57035.51</v>
      </c>
    </row>
    <row r="137" spans="1:18" x14ac:dyDescent="0.25">
      <c r="A137" t="str">
        <f>PROPER(TRIM(CLEAN(RAW_DATA!A137)))</f>
        <v>Emp1135</v>
      </c>
      <c r="B137" t="str">
        <f>RAW_DATA!B137</f>
        <v>Eva</v>
      </c>
      <c r="C137" t="str">
        <f>RAW_DATA!C137</f>
        <v>Jones</v>
      </c>
      <c r="D137">
        <f>RAW_DATA!D137</f>
        <v>25</v>
      </c>
      <c r="E137" t="str">
        <f>RAW_DATA!E137</f>
        <v>Cloud Tech-California</v>
      </c>
      <c r="F137" t="str">
        <f t="shared" si="6"/>
        <v>Cloud Tech</v>
      </c>
      <c r="G137" t="str">
        <f t="shared" si="7"/>
        <v>California</v>
      </c>
      <c r="P137">
        <f t="shared" si="8"/>
        <v>75092.429999999993</v>
      </c>
      <c r="Q137">
        <f>IF(PQ_Cleansing!L137="Excellent", P137 * 0.1, IF(PQ_Cleansing!L137="Good", P137 * 0.05, IF(PQ_Cleansing!L137="Average", P137 * 0.02, IF(PQ_Cleansing!L137="Poor", 0, 0))))</f>
        <v>7509.2429999999995</v>
      </c>
      <c r="R137">
        <f>IFERROR(VALUE(SUBSTITUTE(SUBSTITUTE(PQ_Cleansing!I137, "$", ""), ",", "")), "")</f>
        <v>75092.429999999993</v>
      </c>
    </row>
    <row r="138" spans="1:18" x14ac:dyDescent="0.25">
      <c r="A138" t="str">
        <f>PROPER(TRIM(CLEAN(RAW_DATA!A138)))</f>
        <v>Emp1136</v>
      </c>
      <c r="B138" t="str">
        <f>RAW_DATA!B138</f>
        <v>David</v>
      </c>
      <c r="C138" t="str">
        <f>RAW_DATA!C138</f>
        <v>Smith</v>
      </c>
      <c r="D138">
        <f>RAW_DATA!D138</f>
        <v>0</v>
      </c>
      <c r="E138" t="str">
        <f>RAW_DATA!E138</f>
        <v>Finance-Illinois</v>
      </c>
      <c r="F138" t="str">
        <f t="shared" si="6"/>
        <v>Finance</v>
      </c>
      <c r="G138" t="str">
        <f t="shared" si="7"/>
        <v>Illinois</v>
      </c>
      <c r="P138">
        <f t="shared" si="8"/>
        <v>62603.98</v>
      </c>
      <c r="Q138">
        <f>IF(PQ_Cleansing!L138="Excellent", P138 * 0.1, IF(PQ_Cleansing!L138="Good", P138 * 0.05, IF(PQ_Cleansing!L138="Average", P138 * 0.02, IF(PQ_Cleansing!L138="Poor", 0, 0))))</f>
        <v>3130.1990000000005</v>
      </c>
      <c r="R138">
        <f>IFERROR(VALUE(SUBSTITUTE(SUBSTITUTE(PQ_Cleansing!I138, "$", ""), ",", "")), "")</f>
        <v>62603.98</v>
      </c>
    </row>
    <row r="139" spans="1:18" x14ac:dyDescent="0.25">
      <c r="A139" t="str">
        <f>PROPER(TRIM(CLEAN(RAW_DATA!A139)))</f>
        <v>Emp1137</v>
      </c>
      <c r="B139" t="str">
        <f>RAW_DATA!B139</f>
        <v>Grace</v>
      </c>
      <c r="C139" t="str">
        <f>RAW_DATA!C139</f>
        <v>Smith</v>
      </c>
      <c r="D139">
        <f>RAW_DATA!D139</f>
        <v>0</v>
      </c>
      <c r="E139" t="str">
        <f>RAW_DATA!E139</f>
        <v>DevOps-New York</v>
      </c>
      <c r="F139" t="str">
        <f t="shared" si="6"/>
        <v>DevOps</v>
      </c>
      <c r="G139" t="str">
        <f t="shared" si="7"/>
        <v>New York</v>
      </c>
      <c r="P139">
        <f t="shared" si="8"/>
        <v>60018.239999999998</v>
      </c>
      <c r="Q139">
        <f>IF(PQ_Cleansing!L139="Excellent", P139 * 0.1, IF(PQ_Cleansing!L139="Good", P139 * 0.05, IF(PQ_Cleansing!L139="Average", P139 * 0.02, IF(PQ_Cleansing!L139="Poor", 0, 0))))</f>
        <v>6001.8240000000005</v>
      </c>
      <c r="R139">
        <f>IFERROR(VALUE(SUBSTITUTE(SUBSTITUTE(PQ_Cleansing!I139, "$", ""), ",", "")), "")</f>
        <v>60018.239999999998</v>
      </c>
    </row>
    <row r="140" spans="1:18" x14ac:dyDescent="0.25">
      <c r="A140" t="str">
        <f>PROPER(TRIM(CLEAN(RAW_DATA!A140)))</f>
        <v>Emp1138</v>
      </c>
      <c r="B140" t="str">
        <f>RAW_DATA!B140</f>
        <v>Eva</v>
      </c>
      <c r="C140" t="str">
        <f>RAW_DATA!C140</f>
        <v>Davis</v>
      </c>
      <c r="D140">
        <f>RAW_DATA!D140</f>
        <v>40</v>
      </c>
      <c r="E140" t="str">
        <f>RAW_DATA!E140</f>
        <v>HR-Nevada</v>
      </c>
      <c r="F140" t="str">
        <f t="shared" si="6"/>
        <v>HR</v>
      </c>
      <c r="G140" t="str">
        <f t="shared" si="7"/>
        <v>Nevada</v>
      </c>
      <c r="P140">
        <f t="shared" si="8"/>
        <v>82567.73</v>
      </c>
      <c r="Q140">
        <f>IF(PQ_Cleansing!L140="Excellent", P140 * 0.1, IF(PQ_Cleansing!L140="Good", P140 * 0.05, IF(PQ_Cleansing!L140="Average", P140 * 0.02, IF(PQ_Cleansing!L140="Poor", 0, 0))))</f>
        <v>0</v>
      </c>
      <c r="R140">
        <f>IFERROR(VALUE(SUBSTITUTE(SUBSTITUTE(PQ_Cleansing!I140, "$", ""), ",", "")), "")</f>
        <v>82567.73</v>
      </c>
    </row>
    <row r="141" spans="1:18" x14ac:dyDescent="0.25">
      <c r="A141" t="str">
        <f>PROPER(TRIM(CLEAN(RAW_DATA!A141)))</f>
        <v>Emp1139</v>
      </c>
      <c r="B141" t="str">
        <f>RAW_DATA!B141</f>
        <v>Charlie</v>
      </c>
      <c r="C141" t="str">
        <f>RAW_DATA!C141</f>
        <v>Smith</v>
      </c>
      <c r="D141">
        <f>RAW_DATA!D141</f>
        <v>25</v>
      </c>
      <c r="E141" t="str">
        <f>RAW_DATA!E141</f>
        <v>Finance-California</v>
      </c>
      <c r="F141" t="str">
        <f t="shared" si="6"/>
        <v>Finance</v>
      </c>
      <c r="G141" t="str">
        <f t="shared" si="7"/>
        <v>California</v>
      </c>
      <c r="P141">
        <f t="shared" si="8"/>
        <v>94725.71</v>
      </c>
      <c r="Q141">
        <f>IF(PQ_Cleansing!L141="Excellent", P141 * 0.1, IF(PQ_Cleansing!L141="Good", P141 * 0.05, IF(PQ_Cleansing!L141="Average", P141 * 0.02, IF(PQ_Cleansing!L141="Poor", 0, 0))))</f>
        <v>0</v>
      </c>
      <c r="R141">
        <f>IFERROR(VALUE(SUBSTITUTE(SUBSTITUTE(PQ_Cleansing!I141, "$", ""), ",", "")), "")</f>
        <v>94725.71</v>
      </c>
    </row>
    <row r="142" spans="1:18" x14ac:dyDescent="0.25">
      <c r="A142" t="str">
        <f>PROPER(TRIM(CLEAN(RAW_DATA!A142)))</f>
        <v>Emp1140</v>
      </c>
      <c r="B142" t="str">
        <f>RAW_DATA!B142</f>
        <v>Eva</v>
      </c>
      <c r="C142" t="str">
        <f>RAW_DATA!C142</f>
        <v>Garcia</v>
      </c>
      <c r="D142">
        <f>RAW_DATA!D142</f>
        <v>40</v>
      </c>
      <c r="E142" t="str">
        <f>RAW_DATA!E142</f>
        <v>HR-New York</v>
      </c>
      <c r="F142" t="str">
        <f t="shared" si="6"/>
        <v>HR</v>
      </c>
      <c r="G142" t="str">
        <f t="shared" si="7"/>
        <v>New York</v>
      </c>
      <c r="P142">
        <f t="shared" si="8"/>
        <v>83824.56</v>
      </c>
      <c r="Q142">
        <f>IF(PQ_Cleansing!L142="Excellent", P142 * 0.1, IF(PQ_Cleansing!L142="Good", P142 * 0.05, IF(PQ_Cleansing!L142="Average", P142 * 0.02, IF(PQ_Cleansing!L142="Poor", 0, 0))))</f>
        <v>0</v>
      </c>
      <c r="R142">
        <f>IFERROR(VALUE(SUBSTITUTE(SUBSTITUTE(PQ_Cleansing!I142, "$", ""), ",", "")), "")</f>
        <v>83824.56</v>
      </c>
    </row>
    <row r="143" spans="1:18" x14ac:dyDescent="0.25">
      <c r="A143" t="str">
        <f>PROPER(TRIM(CLEAN(RAW_DATA!A143)))</f>
        <v>Emp1141</v>
      </c>
      <c r="B143" t="str">
        <f>RAW_DATA!B143</f>
        <v>Frank</v>
      </c>
      <c r="C143" t="str">
        <f>RAW_DATA!C143</f>
        <v>Smith</v>
      </c>
      <c r="D143">
        <f>RAW_DATA!D143</f>
        <v>0</v>
      </c>
      <c r="E143" t="str">
        <f>RAW_DATA!E143</f>
        <v>HR-Nevada</v>
      </c>
      <c r="F143" t="str">
        <f t="shared" si="6"/>
        <v>HR</v>
      </c>
      <c r="G143" t="str">
        <f t="shared" si="7"/>
        <v>Nevada</v>
      </c>
      <c r="P143">
        <f t="shared" si="8"/>
        <v>118456.11</v>
      </c>
      <c r="Q143">
        <f>IF(PQ_Cleansing!L143="Excellent", P143 * 0.1, IF(PQ_Cleansing!L143="Good", P143 * 0.05, IF(PQ_Cleansing!L143="Average", P143 * 0.02, IF(PQ_Cleansing!L143="Poor", 0, 0))))</f>
        <v>11845.611000000001</v>
      </c>
      <c r="R143">
        <f>IFERROR(VALUE(SUBSTITUTE(SUBSTITUTE(PQ_Cleansing!I143, "$", ""), ",", "")), "")</f>
        <v>118456.11</v>
      </c>
    </row>
    <row r="144" spans="1:18" x14ac:dyDescent="0.25">
      <c r="A144" t="str">
        <f>PROPER(TRIM(CLEAN(RAW_DATA!A144)))</f>
        <v>Emp1142</v>
      </c>
      <c r="B144" t="str">
        <f>RAW_DATA!B144</f>
        <v>Eva</v>
      </c>
      <c r="C144" t="str">
        <f>RAW_DATA!C144</f>
        <v>Brown</v>
      </c>
      <c r="D144">
        <f>RAW_DATA!D144</f>
        <v>25</v>
      </c>
      <c r="E144" t="str">
        <f>RAW_DATA!E144</f>
        <v>Sales-Nevada</v>
      </c>
      <c r="F144" t="str">
        <f t="shared" si="6"/>
        <v>Sales</v>
      </c>
      <c r="G144" t="str">
        <f t="shared" si="7"/>
        <v>Nevada</v>
      </c>
      <c r="P144">
        <f t="shared" si="8"/>
        <v>113743.19</v>
      </c>
      <c r="Q144">
        <f>IF(PQ_Cleansing!L144="Excellent", P144 * 0.1, IF(PQ_Cleansing!L144="Good", P144 * 0.05, IF(PQ_Cleansing!L144="Average", P144 * 0.02, IF(PQ_Cleansing!L144="Poor", 0, 0))))</f>
        <v>5687.1595000000007</v>
      </c>
      <c r="R144">
        <f>IFERROR(VALUE(SUBSTITUTE(SUBSTITUTE(PQ_Cleansing!I144, "$", ""), ",", "")), "")</f>
        <v>113743.19</v>
      </c>
    </row>
    <row r="145" spans="1:18" x14ac:dyDescent="0.25">
      <c r="A145" t="str">
        <f>PROPER(TRIM(CLEAN(RAW_DATA!A145)))</f>
        <v>Emp1143</v>
      </c>
      <c r="B145" t="str">
        <f>RAW_DATA!B145</f>
        <v>Eva</v>
      </c>
      <c r="C145" t="str">
        <f>RAW_DATA!C145</f>
        <v>Garcia</v>
      </c>
      <c r="D145">
        <f>RAW_DATA!D145</f>
        <v>30</v>
      </c>
      <c r="E145" t="str">
        <f>RAW_DATA!E145</f>
        <v>Sales-California</v>
      </c>
      <c r="F145" t="str">
        <f t="shared" si="6"/>
        <v>Sales</v>
      </c>
      <c r="G145" t="str">
        <f t="shared" si="7"/>
        <v>California</v>
      </c>
      <c r="P145">
        <f t="shared" si="8"/>
        <v>63309.24</v>
      </c>
      <c r="Q145">
        <f>IF(PQ_Cleansing!L145="Excellent", P145 * 0.1, IF(PQ_Cleansing!L145="Good", P145 * 0.05, IF(PQ_Cleansing!L145="Average", P145 * 0.02, IF(PQ_Cleansing!L145="Poor", 0, 0))))</f>
        <v>3165.462</v>
      </c>
      <c r="R145">
        <f>IFERROR(VALUE(SUBSTITUTE(SUBSTITUTE(PQ_Cleansing!I145, "$", ""), ",", "")), "")</f>
        <v>63309.24</v>
      </c>
    </row>
    <row r="146" spans="1:18" x14ac:dyDescent="0.25">
      <c r="A146" t="str">
        <f>PROPER(TRIM(CLEAN(RAW_DATA!A146)))</f>
        <v>Emp1144</v>
      </c>
      <c r="B146" t="str">
        <f>RAW_DATA!B146</f>
        <v>Charlie</v>
      </c>
      <c r="C146" t="str">
        <f>RAW_DATA!C146</f>
        <v>Garcia</v>
      </c>
      <c r="D146">
        <f>RAW_DATA!D146</f>
        <v>25</v>
      </c>
      <c r="E146" t="str">
        <f>RAW_DATA!E146</f>
        <v>DevOps-Nevada</v>
      </c>
      <c r="F146" t="str">
        <f t="shared" si="6"/>
        <v>DevOps</v>
      </c>
      <c r="G146" t="str">
        <f t="shared" si="7"/>
        <v>Nevada</v>
      </c>
      <c r="P146">
        <f t="shared" si="8"/>
        <v>105202.73</v>
      </c>
      <c r="Q146">
        <f>IF(PQ_Cleansing!L146="Excellent", P146 * 0.1, IF(PQ_Cleansing!L146="Good", P146 * 0.05, IF(PQ_Cleansing!L146="Average", P146 * 0.02, IF(PQ_Cleansing!L146="Poor", 0, 0))))</f>
        <v>10520.273000000001</v>
      </c>
      <c r="R146">
        <f>IFERROR(VALUE(SUBSTITUTE(SUBSTITUTE(PQ_Cleansing!I146, "$", ""), ",", "")), "")</f>
        <v>105202.73</v>
      </c>
    </row>
    <row r="147" spans="1:18" x14ac:dyDescent="0.25">
      <c r="A147" t="str">
        <f>PROPER(TRIM(CLEAN(RAW_DATA!A147)))</f>
        <v>Emp1145</v>
      </c>
      <c r="B147" t="str">
        <f>RAW_DATA!B147</f>
        <v>Frank</v>
      </c>
      <c r="C147" t="str">
        <f>RAW_DATA!C147</f>
        <v>Davis</v>
      </c>
      <c r="D147">
        <f>RAW_DATA!D147</f>
        <v>30</v>
      </c>
      <c r="E147" t="str">
        <f>RAW_DATA!E147</f>
        <v>Cloud Tech-California</v>
      </c>
      <c r="F147" t="str">
        <f t="shared" si="6"/>
        <v>Cloud Tech</v>
      </c>
      <c r="G147" t="str">
        <f t="shared" si="7"/>
        <v>California</v>
      </c>
      <c r="P147">
        <f t="shared" si="8"/>
        <v>79085.22</v>
      </c>
      <c r="Q147">
        <f>IF(PQ_Cleansing!L147="Excellent", P147 * 0.1, IF(PQ_Cleansing!L147="Good", P147 * 0.05, IF(PQ_Cleansing!L147="Average", P147 * 0.02, IF(PQ_Cleansing!L147="Poor", 0, 0))))</f>
        <v>3954.2610000000004</v>
      </c>
      <c r="R147">
        <f>IFERROR(VALUE(SUBSTITUTE(SUBSTITUTE(PQ_Cleansing!I147, "$", ""), ",", "")), "")</f>
        <v>79085.22</v>
      </c>
    </row>
    <row r="148" spans="1:18" x14ac:dyDescent="0.25">
      <c r="A148" t="str">
        <f>PROPER(TRIM(CLEAN(RAW_DATA!A148)))</f>
        <v>Emp1146</v>
      </c>
      <c r="B148" t="str">
        <f>RAW_DATA!B148</f>
        <v>Frank</v>
      </c>
      <c r="C148" t="str">
        <f>RAW_DATA!C148</f>
        <v>Williams</v>
      </c>
      <c r="D148">
        <f>RAW_DATA!D148</f>
        <v>0</v>
      </c>
      <c r="E148" t="str">
        <f>RAW_DATA!E148</f>
        <v>Sales-California</v>
      </c>
      <c r="F148" t="str">
        <f t="shared" si="6"/>
        <v>Sales</v>
      </c>
      <c r="G148" t="str">
        <f t="shared" si="7"/>
        <v>California</v>
      </c>
      <c r="P148">
        <f t="shared" si="8"/>
        <v>113983.43</v>
      </c>
      <c r="Q148">
        <f>IF(PQ_Cleansing!L148="Excellent", P148 * 0.1, IF(PQ_Cleansing!L148="Good", P148 * 0.05, IF(PQ_Cleansing!L148="Average", P148 * 0.02, IF(PQ_Cleansing!L148="Poor", 0, 0))))</f>
        <v>11398.343000000001</v>
      </c>
      <c r="R148">
        <f>IFERROR(VALUE(SUBSTITUTE(SUBSTITUTE(PQ_Cleansing!I148, "$", ""), ",", "")), "")</f>
        <v>113983.43</v>
      </c>
    </row>
    <row r="149" spans="1:18" x14ac:dyDescent="0.25">
      <c r="A149" t="str">
        <f>PROPER(TRIM(CLEAN(RAW_DATA!A149)))</f>
        <v>Emp1147</v>
      </c>
      <c r="B149" t="str">
        <f>RAW_DATA!B149</f>
        <v>Eva</v>
      </c>
      <c r="C149" t="str">
        <f>RAW_DATA!C149</f>
        <v>Williams</v>
      </c>
      <c r="D149">
        <f>RAW_DATA!D149</f>
        <v>35</v>
      </c>
      <c r="E149" t="str">
        <f>RAW_DATA!E149</f>
        <v>Cloud Tech-Florida</v>
      </c>
      <c r="F149" t="str">
        <f t="shared" si="6"/>
        <v>Cloud Tech</v>
      </c>
      <c r="G149" t="str">
        <f t="shared" si="7"/>
        <v>Florida</v>
      </c>
      <c r="P149">
        <f t="shared" si="8"/>
        <v>102790.6</v>
      </c>
      <c r="Q149">
        <f>IF(PQ_Cleansing!L149="Excellent", P149 * 0.1, IF(PQ_Cleansing!L149="Good", P149 * 0.05, IF(PQ_Cleansing!L149="Average", P149 * 0.02, IF(PQ_Cleansing!L149="Poor", 0, 0))))</f>
        <v>5139.5300000000007</v>
      </c>
      <c r="R149">
        <f>IFERROR(VALUE(SUBSTITUTE(SUBSTITUTE(PQ_Cleansing!I149, "$", ""), ",", "")), "")</f>
        <v>102790.6</v>
      </c>
    </row>
    <row r="150" spans="1:18" x14ac:dyDescent="0.25">
      <c r="A150" t="str">
        <f>PROPER(TRIM(CLEAN(RAW_DATA!A150)))</f>
        <v>Emp1148</v>
      </c>
      <c r="B150" t="str">
        <f>RAW_DATA!B150</f>
        <v>Grace</v>
      </c>
      <c r="C150" t="str">
        <f>RAW_DATA!C150</f>
        <v>Smith</v>
      </c>
      <c r="D150">
        <f>RAW_DATA!D150</f>
        <v>0</v>
      </c>
      <c r="E150" t="str">
        <f>RAW_DATA!E150</f>
        <v>HR-Texas</v>
      </c>
      <c r="F150" t="str">
        <f t="shared" si="6"/>
        <v>HR</v>
      </c>
      <c r="G150" t="str">
        <f t="shared" si="7"/>
        <v>Texas</v>
      </c>
      <c r="P150">
        <f t="shared" si="8"/>
        <v>68512.100000000006</v>
      </c>
      <c r="Q150">
        <f>IF(PQ_Cleansing!L150="Excellent", P150 * 0.1, IF(PQ_Cleansing!L150="Good", P150 * 0.05, IF(PQ_Cleansing!L150="Average", P150 * 0.02, IF(PQ_Cleansing!L150="Poor", 0, 0))))</f>
        <v>1370.2420000000002</v>
      </c>
      <c r="R150">
        <f>IFERROR(VALUE(SUBSTITUTE(SUBSTITUTE(PQ_Cleansing!I150, "$", ""), ",", "")), "")</f>
        <v>68512.100000000006</v>
      </c>
    </row>
    <row r="151" spans="1:18" x14ac:dyDescent="0.25">
      <c r="A151" t="str">
        <f>PROPER(TRIM(CLEAN(RAW_DATA!A151)))</f>
        <v>Emp1149</v>
      </c>
      <c r="B151" t="str">
        <f>RAW_DATA!B151</f>
        <v>Frank</v>
      </c>
      <c r="C151" t="str">
        <f>RAW_DATA!C151</f>
        <v>Garcia</v>
      </c>
      <c r="D151">
        <f>RAW_DATA!D151</f>
        <v>35</v>
      </c>
      <c r="E151" t="str">
        <f>RAW_DATA!E151</f>
        <v>Sales-Florida</v>
      </c>
      <c r="F151" t="str">
        <f t="shared" si="6"/>
        <v>Sales</v>
      </c>
      <c r="G151" t="str">
        <f t="shared" si="7"/>
        <v>Florida</v>
      </c>
      <c r="P151">
        <f t="shared" si="8"/>
        <v>57584.23</v>
      </c>
      <c r="Q151">
        <f>IF(PQ_Cleansing!L151="Excellent", P151 * 0.1, IF(PQ_Cleansing!L151="Good", P151 * 0.05, IF(PQ_Cleansing!L151="Average", P151 * 0.02, IF(PQ_Cleansing!L151="Poor", 0, 0))))</f>
        <v>1151.6846</v>
      </c>
      <c r="R151">
        <f>IFERROR(VALUE(SUBSTITUTE(SUBSTITUTE(PQ_Cleansing!I151, "$", ""), ",", "")), "")</f>
        <v>57584.23</v>
      </c>
    </row>
    <row r="152" spans="1:18" x14ac:dyDescent="0.25">
      <c r="A152" t="str">
        <f>PROPER(TRIM(CLEAN(RAW_DATA!A152)))</f>
        <v>Emp1150</v>
      </c>
      <c r="B152" t="str">
        <f>RAW_DATA!B152</f>
        <v>Alice</v>
      </c>
      <c r="C152" t="str">
        <f>RAW_DATA!C152</f>
        <v>Williams</v>
      </c>
      <c r="D152">
        <f>RAW_DATA!D152</f>
        <v>0</v>
      </c>
      <c r="E152" t="str">
        <f>RAW_DATA!E152</f>
        <v>Sales-California</v>
      </c>
      <c r="F152" t="str">
        <f t="shared" si="6"/>
        <v>Sales</v>
      </c>
      <c r="G152" t="str">
        <f t="shared" si="7"/>
        <v>California</v>
      </c>
      <c r="P152">
        <f t="shared" si="8"/>
        <v>95335.67</v>
      </c>
      <c r="Q152">
        <f>IF(PQ_Cleansing!L152="Excellent", P152 * 0.1, IF(PQ_Cleansing!L152="Good", P152 * 0.05, IF(PQ_Cleansing!L152="Average", P152 * 0.02, IF(PQ_Cleansing!L152="Poor", 0, 0))))</f>
        <v>0</v>
      </c>
      <c r="R152">
        <f>IFERROR(VALUE(SUBSTITUTE(SUBSTITUTE(PQ_Cleansing!I152, "$", ""), ",", "")), "")</f>
        <v>95335.67</v>
      </c>
    </row>
    <row r="153" spans="1:18" x14ac:dyDescent="0.25">
      <c r="A153" t="str">
        <f>PROPER(TRIM(CLEAN(RAW_DATA!A153)))</f>
        <v>Emp1151</v>
      </c>
      <c r="B153" t="str">
        <f>RAW_DATA!B153</f>
        <v>Heidi</v>
      </c>
      <c r="C153" t="str">
        <f>RAW_DATA!C153</f>
        <v>Williams</v>
      </c>
      <c r="D153">
        <f>RAW_DATA!D153</f>
        <v>35</v>
      </c>
      <c r="E153" t="str">
        <f>RAW_DATA!E153</f>
        <v>DevOps-Florida</v>
      </c>
      <c r="F153" t="str">
        <f t="shared" si="6"/>
        <v>DevOps</v>
      </c>
      <c r="G153" t="str">
        <f t="shared" si="7"/>
        <v>Florida</v>
      </c>
      <c r="P153">
        <f t="shared" si="8"/>
        <v>53174.28</v>
      </c>
      <c r="Q153">
        <f>IF(PQ_Cleansing!L153="Excellent", P153 * 0.1, IF(PQ_Cleansing!L153="Good", P153 * 0.05, IF(PQ_Cleansing!L153="Average", P153 * 0.02, IF(PQ_Cleansing!L153="Poor", 0, 0))))</f>
        <v>1063.4856</v>
      </c>
      <c r="R153">
        <f>IFERROR(VALUE(SUBSTITUTE(SUBSTITUTE(PQ_Cleansing!I153, "$", ""), ",", "")), "")</f>
        <v>53174.28</v>
      </c>
    </row>
    <row r="154" spans="1:18" x14ac:dyDescent="0.25">
      <c r="A154" t="str">
        <f>PROPER(TRIM(CLEAN(RAW_DATA!A154)))</f>
        <v>Emp1152</v>
      </c>
      <c r="B154" t="str">
        <f>RAW_DATA!B154</f>
        <v>Heidi</v>
      </c>
      <c r="C154" t="str">
        <f>RAW_DATA!C154</f>
        <v>Smith</v>
      </c>
      <c r="D154">
        <f>RAW_DATA!D154</f>
        <v>25</v>
      </c>
      <c r="E154" t="str">
        <f>RAW_DATA!E154</f>
        <v>Cloud Tech-New York</v>
      </c>
      <c r="F154" t="str">
        <f t="shared" si="6"/>
        <v>Cloud Tech</v>
      </c>
      <c r="G154" t="str">
        <f t="shared" si="7"/>
        <v>New York</v>
      </c>
      <c r="P154">
        <f t="shared" si="8"/>
        <v>77205.210000000006</v>
      </c>
      <c r="Q154">
        <f>IF(PQ_Cleansing!L154="Excellent", P154 * 0.1, IF(PQ_Cleansing!L154="Good", P154 * 0.05, IF(PQ_Cleansing!L154="Average", P154 * 0.02, IF(PQ_Cleansing!L154="Poor", 0, 0))))</f>
        <v>1544.1042000000002</v>
      </c>
      <c r="R154">
        <f>IFERROR(VALUE(SUBSTITUTE(SUBSTITUTE(PQ_Cleansing!I154, "$", ""), ",", "")), "")</f>
        <v>77205.210000000006</v>
      </c>
    </row>
    <row r="155" spans="1:18" x14ac:dyDescent="0.25">
      <c r="A155" t="str">
        <f>PROPER(TRIM(CLEAN(RAW_DATA!A155)))</f>
        <v>Emp1153</v>
      </c>
      <c r="B155" t="str">
        <f>RAW_DATA!B155</f>
        <v>Grace</v>
      </c>
      <c r="C155" t="str">
        <f>RAW_DATA!C155</f>
        <v>Williams</v>
      </c>
      <c r="D155">
        <f>RAW_DATA!D155</f>
        <v>0</v>
      </c>
      <c r="E155" t="str">
        <f>RAW_DATA!E155</f>
        <v>DevOps-Nevada</v>
      </c>
      <c r="F155" t="str">
        <f t="shared" si="6"/>
        <v>DevOps</v>
      </c>
      <c r="G155" t="str">
        <f t="shared" si="7"/>
        <v>Nevada</v>
      </c>
      <c r="P155">
        <f t="shared" si="8"/>
        <v>79041.919999999998</v>
      </c>
      <c r="Q155">
        <f>IF(PQ_Cleansing!L155="Excellent", P155 * 0.1, IF(PQ_Cleansing!L155="Good", P155 * 0.05, IF(PQ_Cleansing!L155="Average", P155 * 0.02, IF(PQ_Cleansing!L155="Poor", 0, 0))))</f>
        <v>1580.8384000000001</v>
      </c>
      <c r="R155">
        <f>IFERROR(VALUE(SUBSTITUTE(SUBSTITUTE(PQ_Cleansing!I155, "$", ""), ",", "")), "")</f>
        <v>79041.919999999998</v>
      </c>
    </row>
    <row r="156" spans="1:18" x14ac:dyDescent="0.25">
      <c r="A156" t="str">
        <f>PROPER(TRIM(CLEAN(RAW_DATA!A156)))</f>
        <v>Emp1154</v>
      </c>
      <c r="B156" t="str">
        <f>RAW_DATA!B156</f>
        <v>Heidi</v>
      </c>
      <c r="C156" t="str">
        <f>RAW_DATA!C156</f>
        <v>Jones</v>
      </c>
      <c r="D156">
        <f>RAW_DATA!D156</f>
        <v>0</v>
      </c>
      <c r="E156" t="str">
        <f>RAW_DATA!E156</f>
        <v>Finance-California</v>
      </c>
      <c r="F156" t="str">
        <f t="shared" si="6"/>
        <v>Finance</v>
      </c>
      <c r="G156" t="str">
        <f t="shared" si="7"/>
        <v>California</v>
      </c>
      <c r="P156">
        <f t="shared" si="8"/>
        <v>75937.100000000006</v>
      </c>
      <c r="Q156">
        <f>IF(PQ_Cleansing!L156="Excellent", P156 * 0.1, IF(PQ_Cleansing!L156="Good", P156 * 0.05, IF(PQ_Cleansing!L156="Average", P156 * 0.02, IF(PQ_Cleansing!L156="Poor", 0, 0))))</f>
        <v>7593.7100000000009</v>
      </c>
      <c r="R156">
        <f>IFERROR(VALUE(SUBSTITUTE(SUBSTITUTE(PQ_Cleansing!I156, "$", ""), ",", "")), "")</f>
        <v>75937.100000000006</v>
      </c>
    </row>
    <row r="157" spans="1:18" x14ac:dyDescent="0.25">
      <c r="A157" t="str">
        <f>PROPER(TRIM(CLEAN(RAW_DATA!A157)))</f>
        <v>Emp1155</v>
      </c>
      <c r="B157" t="str">
        <f>RAW_DATA!B157</f>
        <v>David</v>
      </c>
      <c r="C157" t="str">
        <f>RAW_DATA!C157</f>
        <v>Johnson</v>
      </c>
      <c r="D157">
        <f>RAW_DATA!D157</f>
        <v>35</v>
      </c>
      <c r="E157" t="str">
        <f>RAW_DATA!E157</f>
        <v>Cloud Tech-Nevada</v>
      </c>
      <c r="F157" t="str">
        <f t="shared" si="6"/>
        <v>Cloud Tech</v>
      </c>
      <c r="G157" t="str">
        <f t="shared" si="7"/>
        <v>Nevada</v>
      </c>
      <c r="P157">
        <f t="shared" si="8"/>
        <v>113118.73</v>
      </c>
      <c r="Q157">
        <f>IF(PQ_Cleansing!L157="Excellent", P157 * 0.1, IF(PQ_Cleansing!L157="Good", P157 * 0.05, IF(PQ_Cleansing!L157="Average", P157 * 0.02, IF(PQ_Cleansing!L157="Poor", 0, 0))))</f>
        <v>2262.3746000000001</v>
      </c>
      <c r="R157">
        <f>IFERROR(VALUE(SUBSTITUTE(SUBSTITUTE(PQ_Cleansing!I157, "$", ""), ",", "")), "")</f>
        <v>113118.73</v>
      </c>
    </row>
    <row r="158" spans="1:18" x14ac:dyDescent="0.25">
      <c r="A158" t="str">
        <f>PROPER(TRIM(CLEAN(RAW_DATA!A158)))</f>
        <v>Emp1156</v>
      </c>
      <c r="B158" t="str">
        <f>RAW_DATA!B158</f>
        <v>Alice</v>
      </c>
      <c r="C158" t="str">
        <f>RAW_DATA!C158</f>
        <v>Davis</v>
      </c>
      <c r="D158">
        <f>RAW_DATA!D158</f>
        <v>40</v>
      </c>
      <c r="E158" t="str">
        <f>RAW_DATA!E158</f>
        <v>HR-New York</v>
      </c>
      <c r="F158" t="str">
        <f t="shared" si="6"/>
        <v>HR</v>
      </c>
      <c r="G158" t="str">
        <f t="shared" si="7"/>
        <v>New York</v>
      </c>
      <c r="P158">
        <f t="shared" si="8"/>
        <v>107693.38</v>
      </c>
      <c r="Q158">
        <f>IF(PQ_Cleansing!L158="Excellent", P158 * 0.1, IF(PQ_Cleansing!L158="Good", P158 * 0.05, IF(PQ_Cleansing!L158="Average", P158 * 0.02, IF(PQ_Cleansing!L158="Poor", 0, 0))))</f>
        <v>2153.8676</v>
      </c>
      <c r="R158">
        <f>IFERROR(VALUE(SUBSTITUTE(SUBSTITUTE(PQ_Cleansing!I158, "$", ""), ",", "")), "")</f>
        <v>107693.38</v>
      </c>
    </row>
    <row r="159" spans="1:18" x14ac:dyDescent="0.25">
      <c r="A159" t="str">
        <f>PROPER(TRIM(CLEAN(RAW_DATA!A159)))</f>
        <v>Emp1157</v>
      </c>
      <c r="B159" t="str">
        <f>RAW_DATA!B159</f>
        <v>David</v>
      </c>
      <c r="C159" t="str">
        <f>RAW_DATA!C159</f>
        <v>Johnson</v>
      </c>
      <c r="D159">
        <f>RAW_DATA!D159</f>
        <v>0</v>
      </c>
      <c r="E159" t="str">
        <f>RAW_DATA!E159</f>
        <v>Cloud Tech-Texas</v>
      </c>
      <c r="F159" t="str">
        <f t="shared" si="6"/>
        <v>Cloud Tech</v>
      </c>
      <c r="G159" t="str">
        <f t="shared" si="7"/>
        <v>Texas</v>
      </c>
      <c r="P159">
        <f t="shared" si="8"/>
        <v>119217.46</v>
      </c>
      <c r="Q159">
        <f>IF(PQ_Cleansing!L159="Excellent", P159 * 0.1, IF(PQ_Cleansing!L159="Good", P159 * 0.05, IF(PQ_Cleansing!L159="Average", P159 * 0.02, IF(PQ_Cleansing!L159="Poor", 0, 0))))</f>
        <v>0</v>
      </c>
      <c r="R159">
        <f>IFERROR(VALUE(SUBSTITUTE(SUBSTITUTE(PQ_Cleansing!I159, "$", ""), ",", "")), "")</f>
        <v>119217.46</v>
      </c>
    </row>
    <row r="160" spans="1:18" x14ac:dyDescent="0.25">
      <c r="A160" t="str">
        <f>PROPER(TRIM(CLEAN(RAW_DATA!A160)))</f>
        <v>Emp1158</v>
      </c>
      <c r="B160" t="str">
        <f>RAW_DATA!B160</f>
        <v>David</v>
      </c>
      <c r="C160" t="str">
        <f>RAW_DATA!C160</f>
        <v>Smith</v>
      </c>
      <c r="D160">
        <f>RAW_DATA!D160</f>
        <v>25</v>
      </c>
      <c r="E160" t="str">
        <f>RAW_DATA!E160</f>
        <v>Sales-New York</v>
      </c>
      <c r="F160" t="str">
        <f t="shared" si="6"/>
        <v>Sales</v>
      </c>
      <c r="G160" t="str">
        <f t="shared" si="7"/>
        <v>New York</v>
      </c>
      <c r="P160">
        <f t="shared" si="8"/>
        <v>106913.71</v>
      </c>
      <c r="Q160">
        <f>IF(PQ_Cleansing!L160="Excellent", P160 * 0.1, IF(PQ_Cleansing!L160="Good", P160 * 0.05, IF(PQ_Cleansing!L160="Average", P160 * 0.02, IF(PQ_Cleansing!L160="Poor", 0, 0))))</f>
        <v>2138.2742000000003</v>
      </c>
      <c r="R160">
        <f>IFERROR(VALUE(SUBSTITUTE(SUBSTITUTE(PQ_Cleansing!I160, "$", ""), ",", "")), "")</f>
        <v>106913.71</v>
      </c>
    </row>
    <row r="161" spans="1:18" x14ac:dyDescent="0.25">
      <c r="A161" t="str">
        <f>PROPER(TRIM(CLEAN(RAW_DATA!A161)))</f>
        <v>Emp1159</v>
      </c>
      <c r="B161" t="str">
        <f>RAW_DATA!B161</f>
        <v>Charlie</v>
      </c>
      <c r="C161" t="str">
        <f>RAW_DATA!C161</f>
        <v>Brown</v>
      </c>
      <c r="D161">
        <f>RAW_DATA!D161</f>
        <v>0</v>
      </c>
      <c r="E161" t="str">
        <f>RAW_DATA!E161</f>
        <v>Cloud Tech-California</v>
      </c>
      <c r="F161" t="str">
        <f t="shared" si="6"/>
        <v>Cloud Tech</v>
      </c>
      <c r="G161" t="str">
        <f t="shared" si="7"/>
        <v>California</v>
      </c>
      <c r="P161">
        <f t="shared" si="8"/>
        <v>87815.08</v>
      </c>
      <c r="Q161">
        <f>IF(PQ_Cleansing!L161="Excellent", P161 * 0.1, IF(PQ_Cleansing!L161="Good", P161 * 0.05, IF(PQ_Cleansing!L161="Average", P161 * 0.02, IF(PQ_Cleansing!L161="Poor", 0, 0))))</f>
        <v>1756.3016</v>
      </c>
      <c r="R161">
        <f>IFERROR(VALUE(SUBSTITUTE(SUBSTITUTE(PQ_Cleansing!I161, "$", ""), ",", "")), "")</f>
        <v>87815.08</v>
      </c>
    </row>
    <row r="162" spans="1:18" x14ac:dyDescent="0.25">
      <c r="A162" t="str">
        <f>PROPER(TRIM(CLEAN(RAW_DATA!A162)))</f>
        <v>Emp1160</v>
      </c>
      <c r="B162" t="str">
        <f>RAW_DATA!B162</f>
        <v>Bob</v>
      </c>
      <c r="C162" t="str">
        <f>RAW_DATA!C162</f>
        <v>Davis</v>
      </c>
      <c r="D162">
        <f>RAW_DATA!D162</f>
        <v>25</v>
      </c>
      <c r="E162" t="str">
        <f>RAW_DATA!E162</f>
        <v>Admin-Texas</v>
      </c>
      <c r="F162" t="str">
        <f t="shared" si="6"/>
        <v>Admin</v>
      </c>
      <c r="G162" t="str">
        <f t="shared" si="7"/>
        <v>Texas</v>
      </c>
      <c r="P162">
        <f t="shared" si="8"/>
        <v>105190.21</v>
      </c>
      <c r="Q162">
        <f>IF(PQ_Cleansing!L162="Excellent", P162 * 0.1, IF(PQ_Cleansing!L162="Good", P162 * 0.05, IF(PQ_Cleansing!L162="Average", P162 * 0.02, IF(PQ_Cleansing!L162="Poor", 0, 0))))</f>
        <v>5259.5105000000003</v>
      </c>
      <c r="R162">
        <f>IFERROR(VALUE(SUBSTITUTE(SUBSTITUTE(PQ_Cleansing!I162, "$", ""), ",", "")), "")</f>
        <v>105190.21</v>
      </c>
    </row>
    <row r="163" spans="1:18" x14ac:dyDescent="0.25">
      <c r="A163" t="str">
        <f>PROPER(TRIM(CLEAN(RAW_DATA!A163)))</f>
        <v>Emp1161</v>
      </c>
      <c r="B163" t="str">
        <f>RAW_DATA!B163</f>
        <v>Alice</v>
      </c>
      <c r="C163" t="str">
        <f>RAW_DATA!C163</f>
        <v>Smith</v>
      </c>
      <c r="D163">
        <f>RAW_DATA!D163</f>
        <v>30</v>
      </c>
      <c r="E163" t="str">
        <f>RAW_DATA!E163</f>
        <v>HR-Texas</v>
      </c>
      <c r="F163" t="str">
        <f t="shared" si="6"/>
        <v>HR</v>
      </c>
      <c r="G163" t="str">
        <f t="shared" si="7"/>
        <v>Texas</v>
      </c>
      <c r="P163">
        <f t="shared" si="8"/>
        <v>79467.240000000005</v>
      </c>
      <c r="Q163">
        <f>IF(PQ_Cleansing!L163="Excellent", P163 * 0.1, IF(PQ_Cleansing!L163="Good", P163 * 0.05, IF(PQ_Cleansing!L163="Average", P163 * 0.02, IF(PQ_Cleansing!L163="Poor", 0, 0))))</f>
        <v>0</v>
      </c>
      <c r="R163">
        <f>IFERROR(VALUE(SUBSTITUTE(SUBSTITUTE(PQ_Cleansing!I163, "$", ""), ",", "")), "")</f>
        <v>79467.240000000005</v>
      </c>
    </row>
    <row r="164" spans="1:18" x14ac:dyDescent="0.25">
      <c r="A164" t="str">
        <f>PROPER(TRIM(CLEAN(RAW_DATA!A164)))</f>
        <v>Emp1162</v>
      </c>
      <c r="B164" t="str">
        <f>RAW_DATA!B164</f>
        <v>Bob</v>
      </c>
      <c r="C164" t="str">
        <f>RAW_DATA!C164</f>
        <v>Garcia</v>
      </c>
      <c r="D164">
        <f>RAW_DATA!D164</f>
        <v>40</v>
      </c>
      <c r="E164" t="str">
        <f>RAW_DATA!E164</f>
        <v>Finance-California</v>
      </c>
      <c r="F164" t="str">
        <f t="shared" si="6"/>
        <v>Finance</v>
      </c>
      <c r="G164" t="str">
        <f t="shared" si="7"/>
        <v>California</v>
      </c>
      <c r="P164">
        <f t="shared" si="8"/>
        <v>57633.78</v>
      </c>
      <c r="Q164">
        <f>IF(PQ_Cleansing!L164="Excellent", P164 * 0.1, IF(PQ_Cleansing!L164="Good", P164 * 0.05, IF(PQ_Cleansing!L164="Average", P164 * 0.02, IF(PQ_Cleansing!L164="Poor", 0, 0))))</f>
        <v>0</v>
      </c>
      <c r="R164">
        <f>IFERROR(VALUE(SUBSTITUTE(SUBSTITUTE(PQ_Cleansing!I164, "$", ""), ",", "")), "")</f>
        <v>57633.78</v>
      </c>
    </row>
    <row r="165" spans="1:18" x14ac:dyDescent="0.25">
      <c r="A165" t="str">
        <f>PROPER(TRIM(CLEAN(RAW_DATA!A165)))</f>
        <v>Emp1163</v>
      </c>
      <c r="B165" t="str">
        <f>RAW_DATA!B165</f>
        <v>Alice</v>
      </c>
      <c r="C165" t="str">
        <f>RAW_DATA!C165</f>
        <v>Brown</v>
      </c>
      <c r="D165">
        <f>RAW_DATA!D165</f>
        <v>0</v>
      </c>
      <c r="E165" t="str">
        <f>RAW_DATA!E165</f>
        <v>HR-Florida</v>
      </c>
      <c r="F165" t="str">
        <f t="shared" si="6"/>
        <v>HR</v>
      </c>
      <c r="G165" t="str">
        <f t="shared" si="7"/>
        <v>Florida</v>
      </c>
      <c r="P165">
        <f t="shared" si="8"/>
        <v>54257.78</v>
      </c>
      <c r="Q165">
        <f>IF(PQ_Cleansing!L165="Excellent", P165 * 0.1, IF(PQ_Cleansing!L165="Good", P165 * 0.05, IF(PQ_Cleansing!L165="Average", P165 * 0.02, IF(PQ_Cleansing!L165="Poor", 0, 0))))</f>
        <v>0</v>
      </c>
      <c r="R165">
        <f>IFERROR(VALUE(SUBSTITUTE(SUBSTITUTE(PQ_Cleansing!I165, "$", ""), ",", "")), "")</f>
        <v>54257.78</v>
      </c>
    </row>
    <row r="166" spans="1:18" x14ac:dyDescent="0.25">
      <c r="A166" t="str">
        <f>PROPER(TRIM(CLEAN(RAW_DATA!A166)))</f>
        <v>Emp1164</v>
      </c>
      <c r="B166" t="str">
        <f>RAW_DATA!B166</f>
        <v>Grace</v>
      </c>
      <c r="C166" t="str">
        <f>RAW_DATA!C166</f>
        <v>Johnson</v>
      </c>
      <c r="D166">
        <f>RAW_DATA!D166</f>
        <v>40</v>
      </c>
      <c r="E166" t="str">
        <f>RAW_DATA!E166</f>
        <v>DevOps-Texas</v>
      </c>
      <c r="F166" t="str">
        <f t="shared" si="6"/>
        <v>DevOps</v>
      </c>
      <c r="G166" t="str">
        <f t="shared" si="7"/>
        <v>Texas</v>
      </c>
      <c r="P166">
        <f t="shared" si="8"/>
        <v>113679.06</v>
      </c>
      <c r="Q166">
        <f>IF(PQ_Cleansing!L166="Excellent", P166 * 0.1, IF(PQ_Cleansing!L166="Good", P166 * 0.05, IF(PQ_Cleansing!L166="Average", P166 * 0.02, IF(PQ_Cleansing!L166="Poor", 0, 0))))</f>
        <v>0</v>
      </c>
      <c r="R166">
        <f>IFERROR(VALUE(SUBSTITUTE(SUBSTITUTE(PQ_Cleansing!I166, "$", ""), ",", "")), "")</f>
        <v>113679.06</v>
      </c>
    </row>
    <row r="167" spans="1:18" x14ac:dyDescent="0.25">
      <c r="A167" t="str">
        <f>PROPER(TRIM(CLEAN(RAW_DATA!A167)))</f>
        <v>Emp1165</v>
      </c>
      <c r="B167" t="str">
        <f>RAW_DATA!B167</f>
        <v>Bob</v>
      </c>
      <c r="C167" t="str">
        <f>RAW_DATA!C167</f>
        <v>Smith</v>
      </c>
      <c r="D167">
        <f>RAW_DATA!D167</f>
        <v>35</v>
      </c>
      <c r="E167" t="str">
        <f>RAW_DATA!E167</f>
        <v>Sales-New York</v>
      </c>
      <c r="F167" t="str">
        <f t="shared" si="6"/>
        <v>Sales</v>
      </c>
      <c r="G167" t="str">
        <f t="shared" si="7"/>
        <v>New York</v>
      </c>
      <c r="P167">
        <f t="shared" si="8"/>
        <v>69251.12</v>
      </c>
      <c r="Q167">
        <f>IF(PQ_Cleansing!L167="Excellent", P167 * 0.1, IF(PQ_Cleansing!L167="Good", P167 * 0.05, IF(PQ_Cleansing!L167="Average", P167 * 0.02, IF(PQ_Cleansing!L167="Poor", 0, 0))))</f>
        <v>0</v>
      </c>
      <c r="R167">
        <f>IFERROR(VALUE(SUBSTITUTE(SUBSTITUTE(PQ_Cleansing!I167, "$", ""), ",", "")), "")</f>
        <v>69251.12</v>
      </c>
    </row>
    <row r="168" spans="1:18" x14ac:dyDescent="0.25">
      <c r="A168" t="str">
        <f>PROPER(TRIM(CLEAN(RAW_DATA!A168)))</f>
        <v>Emp1166</v>
      </c>
      <c r="B168" t="str">
        <f>RAW_DATA!B168</f>
        <v>Frank</v>
      </c>
      <c r="C168" t="str">
        <f>RAW_DATA!C168</f>
        <v>Garcia</v>
      </c>
      <c r="D168">
        <f>RAW_DATA!D168</f>
        <v>40</v>
      </c>
      <c r="E168" t="str">
        <f>RAW_DATA!E168</f>
        <v>Sales-Illinois</v>
      </c>
      <c r="F168" t="str">
        <f t="shared" si="6"/>
        <v>Sales</v>
      </c>
      <c r="G168" t="str">
        <f t="shared" si="7"/>
        <v>Illinois</v>
      </c>
      <c r="P168">
        <f t="shared" si="8"/>
        <v>85388.58</v>
      </c>
      <c r="Q168">
        <f>IF(PQ_Cleansing!L168="Excellent", P168 * 0.1, IF(PQ_Cleansing!L168="Good", P168 * 0.05, IF(PQ_Cleansing!L168="Average", P168 * 0.02, IF(PQ_Cleansing!L168="Poor", 0, 0))))</f>
        <v>0</v>
      </c>
      <c r="R168">
        <f>IFERROR(VALUE(SUBSTITUTE(SUBSTITUTE(PQ_Cleansing!I168, "$", ""), ",", "")), "")</f>
        <v>85388.58</v>
      </c>
    </row>
    <row r="169" spans="1:18" x14ac:dyDescent="0.25">
      <c r="A169" t="str">
        <f>PROPER(TRIM(CLEAN(RAW_DATA!A169)))</f>
        <v>Emp1167</v>
      </c>
      <c r="B169" t="str">
        <f>RAW_DATA!B169</f>
        <v>Bob</v>
      </c>
      <c r="C169" t="str">
        <f>RAW_DATA!C169</f>
        <v>Davis</v>
      </c>
      <c r="D169">
        <f>RAW_DATA!D169</f>
        <v>0</v>
      </c>
      <c r="E169" t="str">
        <f>RAW_DATA!E169</f>
        <v>DevOps-New York</v>
      </c>
      <c r="F169" t="str">
        <f t="shared" si="6"/>
        <v>DevOps</v>
      </c>
      <c r="G169" t="str">
        <f t="shared" si="7"/>
        <v>New York</v>
      </c>
      <c r="P169">
        <f t="shared" si="8"/>
        <v>112166.37</v>
      </c>
      <c r="Q169">
        <f>IF(PQ_Cleansing!L169="Excellent", P169 * 0.1, IF(PQ_Cleansing!L169="Good", P169 * 0.05, IF(PQ_Cleansing!L169="Average", P169 * 0.02, IF(PQ_Cleansing!L169="Poor", 0, 0))))</f>
        <v>11216.637000000001</v>
      </c>
      <c r="R169">
        <f>IFERROR(VALUE(SUBSTITUTE(SUBSTITUTE(PQ_Cleansing!I169, "$", ""), ",", "")), "")</f>
        <v>112166.37</v>
      </c>
    </row>
    <row r="170" spans="1:18" x14ac:dyDescent="0.25">
      <c r="A170" t="str">
        <f>PROPER(TRIM(CLEAN(RAW_DATA!A170)))</f>
        <v>Emp1168</v>
      </c>
      <c r="B170" t="str">
        <f>RAW_DATA!B170</f>
        <v>Heidi</v>
      </c>
      <c r="C170" t="str">
        <f>RAW_DATA!C170</f>
        <v>Davis</v>
      </c>
      <c r="D170">
        <f>RAW_DATA!D170</f>
        <v>40</v>
      </c>
      <c r="E170" t="str">
        <f>RAW_DATA!E170</f>
        <v>Finance-Nevada</v>
      </c>
      <c r="F170" t="str">
        <f t="shared" si="6"/>
        <v>Finance</v>
      </c>
      <c r="G170" t="str">
        <f t="shared" si="7"/>
        <v>Nevada</v>
      </c>
      <c r="P170">
        <f t="shared" si="8"/>
        <v>79873.48</v>
      </c>
      <c r="Q170">
        <f>IF(PQ_Cleansing!L170="Excellent", P170 * 0.1, IF(PQ_Cleansing!L170="Good", P170 * 0.05, IF(PQ_Cleansing!L170="Average", P170 * 0.02, IF(PQ_Cleansing!L170="Poor", 0, 0))))</f>
        <v>1597.4695999999999</v>
      </c>
      <c r="R170">
        <f>IFERROR(VALUE(SUBSTITUTE(SUBSTITUTE(PQ_Cleansing!I170, "$", ""), ",", "")), "")</f>
        <v>79873.48</v>
      </c>
    </row>
    <row r="171" spans="1:18" x14ac:dyDescent="0.25">
      <c r="A171" t="str">
        <f>PROPER(TRIM(CLEAN(RAW_DATA!A171)))</f>
        <v>Emp1169</v>
      </c>
      <c r="B171" t="str">
        <f>RAW_DATA!B171</f>
        <v>Frank</v>
      </c>
      <c r="C171" t="str">
        <f>RAW_DATA!C171</f>
        <v>Miller</v>
      </c>
      <c r="D171">
        <f>RAW_DATA!D171</f>
        <v>30</v>
      </c>
      <c r="E171" t="str">
        <f>RAW_DATA!E171</f>
        <v>DevOps-Florida</v>
      </c>
      <c r="F171" t="str">
        <f t="shared" si="6"/>
        <v>DevOps</v>
      </c>
      <c r="G171" t="str">
        <f t="shared" si="7"/>
        <v>Florida</v>
      </c>
      <c r="P171">
        <f t="shared" si="8"/>
        <v>108224.03</v>
      </c>
      <c r="Q171">
        <f>IF(PQ_Cleansing!L171="Excellent", P171 * 0.1, IF(PQ_Cleansing!L171="Good", P171 * 0.05, IF(PQ_Cleansing!L171="Average", P171 * 0.02, IF(PQ_Cleansing!L171="Poor", 0, 0))))</f>
        <v>0</v>
      </c>
      <c r="R171">
        <f>IFERROR(VALUE(SUBSTITUTE(SUBSTITUTE(PQ_Cleansing!I171, "$", ""), ",", "")), "")</f>
        <v>108224.03</v>
      </c>
    </row>
    <row r="172" spans="1:18" x14ac:dyDescent="0.25">
      <c r="A172" t="str">
        <f>PROPER(TRIM(CLEAN(RAW_DATA!A172)))</f>
        <v>Emp1170</v>
      </c>
      <c r="B172" t="str">
        <f>RAW_DATA!B172</f>
        <v>Bob</v>
      </c>
      <c r="C172" t="str">
        <f>RAW_DATA!C172</f>
        <v>Garcia</v>
      </c>
      <c r="D172">
        <f>RAW_DATA!D172</f>
        <v>35</v>
      </c>
      <c r="E172" t="str">
        <f>RAW_DATA!E172</f>
        <v>Admin-Illinois</v>
      </c>
      <c r="F172" t="str">
        <f t="shared" si="6"/>
        <v>Admin</v>
      </c>
      <c r="G172" t="str">
        <f t="shared" si="7"/>
        <v>Illinois</v>
      </c>
      <c r="P172">
        <f t="shared" si="8"/>
        <v>116963.72</v>
      </c>
      <c r="Q172">
        <f>IF(PQ_Cleansing!L172="Excellent", P172 * 0.1, IF(PQ_Cleansing!L172="Good", P172 * 0.05, IF(PQ_Cleansing!L172="Average", P172 * 0.02, IF(PQ_Cleansing!L172="Poor", 0, 0))))</f>
        <v>2339.2744000000002</v>
      </c>
      <c r="R172">
        <f>IFERROR(VALUE(SUBSTITUTE(SUBSTITUTE(PQ_Cleansing!I172, "$", ""), ",", "")), "")</f>
        <v>116963.72</v>
      </c>
    </row>
    <row r="173" spans="1:18" x14ac:dyDescent="0.25">
      <c r="A173" t="str">
        <f>PROPER(TRIM(CLEAN(RAW_DATA!A173)))</f>
        <v>Emp1171</v>
      </c>
      <c r="B173" t="str">
        <f>RAW_DATA!B173</f>
        <v>Bob</v>
      </c>
      <c r="C173" t="str">
        <f>RAW_DATA!C173</f>
        <v>Jones</v>
      </c>
      <c r="D173">
        <f>RAW_DATA!D173</f>
        <v>40</v>
      </c>
      <c r="E173" t="str">
        <f>RAW_DATA!E173</f>
        <v>HR-Nevada</v>
      </c>
      <c r="F173" t="str">
        <f t="shared" si="6"/>
        <v>HR</v>
      </c>
      <c r="G173" t="str">
        <f t="shared" si="7"/>
        <v>Nevada</v>
      </c>
      <c r="P173">
        <f t="shared" si="8"/>
        <v>114109.06</v>
      </c>
      <c r="Q173">
        <f>IF(PQ_Cleansing!L173="Excellent", P173 * 0.1, IF(PQ_Cleansing!L173="Good", P173 * 0.05, IF(PQ_Cleansing!L173="Average", P173 * 0.02, IF(PQ_Cleansing!L173="Poor", 0, 0))))</f>
        <v>2282.1812</v>
      </c>
      <c r="R173">
        <f>IFERROR(VALUE(SUBSTITUTE(SUBSTITUTE(PQ_Cleansing!I173, "$", ""), ",", "")), "")</f>
        <v>114109.06</v>
      </c>
    </row>
    <row r="174" spans="1:18" x14ac:dyDescent="0.25">
      <c r="A174" t="str">
        <f>PROPER(TRIM(CLEAN(RAW_DATA!A174)))</f>
        <v>Emp1172</v>
      </c>
      <c r="B174" t="str">
        <f>RAW_DATA!B174</f>
        <v>Eva</v>
      </c>
      <c r="C174" t="str">
        <f>RAW_DATA!C174</f>
        <v>Williams</v>
      </c>
      <c r="D174">
        <f>RAW_DATA!D174</f>
        <v>0</v>
      </c>
      <c r="E174" t="str">
        <f>RAW_DATA!E174</f>
        <v>HR-California</v>
      </c>
      <c r="F174" t="str">
        <f t="shared" si="6"/>
        <v>HR</v>
      </c>
      <c r="G174" t="str">
        <f t="shared" si="7"/>
        <v>California</v>
      </c>
      <c r="P174">
        <f t="shared" si="8"/>
        <v>85518.88</v>
      </c>
      <c r="Q174">
        <f>IF(PQ_Cleansing!L174="Excellent", P174 * 0.1, IF(PQ_Cleansing!L174="Good", P174 * 0.05, IF(PQ_Cleansing!L174="Average", P174 * 0.02, IF(PQ_Cleansing!L174="Poor", 0, 0))))</f>
        <v>8551.8880000000008</v>
      </c>
      <c r="R174">
        <f>IFERROR(VALUE(SUBSTITUTE(SUBSTITUTE(PQ_Cleansing!I174, "$", ""), ",", "")), "")</f>
        <v>85518.88</v>
      </c>
    </row>
    <row r="175" spans="1:18" x14ac:dyDescent="0.25">
      <c r="A175" t="str">
        <f>PROPER(TRIM(CLEAN(RAW_DATA!A175)))</f>
        <v>Emp1173</v>
      </c>
      <c r="B175" t="str">
        <f>RAW_DATA!B175</f>
        <v>Heidi</v>
      </c>
      <c r="C175" t="str">
        <f>RAW_DATA!C175</f>
        <v>Brown</v>
      </c>
      <c r="D175">
        <f>RAW_DATA!D175</f>
        <v>30</v>
      </c>
      <c r="E175" t="str">
        <f>RAW_DATA!E175</f>
        <v>Cloud Tech-California</v>
      </c>
      <c r="F175" t="str">
        <f t="shared" si="6"/>
        <v>Cloud Tech</v>
      </c>
      <c r="G175" t="str">
        <f t="shared" si="7"/>
        <v>California</v>
      </c>
      <c r="P175">
        <f t="shared" si="8"/>
        <v>58041.97</v>
      </c>
      <c r="Q175">
        <f>IF(PQ_Cleansing!L175="Excellent", P175 * 0.1, IF(PQ_Cleansing!L175="Good", P175 * 0.05, IF(PQ_Cleansing!L175="Average", P175 * 0.02, IF(PQ_Cleansing!L175="Poor", 0, 0))))</f>
        <v>0</v>
      </c>
      <c r="R175">
        <f>IFERROR(VALUE(SUBSTITUTE(SUBSTITUTE(PQ_Cleansing!I175, "$", ""), ",", "")), "")</f>
        <v>58041.97</v>
      </c>
    </row>
    <row r="176" spans="1:18" x14ac:dyDescent="0.25">
      <c r="A176" t="str">
        <f>PROPER(TRIM(CLEAN(RAW_DATA!A176)))</f>
        <v>Emp1174</v>
      </c>
      <c r="B176" t="str">
        <f>RAW_DATA!B176</f>
        <v>David</v>
      </c>
      <c r="C176" t="str">
        <f>RAW_DATA!C176</f>
        <v>Garcia</v>
      </c>
      <c r="D176">
        <f>RAW_DATA!D176</f>
        <v>40</v>
      </c>
      <c r="E176" t="str">
        <f>RAW_DATA!E176</f>
        <v>Sales-Illinois</v>
      </c>
      <c r="F176" t="str">
        <f t="shared" si="6"/>
        <v>Sales</v>
      </c>
      <c r="G176" t="str">
        <f t="shared" si="7"/>
        <v>Illinois</v>
      </c>
      <c r="P176">
        <f t="shared" si="8"/>
        <v>94988.94</v>
      </c>
      <c r="Q176">
        <f>IF(PQ_Cleansing!L176="Excellent", P176 * 0.1, IF(PQ_Cleansing!L176="Good", P176 * 0.05, IF(PQ_Cleansing!L176="Average", P176 * 0.02, IF(PQ_Cleansing!L176="Poor", 0, 0))))</f>
        <v>4749.4470000000001</v>
      </c>
      <c r="R176">
        <f>IFERROR(VALUE(SUBSTITUTE(SUBSTITUTE(PQ_Cleansing!I176, "$", ""), ",", "")), "")</f>
        <v>94988.94</v>
      </c>
    </row>
    <row r="177" spans="1:18" x14ac:dyDescent="0.25">
      <c r="A177" t="str">
        <f>PROPER(TRIM(CLEAN(RAW_DATA!A177)))</f>
        <v>Emp1175</v>
      </c>
      <c r="B177" t="str">
        <f>RAW_DATA!B177</f>
        <v>Eva</v>
      </c>
      <c r="C177" t="str">
        <f>RAW_DATA!C177</f>
        <v>Miller</v>
      </c>
      <c r="D177">
        <f>RAW_DATA!D177</f>
        <v>25</v>
      </c>
      <c r="E177" t="str">
        <f>RAW_DATA!E177</f>
        <v>Admin-California</v>
      </c>
      <c r="F177" t="str">
        <f t="shared" si="6"/>
        <v>Admin</v>
      </c>
      <c r="G177" t="str">
        <f t="shared" si="7"/>
        <v>California</v>
      </c>
      <c r="P177">
        <f t="shared" si="8"/>
        <v>71628.929999999993</v>
      </c>
      <c r="Q177">
        <f>IF(PQ_Cleansing!L177="Excellent", P177 * 0.1, IF(PQ_Cleansing!L177="Good", P177 * 0.05, IF(PQ_Cleansing!L177="Average", P177 * 0.02, IF(PQ_Cleansing!L177="Poor", 0, 0))))</f>
        <v>7162.893</v>
      </c>
      <c r="R177">
        <f>IFERROR(VALUE(SUBSTITUTE(SUBSTITUTE(PQ_Cleansing!I177, "$", ""), ",", "")), "")</f>
        <v>71628.929999999993</v>
      </c>
    </row>
    <row r="178" spans="1:18" x14ac:dyDescent="0.25">
      <c r="A178" t="str">
        <f>PROPER(TRIM(CLEAN(RAW_DATA!A178)))</f>
        <v>Emp1176</v>
      </c>
      <c r="B178" t="str">
        <f>RAW_DATA!B178</f>
        <v>Alice</v>
      </c>
      <c r="C178" t="str">
        <f>RAW_DATA!C178</f>
        <v>Williams</v>
      </c>
      <c r="D178">
        <f>RAW_DATA!D178</f>
        <v>30</v>
      </c>
      <c r="E178" t="str">
        <f>RAW_DATA!E178</f>
        <v>Admin-Illinois</v>
      </c>
      <c r="F178" t="str">
        <f t="shared" si="6"/>
        <v>Admin</v>
      </c>
      <c r="G178" t="str">
        <f t="shared" si="7"/>
        <v>Illinois</v>
      </c>
      <c r="P178">
        <f t="shared" si="8"/>
        <v>54870.98</v>
      </c>
      <c r="Q178">
        <f>IF(PQ_Cleansing!L178="Excellent", P178 * 0.1, IF(PQ_Cleansing!L178="Good", P178 * 0.05, IF(PQ_Cleansing!L178="Average", P178 * 0.02, IF(PQ_Cleansing!L178="Poor", 0, 0))))</f>
        <v>2743.5490000000004</v>
      </c>
      <c r="R178">
        <f>IFERROR(VALUE(SUBSTITUTE(SUBSTITUTE(PQ_Cleansing!I178, "$", ""), ",", "")), "")</f>
        <v>54870.98</v>
      </c>
    </row>
    <row r="179" spans="1:18" x14ac:dyDescent="0.25">
      <c r="A179" t="str">
        <f>PROPER(TRIM(CLEAN(RAW_DATA!A179)))</f>
        <v>Emp1177</v>
      </c>
      <c r="B179" t="str">
        <f>RAW_DATA!B179</f>
        <v>Alice</v>
      </c>
      <c r="C179" t="str">
        <f>RAW_DATA!C179</f>
        <v>Williams</v>
      </c>
      <c r="D179">
        <f>RAW_DATA!D179</f>
        <v>25</v>
      </c>
      <c r="E179" t="str">
        <f>RAW_DATA!E179</f>
        <v>DevOps-Illinois</v>
      </c>
      <c r="F179" t="str">
        <f t="shared" si="6"/>
        <v>DevOps</v>
      </c>
      <c r="G179" t="str">
        <f t="shared" si="7"/>
        <v>Illinois</v>
      </c>
      <c r="P179">
        <f t="shared" si="8"/>
        <v>79388.27</v>
      </c>
      <c r="Q179">
        <f>IF(PQ_Cleansing!L179="Excellent", P179 * 0.1, IF(PQ_Cleansing!L179="Good", P179 * 0.05, IF(PQ_Cleansing!L179="Average", P179 * 0.02, IF(PQ_Cleansing!L179="Poor", 0, 0))))</f>
        <v>1587.7654000000002</v>
      </c>
      <c r="R179">
        <f>IFERROR(VALUE(SUBSTITUTE(SUBSTITUTE(PQ_Cleansing!I179, "$", ""), ",", "")), "")</f>
        <v>79388.27</v>
      </c>
    </row>
    <row r="180" spans="1:18" x14ac:dyDescent="0.25">
      <c r="A180" t="str">
        <f>PROPER(TRIM(CLEAN(RAW_DATA!A180)))</f>
        <v>Emp1178</v>
      </c>
      <c r="B180" t="str">
        <f>RAW_DATA!B180</f>
        <v>Frank</v>
      </c>
      <c r="C180" t="str">
        <f>RAW_DATA!C180</f>
        <v>Smith</v>
      </c>
      <c r="D180">
        <f>RAW_DATA!D180</f>
        <v>35</v>
      </c>
      <c r="E180" t="str">
        <f>RAW_DATA!E180</f>
        <v>DevOps-California</v>
      </c>
      <c r="F180" t="str">
        <f t="shared" si="6"/>
        <v>DevOps</v>
      </c>
      <c r="G180" t="str">
        <f t="shared" si="7"/>
        <v>California</v>
      </c>
      <c r="P180">
        <f t="shared" si="8"/>
        <v>55946.99</v>
      </c>
      <c r="Q180">
        <f>IF(PQ_Cleansing!L180="Excellent", P180 * 0.1, IF(PQ_Cleansing!L180="Good", P180 * 0.05, IF(PQ_Cleansing!L180="Average", P180 * 0.02, IF(PQ_Cleansing!L180="Poor", 0, 0))))</f>
        <v>1118.9397999999999</v>
      </c>
      <c r="R180">
        <f>IFERROR(VALUE(SUBSTITUTE(SUBSTITUTE(PQ_Cleansing!I180, "$", ""), ",", "")), "")</f>
        <v>55946.99</v>
      </c>
    </row>
    <row r="181" spans="1:18" x14ac:dyDescent="0.25">
      <c r="A181" t="str">
        <f>PROPER(TRIM(CLEAN(RAW_DATA!A181)))</f>
        <v>Emp1179</v>
      </c>
      <c r="B181" t="str">
        <f>RAW_DATA!B181</f>
        <v>Charlie</v>
      </c>
      <c r="C181" t="str">
        <f>RAW_DATA!C181</f>
        <v>Williams</v>
      </c>
      <c r="D181">
        <f>RAW_DATA!D181</f>
        <v>0</v>
      </c>
      <c r="E181" t="str">
        <f>RAW_DATA!E181</f>
        <v>Cloud Tech-Nevada</v>
      </c>
      <c r="F181" t="str">
        <f t="shared" si="6"/>
        <v>Cloud Tech</v>
      </c>
      <c r="G181" t="str">
        <f t="shared" si="7"/>
        <v>Nevada</v>
      </c>
      <c r="P181">
        <f t="shared" si="8"/>
        <v>81017.91</v>
      </c>
      <c r="Q181">
        <f>IF(PQ_Cleansing!L181="Excellent", P181 * 0.1, IF(PQ_Cleansing!L181="Good", P181 * 0.05, IF(PQ_Cleansing!L181="Average", P181 * 0.02, IF(PQ_Cleansing!L181="Poor", 0, 0))))</f>
        <v>8101.7910000000011</v>
      </c>
      <c r="R181">
        <f>IFERROR(VALUE(SUBSTITUTE(SUBSTITUTE(PQ_Cleansing!I181, "$", ""), ",", "")), "")</f>
        <v>81017.91</v>
      </c>
    </row>
    <row r="182" spans="1:18" x14ac:dyDescent="0.25">
      <c r="A182" t="str">
        <f>PROPER(TRIM(CLEAN(RAW_DATA!A182)))</f>
        <v>Emp1180</v>
      </c>
      <c r="B182" t="str">
        <f>RAW_DATA!B182</f>
        <v>Heidi</v>
      </c>
      <c r="C182" t="str">
        <f>RAW_DATA!C182</f>
        <v>Jones</v>
      </c>
      <c r="D182">
        <f>RAW_DATA!D182</f>
        <v>40</v>
      </c>
      <c r="E182" t="str">
        <f>RAW_DATA!E182</f>
        <v>HR-New York</v>
      </c>
      <c r="F182" t="str">
        <f t="shared" si="6"/>
        <v>HR</v>
      </c>
      <c r="G182" t="str">
        <f t="shared" si="7"/>
        <v>New York</v>
      </c>
      <c r="P182">
        <f t="shared" si="8"/>
        <v>74162.100000000006</v>
      </c>
      <c r="Q182">
        <f>IF(PQ_Cleansing!L182="Excellent", P182 * 0.1, IF(PQ_Cleansing!L182="Good", P182 * 0.05, IF(PQ_Cleansing!L182="Average", P182 * 0.02, IF(PQ_Cleansing!L182="Poor", 0, 0))))</f>
        <v>7416.2100000000009</v>
      </c>
      <c r="R182">
        <f>IFERROR(VALUE(SUBSTITUTE(SUBSTITUTE(PQ_Cleansing!I182, "$", ""), ",", "")), "")</f>
        <v>74162.100000000006</v>
      </c>
    </row>
    <row r="183" spans="1:18" x14ac:dyDescent="0.25">
      <c r="A183" t="str">
        <f>PROPER(TRIM(CLEAN(RAW_DATA!A183)))</f>
        <v>Emp1181</v>
      </c>
      <c r="B183" t="str">
        <f>RAW_DATA!B183</f>
        <v>Heidi</v>
      </c>
      <c r="C183" t="str">
        <f>RAW_DATA!C183</f>
        <v>Davis</v>
      </c>
      <c r="D183">
        <f>RAW_DATA!D183</f>
        <v>0</v>
      </c>
      <c r="E183" t="str">
        <f>RAW_DATA!E183</f>
        <v>DevOps-California</v>
      </c>
      <c r="F183" t="str">
        <f t="shared" si="6"/>
        <v>DevOps</v>
      </c>
      <c r="G183" t="str">
        <f t="shared" si="7"/>
        <v>California</v>
      </c>
      <c r="P183">
        <f t="shared" si="8"/>
        <v>77668.44</v>
      </c>
      <c r="Q183">
        <f>IF(PQ_Cleansing!L183="Excellent", P183 * 0.1, IF(PQ_Cleansing!L183="Good", P183 * 0.05, IF(PQ_Cleansing!L183="Average", P183 * 0.02, IF(PQ_Cleansing!L183="Poor", 0, 0))))</f>
        <v>3883.4220000000005</v>
      </c>
      <c r="R183">
        <f>IFERROR(VALUE(SUBSTITUTE(SUBSTITUTE(PQ_Cleansing!I183, "$", ""), ",", "")), "")</f>
        <v>77668.44</v>
      </c>
    </row>
    <row r="184" spans="1:18" x14ac:dyDescent="0.25">
      <c r="A184" t="str">
        <f>PROPER(TRIM(CLEAN(RAW_DATA!A184)))</f>
        <v>Emp1182</v>
      </c>
      <c r="B184" t="str">
        <f>RAW_DATA!B184</f>
        <v>Alice</v>
      </c>
      <c r="C184" t="str">
        <f>RAW_DATA!C184</f>
        <v>Miller</v>
      </c>
      <c r="D184">
        <f>RAW_DATA!D184</f>
        <v>30</v>
      </c>
      <c r="E184" t="str">
        <f>RAW_DATA!E184</f>
        <v>HR-New York</v>
      </c>
      <c r="F184" t="str">
        <f t="shared" si="6"/>
        <v>HR</v>
      </c>
      <c r="G184" t="str">
        <f t="shared" si="7"/>
        <v>New York</v>
      </c>
      <c r="P184">
        <f t="shared" si="8"/>
        <v>67886.37</v>
      </c>
      <c r="Q184">
        <f>IF(PQ_Cleansing!L184="Excellent", P184 * 0.1, IF(PQ_Cleansing!L184="Good", P184 * 0.05, IF(PQ_Cleansing!L184="Average", P184 * 0.02, IF(PQ_Cleansing!L184="Poor", 0, 0))))</f>
        <v>0</v>
      </c>
      <c r="R184">
        <f>IFERROR(VALUE(SUBSTITUTE(SUBSTITUTE(PQ_Cleansing!I184, "$", ""), ",", "")), "")</f>
        <v>67886.37</v>
      </c>
    </row>
    <row r="185" spans="1:18" x14ac:dyDescent="0.25">
      <c r="A185" t="str">
        <f>PROPER(TRIM(CLEAN(RAW_DATA!A185)))</f>
        <v>Emp1183</v>
      </c>
      <c r="B185" t="str">
        <f>RAW_DATA!B185</f>
        <v>Alice</v>
      </c>
      <c r="C185" t="str">
        <f>RAW_DATA!C185</f>
        <v>Williams</v>
      </c>
      <c r="D185">
        <f>RAW_DATA!D185</f>
        <v>40</v>
      </c>
      <c r="E185" t="str">
        <f>RAW_DATA!E185</f>
        <v>DevOps-Florida</v>
      </c>
      <c r="F185" t="str">
        <f t="shared" si="6"/>
        <v>DevOps</v>
      </c>
      <c r="G185" t="str">
        <f t="shared" si="7"/>
        <v>Florida</v>
      </c>
      <c r="P185">
        <f t="shared" si="8"/>
        <v>76614.52</v>
      </c>
      <c r="Q185">
        <f>IF(PQ_Cleansing!L185="Excellent", P185 * 0.1, IF(PQ_Cleansing!L185="Good", P185 * 0.05, IF(PQ_Cleansing!L185="Average", P185 * 0.02, IF(PQ_Cleansing!L185="Poor", 0, 0))))</f>
        <v>3830.7260000000006</v>
      </c>
      <c r="R185">
        <f>IFERROR(VALUE(SUBSTITUTE(SUBSTITUTE(PQ_Cleansing!I185, "$", ""), ",", "")), "")</f>
        <v>76614.52</v>
      </c>
    </row>
    <row r="186" spans="1:18" x14ac:dyDescent="0.25">
      <c r="A186" t="str">
        <f>PROPER(TRIM(CLEAN(RAW_DATA!A186)))</f>
        <v>Emp1184</v>
      </c>
      <c r="B186" t="str">
        <f>RAW_DATA!B186</f>
        <v>Frank</v>
      </c>
      <c r="C186" t="str">
        <f>RAW_DATA!C186</f>
        <v>Smith</v>
      </c>
      <c r="D186">
        <f>RAW_DATA!D186</f>
        <v>25</v>
      </c>
      <c r="E186" t="str">
        <f>RAW_DATA!E186</f>
        <v>Finance-Nevada</v>
      </c>
      <c r="F186" t="str">
        <f t="shared" si="6"/>
        <v>Finance</v>
      </c>
      <c r="G186" t="str">
        <f t="shared" si="7"/>
        <v>Nevada</v>
      </c>
      <c r="P186">
        <f t="shared" si="8"/>
        <v>51311.91</v>
      </c>
      <c r="Q186">
        <f>IF(PQ_Cleansing!L186="Excellent", P186 * 0.1, IF(PQ_Cleansing!L186="Good", P186 * 0.05, IF(PQ_Cleansing!L186="Average", P186 * 0.02, IF(PQ_Cleansing!L186="Poor", 0, 0))))</f>
        <v>5131.1910000000007</v>
      </c>
      <c r="R186">
        <f>IFERROR(VALUE(SUBSTITUTE(SUBSTITUTE(PQ_Cleansing!I186, "$", ""), ",", "")), "")</f>
        <v>51311.91</v>
      </c>
    </row>
    <row r="187" spans="1:18" x14ac:dyDescent="0.25">
      <c r="A187" t="str">
        <f>PROPER(TRIM(CLEAN(RAW_DATA!A187)))</f>
        <v>Emp1185</v>
      </c>
      <c r="B187" t="str">
        <f>RAW_DATA!B187</f>
        <v>Frank</v>
      </c>
      <c r="C187" t="str">
        <f>RAW_DATA!C187</f>
        <v>Jones</v>
      </c>
      <c r="D187">
        <f>RAW_DATA!D187</f>
        <v>0</v>
      </c>
      <c r="E187" t="str">
        <f>RAW_DATA!E187</f>
        <v>Finance-Illinois</v>
      </c>
      <c r="F187" t="str">
        <f t="shared" si="6"/>
        <v>Finance</v>
      </c>
      <c r="G187" t="str">
        <f t="shared" si="7"/>
        <v>Illinois</v>
      </c>
      <c r="P187">
        <f t="shared" si="8"/>
        <v>94809.919999999998</v>
      </c>
      <c r="Q187">
        <f>IF(PQ_Cleansing!L187="Excellent", P187 * 0.1, IF(PQ_Cleansing!L187="Good", P187 * 0.05, IF(PQ_Cleansing!L187="Average", P187 * 0.02, IF(PQ_Cleansing!L187="Poor", 0, 0))))</f>
        <v>4740.4960000000001</v>
      </c>
      <c r="R187">
        <f>IFERROR(VALUE(SUBSTITUTE(SUBSTITUTE(PQ_Cleansing!I187, "$", ""), ",", "")), "")</f>
        <v>94809.919999999998</v>
      </c>
    </row>
    <row r="188" spans="1:18" x14ac:dyDescent="0.25">
      <c r="A188" t="str">
        <f>PROPER(TRIM(CLEAN(RAW_DATA!A188)))</f>
        <v>Emp1186</v>
      </c>
      <c r="B188" t="str">
        <f>RAW_DATA!B188</f>
        <v>Grace</v>
      </c>
      <c r="C188" t="str">
        <f>RAW_DATA!C188</f>
        <v>Johnson</v>
      </c>
      <c r="D188">
        <f>RAW_DATA!D188</f>
        <v>25</v>
      </c>
      <c r="E188" t="str">
        <f>RAW_DATA!E188</f>
        <v>HR-New York</v>
      </c>
      <c r="F188" t="str">
        <f t="shared" si="6"/>
        <v>HR</v>
      </c>
      <c r="G188" t="str">
        <f t="shared" si="7"/>
        <v>New York</v>
      </c>
      <c r="P188">
        <f t="shared" si="8"/>
        <v>108241.81</v>
      </c>
      <c r="Q188">
        <f>IF(PQ_Cleansing!L188="Excellent", P188 * 0.1, IF(PQ_Cleansing!L188="Good", P188 * 0.05, IF(PQ_Cleansing!L188="Average", P188 * 0.02, IF(PQ_Cleansing!L188="Poor", 0, 0))))</f>
        <v>10824.181</v>
      </c>
      <c r="R188">
        <f>IFERROR(VALUE(SUBSTITUTE(SUBSTITUTE(PQ_Cleansing!I188, "$", ""), ",", "")), "")</f>
        <v>108241.81</v>
      </c>
    </row>
    <row r="189" spans="1:18" x14ac:dyDescent="0.25">
      <c r="A189" t="str">
        <f>PROPER(TRIM(CLEAN(RAW_DATA!A189)))</f>
        <v>Emp1187</v>
      </c>
      <c r="B189" t="str">
        <f>RAW_DATA!B189</f>
        <v>Bob</v>
      </c>
      <c r="C189" t="str">
        <f>RAW_DATA!C189</f>
        <v>Davis</v>
      </c>
      <c r="D189">
        <f>RAW_DATA!D189</f>
        <v>40</v>
      </c>
      <c r="E189" t="str">
        <f>RAW_DATA!E189</f>
        <v>Cloud Tech-New York</v>
      </c>
      <c r="F189" t="str">
        <f t="shared" si="6"/>
        <v>Cloud Tech</v>
      </c>
      <c r="G189" t="str">
        <f t="shared" si="7"/>
        <v>New York</v>
      </c>
      <c r="P189">
        <f t="shared" si="8"/>
        <v>78031.490000000005</v>
      </c>
      <c r="Q189">
        <f>IF(PQ_Cleansing!L189="Excellent", P189 * 0.1, IF(PQ_Cleansing!L189="Good", P189 * 0.05, IF(PQ_Cleansing!L189="Average", P189 * 0.02, IF(PQ_Cleansing!L189="Poor", 0, 0))))</f>
        <v>3901.5745000000006</v>
      </c>
      <c r="R189">
        <f>IFERROR(VALUE(SUBSTITUTE(SUBSTITUTE(PQ_Cleansing!I189, "$", ""), ",", "")), "")</f>
        <v>78031.490000000005</v>
      </c>
    </row>
    <row r="190" spans="1:18" x14ac:dyDescent="0.25">
      <c r="A190" t="str">
        <f>PROPER(TRIM(CLEAN(RAW_DATA!A190)))</f>
        <v>Emp1188</v>
      </c>
      <c r="B190" t="str">
        <f>RAW_DATA!B190</f>
        <v>Eva</v>
      </c>
      <c r="C190" t="str">
        <f>RAW_DATA!C190</f>
        <v>Davis</v>
      </c>
      <c r="D190">
        <f>RAW_DATA!D190</f>
        <v>35</v>
      </c>
      <c r="E190" t="str">
        <f>RAW_DATA!E190</f>
        <v>Admin-California</v>
      </c>
      <c r="F190" t="str">
        <f t="shared" si="6"/>
        <v>Admin</v>
      </c>
      <c r="G190" t="str">
        <f t="shared" si="7"/>
        <v>California</v>
      </c>
      <c r="P190">
        <f t="shared" si="8"/>
        <v>85733.83</v>
      </c>
      <c r="Q190">
        <f>IF(PQ_Cleansing!L190="Excellent", P190 * 0.1, IF(PQ_Cleansing!L190="Good", P190 * 0.05, IF(PQ_Cleansing!L190="Average", P190 * 0.02, IF(PQ_Cleansing!L190="Poor", 0, 0))))</f>
        <v>8573.3829999999998</v>
      </c>
      <c r="R190">
        <f>IFERROR(VALUE(SUBSTITUTE(SUBSTITUTE(PQ_Cleansing!I190, "$", ""), ",", "")), "")</f>
        <v>85733.83</v>
      </c>
    </row>
    <row r="191" spans="1:18" x14ac:dyDescent="0.25">
      <c r="A191" t="str">
        <f>PROPER(TRIM(CLEAN(RAW_DATA!A191)))</f>
        <v>Emp1189</v>
      </c>
      <c r="B191" t="str">
        <f>RAW_DATA!B191</f>
        <v>David</v>
      </c>
      <c r="C191" t="str">
        <f>RAW_DATA!C191</f>
        <v>Miller</v>
      </c>
      <c r="D191">
        <f>RAW_DATA!D191</f>
        <v>35</v>
      </c>
      <c r="E191" t="str">
        <f>RAW_DATA!E191</f>
        <v>HR-Nevada</v>
      </c>
      <c r="F191" t="str">
        <f t="shared" si="6"/>
        <v>HR</v>
      </c>
      <c r="G191" t="str">
        <f t="shared" si="7"/>
        <v>Nevada</v>
      </c>
      <c r="P191">
        <f t="shared" si="8"/>
        <v>60338.29</v>
      </c>
      <c r="Q191">
        <f>IF(PQ_Cleansing!L191="Excellent", P191 * 0.1, IF(PQ_Cleansing!L191="Good", P191 * 0.05, IF(PQ_Cleansing!L191="Average", P191 * 0.02, IF(PQ_Cleansing!L191="Poor", 0, 0))))</f>
        <v>6033.8290000000006</v>
      </c>
      <c r="R191">
        <f>IFERROR(VALUE(SUBSTITUTE(SUBSTITUTE(PQ_Cleansing!I191, "$", ""), ",", "")), "")</f>
        <v>60338.29</v>
      </c>
    </row>
    <row r="192" spans="1:18" x14ac:dyDescent="0.25">
      <c r="A192" t="str">
        <f>PROPER(TRIM(CLEAN(RAW_DATA!A192)))</f>
        <v>Emp1190</v>
      </c>
      <c r="B192" t="str">
        <f>RAW_DATA!B192</f>
        <v>Eva</v>
      </c>
      <c r="C192" t="str">
        <f>RAW_DATA!C192</f>
        <v>Davis</v>
      </c>
      <c r="D192">
        <f>RAW_DATA!D192</f>
        <v>30</v>
      </c>
      <c r="E192" t="str">
        <f>RAW_DATA!E192</f>
        <v>Admin-Illinois</v>
      </c>
      <c r="F192" t="str">
        <f t="shared" si="6"/>
        <v>Admin</v>
      </c>
      <c r="G192" t="str">
        <f t="shared" si="7"/>
        <v>Illinois</v>
      </c>
      <c r="P192">
        <f t="shared" si="8"/>
        <v>103140.67</v>
      </c>
      <c r="Q192">
        <f>IF(PQ_Cleansing!L192="Excellent", P192 * 0.1, IF(PQ_Cleansing!L192="Good", P192 * 0.05, IF(PQ_Cleansing!L192="Average", P192 * 0.02, IF(PQ_Cleansing!L192="Poor", 0, 0))))</f>
        <v>10314.067000000001</v>
      </c>
      <c r="R192">
        <f>IFERROR(VALUE(SUBSTITUTE(SUBSTITUTE(PQ_Cleansing!I192, "$", ""), ",", "")), "")</f>
        <v>103140.67</v>
      </c>
    </row>
    <row r="193" spans="1:18" x14ac:dyDescent="0.25">
      <c r="A193" t="str">
        <f>PROPER(TRIM(CLEAN(RAW_DATA!A193)))</f>
        <v>Emp1191</v>
      </c>
      <c r="B193" t="str">
        <f>RAW_DATA!B193</f>
        <v>Heidi</v>
      </c>
      <c r="C193" t="str">
        <f>RAW_DATA!C193</f>
        <v>Williams</v>
      </c>
      <c r="D193">
        <f>RAW_DATA!D193</f>
        <v>40</v>
      </c>
      <c r="E193" t="str">
        <f>RAW_DATA!E193</f>
        <v>Sales-Illinois</v>
      </c>
      <c r="F193" t="str">
        <f t="shared" si="6"/>
        <v>Sales</v>
      </c>
      <c r="G193" t="str">
        <f t="shared" si="7"/>
        <v>Illinois</v>
      </c>
      <c r="P193">
        <f t="shared" si="8"/>
        <v>114690.8</v>
      </c>
      <c r="Q193">
        <f>IF(PQ_Cleansing!L193="Excellent", P193 * 0.1, IF(PQ_Cleansing!L193="Good", P193 * 0.05, IF(PQ_Cleansing!L193="Average", P193 * 0.02, IF(PQ_Cleansing!L193="Poor", 0, 0))))</f>
        <v>0</v>
      </c>
      <c r="R193">
        <f>IFERROR(VALUE(SUBSTITUTE(SUBSTITUTE(PQ_Cleansing!I193, "$", ""), ",", "")), "")</f>
        <v>114690.8</v>
      </c>
    </row>
    <row r="194" spans="1:18" x14ac:dyDescent="0.25">
      <c r="A194" t="str">
        <f>PROPER(TRIM(CLEAN(RAW_DATA!A194)))</f>
        <v>Emp1192</v>
      </c>
      <c r="B194" t="str">
        <f>RAW_DATA!B194</f>
        <v>Frank</v>
      </c>
      <c r="C194" t="str">
        <f>RAW_DATA!C194</f>
        <v>Smith</v>
      </c>
      <c r="D194">
        <f>RAW_DATA!D194</f>
        <v>35</v>
      </c>
      <c r="E194" t="str">
        <f>RAW_DATA!E194</f>
        <v>Admin-Florida</v>
      </c>
      <c r="F194" t="str">
        <f t="shared" si="6"/>
        <v>Admin</v>
      </c>
      <c r="G194" t="str">
        <f t="shared" si="7"/>
        <v>Florida</v>
      </c>
      <c r="P194">
        <f t="shared" si="8"/>
        <v>80954.559999999998</v>
      </c>
      <c r="Q194">
        <f>IF(PQ_Cleansing!L194="Excellent", P194 * 0.1, IF(PQ_Cleansing!L194="Good", P194 * 0.05, IF(PQ_Cleansing!L194="Average", P194 * 0.02, IF(PQ_Cleansing!L194="Poor", 0, 0))))</f>
        <v>4047.7280000000001</v>
      </c>
      <c r="R194">
        <f>IFERROR(VALUE(SUBSTITUTE(SUBSTITUTE(PQ_Cleansing!I194, "$", ""), ",", "")), "")</f>
        <v>80954.559999999998</v>
      </c>
    </row>
    <row r="195" spans="1:18" x14ac:dyDescent="0.25">
      <c r="A195" t="str">
        <f>PROPER(TRIM(CLEAN(RAW_DATA!A195)))</f>
        <v>Emp1193</v>
      </c>
      <c r="B195" t="str">
        <f>RAW_DATA!B195</f>
        <v>Eva</v>
      </c>
      <c r="C195" t="str">
        <f>RAW_DATA!C195</f>
        <v>Davis</v>
      </c>
      <c r="D195">
        <f>RAW_DATA!D195</f>
        <v>0</v>
      </c>
      <c r="E195" t="str">
        <f>RAW_DATA!E195</f>
        <v>Cloud Tech-California</v>
      </c>
      <c r="F195" t="str">
        <f t="shared" ref="F195:F258" si="9">LEFT(E195, FIND("-", E195) - 1)</f>
        <v>Cloud Tech</v>
      </c>
      <c r="G195" t="str">
        <f t="shared" ref="G195:G258" si="10">RIGHT(E195, LEN(E195) - FIND("-",E195))</f>
        <v>California</v>
      </c>
      <c r="P195">
        <f t="shared" ref="P195:P258" si="11">IF(ISNUMBER(R195), R195, AVERAGEIF($R$2:$R$1000, "&gt;0"))</f>
        <v>71728.55</v>
      </c>
      <c r="Q195">
        <f>IF(PQ_Cleansing!L195="Excellent", P195 * 0.1, IF(PQ_Cleansing!L195="Good", P195 * 0.05, IF(PQ_Cleansing!L195="Average", P195 * 0.02, IF(PQ_Cleansing!L195="Poor", 0, 0))))</f>
        <v>3586.4275000000002</v>
      </c>
      <c r="R195">
        <f>IFERROR(VALUE(SUBSTITUTE(SUBSTITUTE(PQ_Cleansing!I195, "$", ""), ",", "")), "")</f>
        <v>71728.55</v>
      </c>
    </row>
    <row r="196" spans="1:18" x14ac:dyDescent="0.25">
      <c r="A196" t="str">
        <f>PROPER(TRIM(CLEAN(RAW_DATA!A196)))</f>
        <v>Emp1194</v>
      </c>
      <c r="B196" t="str">
        <f>RAW_DATA!B196</f>
        <v>Alice</v>
      </c>
      <c r="C196" t="str">
        <f>RAW_DATA!C196</f>
        <v>Davis</v>
      </c>
      <c r="D196">
        <f>RAW_DATA!D196</f>
        <v>35</v>
      </c>
      <c r="E196" t="str">
        <f>RAW_DATA!E196</f>
        <v>HR-Texas</v>
      </c>
      <c r="F196" t="str">
        <f t="shared" si="9"/>
        <v>HR</v>
      </c>
      <c r="G196" t="str">
        <f t="shared" si="10"/>
        <v>Texas</v>
      </c>
      <c r="P196">
        <f t="shared" si="11"/>
        <v>118415.8</v>
      </c>
      <c r="Q196">
        <f>IF(PQ_Cleansing!L196="Excellent", P196 * 0.1, IF(PQ_Cleansing!L196="Good", P196 * 0.05, IF(PQ_Cleansing!L196="Average", P196 * 0.02, IF(PQ_Cleansing!L196="Poor", 0, 0))))</f>
        <v>5920.7900000000009</v>
      </c>
      <c r="R196">
        <f>IFERROR(VALUE(SUBSTITUTE(SUBSTITUTE(PQ_Cleansing!I196, "$", ""), ",", "")), "")</f>
        <v>118415.8</v>
      </c>
    </row>
    <row r="197" spans="1:18" x14ac:dyDescent="0.25">
      <c r="A197" t="str">
        <f>PROPER(TRIM(CLEAN(RAW_DATA!A197)))</f>
        <v>Emp1195</v>
      </c>
      <c r="B197" t="str">
        <f>RAW_DATA!B197</f>
        <v>Grace</v>
      </c>
      <c r="C197" t="str">
        <f>RAW_DATA!C197</f>
        <v>Johnson</v>
      </c>
      <c r="D197">
        <f>RAW_DATA!D197</f>
        <v>40</v>
      </c>
      <c r="E197" t="str">
        <f>RAW_DATA!E197</f>
        <v>Sales-Illinois</v>
      </c>
      <c r="F197" t="str">
        <f t="shared" si="9"/>
        <v>Sales</v>
      </c>
      <c r="G197" t="str">
        <f t="shared" si="10"/>
        <v>Illinois</v>
      </c>
      <c r="P197">
        <f t="shared" si="11"/>
        <v>81481.36</v>
      </c>
      <c r="Q197">
        <f>IF(PQ_Cleansing!L197="Excellent", P197 * 0.1, IF(PQ_Cleansing!L197="Good", P197 * 0.05, IF(PQ_Cleansing!L197="Average", P197 * 0.02, IF(PQ_Cleansing!L197="Poor", 0, 0))))</f>
        <v>8148.1360000000004</v>
      </c>
      <c r="R197">
        <f>IFERROR(VALUE(SUBSTITUTE(SUBSTITUTE(PQ_Cleansing!I197, "$", ""), ",", "")), "")</f>
        <v>81481.36</v>
      </c>
    </row>
    <row r="198" spans="1:18" x14ac:dyDescent="0.25">
      <c r="A198" t="str">
        <f>PROPER(TRIM(CLEAN(RAW_DATA!A198)))</f>
        <v>Emp1196</v>
      </c>
      <c r="B198" t="str">
        <f>RAW_DATA!B198</f>
        <v>David</v>
      </c>
      <c r="C198" t="str">
        <f>RAW_DATA!C198</f>
        <v>Johnson</v>
      </c>
      <c r="D198">
        <f>RAW_DATA!D198</f>
        <v>35</v>
      </c>
      <c r="E198" t="str">
        <f>RAW_DATA!E198</f>
        <v>Sales-Florida</v>
      </c>
      <c r="F198" t="str">
        <f t="shared" si="9"/>
        <v>Sales</v>
      </c>
      <c r="G198" t="str">
        <f t="shared" si="10"/>
        <v>Florida</v>
      </c>
      <c r="P198">
        <f t="shared" si="11"/>
        <v>117040.57</v>
      </c>
      <c r="Q198">
        <f>IF(PQ_Cleansing!L198="Excellent", P198 * 0.1, IF(PQ_Cleansing!L198="Good", P198 * 0.05, IF(PQ_Cleansing!L198="Average", P198 * 0.02, IF(PQ_Cleansing!L198="Poor", 0, 0))))</f>
        <v>5852.0285000000003</v>
      </c>
      <c r="R198">
        <f>IFERROR(VALUE(SUBSTITUTE(SUBSTITUTE(PQ_Cleansing!I198, "$", ""), ",", "")), "")</f>
        <v>117040.57</v>
      </c>
    </row>
    <row r="199" spans="1:18" x14ac:dyDescent="0.25">
      <c r="A199" t="str">
        <f>PROPER(TRIM(CLEAN(RAW_DATA!A199)))</f>
        <v>Emp1197</v>
      </c>
      <c r="B199" t="str">
        <f>RAW_DATA!B199</f>
        <v>Frank</v>
      </c>
      <c r="C199" t="str">
        <f>RAW_DATA!C199</f>
        <v>Brown</v>
      </c>
      <c r="D199">
        <f>RAW_DATA!D199</f>
        <v>25</v>
      </c>
      <c r="E199" t="str">
        <f>RAW_DATA!E199</f>
        <v>Sales-Nevada</v>
      </c>
      <c r="F199" t="str">
        <f t="shared" si="9"/>
        <v>Sales</v>
      </c>
      <c r="G199" t="str">
        <f t="shared" si="10"/>
        <v>Nevada</v>
      </c>
      <c r="P199">
        <f t="shared" si="11"/>
        <v>67342.06</v>
      </c>
      <c r="Q199">
        <f>IF(PQ_Cleansing!L199="Excellent", P199 * 0.1, IF(PQ_Cleansing!L199="Good", P199 * 0.05, IF(PQ_Cleansing!L199="Average", P199 * 0.02, IF(PQ_Cleansing!L199="Poor", 0, 0))))</f>
        <v>3367.1030000000001</v>
      </c>
      <c r="R199">
        <f>IFERROR(VALUE(SUBSTITUTE(SUBSTITUTE(PQ_Cleansing!I199, "$", ""), ",", "")), "")</f>
        <v>67342.06</v>
      </c>
    </row>
    <row r="200" spans="1:18" x14ac:dyDescent="0.25">
      <c r="A200" t="str">
        <f>PROPER(TRIM(CLEAN(RAW_DATA!A200)))</f>
        <v>Emp1198</v>
      </c>
      <c r="B200" t="str">
        <f>RAW_DATA!B200</f>
        <v>Heidi</v>
      </c>
      <c r="C200" t="str">
        <f>RAW_DATA!C200</f>
        <v>Jones</v>
      </c>
      <c r="D200">
        <f>RAW_DATA!D200</f>
        <v>0</v>
      </c>
      <c r="E200" t="str">
        <f>RAW_DATA!E200</f>
        <v>Sales-Illinois</v>
      </c>
      <c r="F200" t="str">
        <f t="shared" si="9"/>
        <v>Sales</v>
      </c>
      <c r="G200" t="str">
        <f t="shared" si="10"/>
        <v>Illinois</v>
      </c>
      <c r="P200">
        <f t="shared" si="11"/>
        <v>76099.64</v>
      </c>
      <c r="Q200">
        <f>IF(PQ_Cleansing!L200="Excellent", P200 * 0.1, IF(PQ_Cleansing!L200="Good", P200 * 0.05, IF(PQ_Cleansing!L200="Average", P200 * 0.02, IF(PQ_Cleansing!L200="Poor", 0, 0))))</f>
        <v>7609.9639999999999</v>
      </c>
      <c r="R200">
        <f>IFERROR(VALUE(SUBSTITUTE(SUBSTITUTE(PQ_Cleansing!I200, "$", ""), ",", "")), "")</f>
        <v>76099.64</v>
      </c>
    </row>
    <row r="201" spans="1:18" x14ac:dyDescent="0.25">
      <c r="A201" t="str">
        <f>PROPER(TRIM(CLEAN(RAW_DATA!A201)))</f>
        <v>Emp1199</v>
      </c>
      <c r="B201" t="str">
        <f>RAW_DATA!B201</f>
        <v>Grace</v>
      </c>
      <c r="C201" t="str">
        <f>RAW_DATA!C201</f>
        <v>Williams</v>
      </c>
      <c r="D201">
        <f>RAW_DATA!D201</f>
        <v>35</v>
      </c>
      <c r="E201" t="str">
        <f>RAW_DATA!E201</f>
        <v>DevOps-Illinois</v>
      </c>
      <c r="F201" t="str">
        <f t="shared" si="9"/>
        <v>DevOps</v>
      </c>
      <c r="G201" t="str">
        <f t="shared" si="10"/>
        <v>Illinois</v>
      </c>
      <c r="P201">
        <f t="shared" si="11"/>
        <v>94162.06</v>
      </c>
      <c r="Q201">
        <f>IF(PQ_Cleansing!L201="Excellent", P201 * 0.1, IF(PQ_Cleansing!L201="Good", P201 * 0.05, IF(PQ_Cleansing!L201="Average", P201 * 0.02, IF(PQ_Cleansing!L201="Poor", 0, 0))))</f>
        <v>1883.2411999999999</v>
      </c>
      <c r="R201">
        <f>IFERROR(VALUE(SUBSTITUTE(SUBSTITUTE(PQ_Cleansing!I201, "$", ""), ",", "")), "")</f>
        <v>94162.06</v>
      </c>
    </row>
    <row r="202" spans="1:18" x14ac:dyDescent="0.25">
      <c r="A202" t="str">
        <f>PROPER(TRIM(CLEAN(RAW_DATA!A202)))</f>
        <v>Emp1200</v>
      </c>
      <c r="B202" t="str">
        <f>RAW_DATA!B202</f>
        <v>Frank</v>
      </c>
      <c r="C202" t="str">
        <f>RAW_DATA!C202</f>
        <v>Davis</v>
      </c>
      <c r="D202">
        <f>RAW_DATA!D202</f>
        <v>25</v>
      </c>
      <c r="E202" t="str">
        <f>RAW_DATA!E202</f>
        <v>Sales-Nevada</v>
      </c>
      <c r="F202" t="str">
        <f t="shared" si="9"/>
        <v>Sales</v>
      </c>
      <c r="G202" t="str">
        <f t="shared" si="10"/>
        <v>Nevada</v>
      </c>
      <c r="P202">
        <f t="shared" si="11"/>
        <v>67639.7</v>
      </c>
      <c r="Q202">
        <f>IF(PQ_Cleansing!L202="Excellent", P202 * 0.1, IF(PQ_Cleansing!L202="Good", P202 * 0.05, IF(PQ_Cleansing!L202="Average", P202 * 0.02, IF(PQ_Cleansing!L202="Poor", 0, 0))))</f>
        <v>6763.97</v>
      </c>
      <c r="R202">
        <f>IFERROR(VALUE(SUBSTITUTE(SUBSTITUTE(PQ_Cleansing!I202, "$", ""), ",", "")), "")</f>
        <v>67639.7</v>
      </c>
    </row>
    <row r="203" spans="1:18" x14ac:dyDescent="0.25">
      <c r="A203" t="str">
        <f>PROPER(TRIM(CLEAN(RAW_DATA!A203)))</f>
        <v>Emp1201</v>
      </c>
      <c r="B203" t="str">
        <f>RAW_DATA!B203</f>
        <v>Charlie</v>
      </c>
      <c r="C203" t="str">
        <f>RAW_DATA!C203</f>
        <v>Garcia</v>
      </c>
      <c r="D203">
        <f>RAW_DATA!D203</f>
        <v>35</v>
      </c>
      <c r="E203" t="str">
        <f>RAW_DATA!E203</f>
        <v>Cloud Tech-Illinois</v>
      </c>
      <c r="F203" t="str">
        <f t="shared" si="9"/>
        <v>Cloud Tech</v>
      </c>
      <c r="G203" t="str">
        <f t="shared" si="10"/>
        <v>Illinois</v>
      </c>
      <c r="P203">
        <f t="shared" si="11"/>
        <v>114172.25</v>
      </c>
      <c r="Q203">
        <f>IF(PQ_Cleansing!L203="Excellent", P203 * 0.1, IF(PQ_Cleansing!L203="Good", P203 * 0.05, IF(PQ_Cleansing!L203="Average", P203 * 0.02, IF(PQ_Cleansing!L203="Poor", 0, 0))))</f>
        <v>5708.6125000000002</v>
      </c>
      <c r="R203">
        <f>IFERROR(VALUE(SUBSTITUTE(SUBSTITUTE(PQ_Cleansing!I203, "$", ""), ",", "")), "")</f>
        <v>114172.25</v>
      </c>
    </row>
    <row r="204" spans="1:18" x14ac:dyDescent="0.25">
      <c r="A204" t="str">
        <f>PROPER(TRIM(CLEAN(RAW_DATA!A204)))</f>
        <v>Emp1202</v>
      </c>
      <c r="B204" t="str">
        <f>RAW_DATA!B204</f>
        <v>Grace</v>
      </c>
      <c r="C204" t="str">
        <f>RAW_DATA!C204</f>
        <v>Davis</v>
      </c>
      <c r="D204">
        <f>RAW_DATA!D204</f>
        <v>30</v>
      </c>
      <c r="E204" t="str">
        <f>RAW_DATA!E204</f>
        <v>Sales-Nevada</v>
      </c>
      <c r="F204" t="str">
        <f t="shared" si="9"/>
        <v>Sales</v>
      </c>
      <c r="G204" t="str">
        <f t="shared" si="10"/>
        <v>Nevada</v>
      </c>
      <c r="P204">
        <f t="shared" si="11"/>
        <v>89124.54</v>
      </c>
      <c r="Q204">
        <f>IF(PQ_Cleansing!L204="Excellent", P204 * 0.1, IF(PQ_Cleansing!L204="Good", P204 * 0.05, IF(PQ_Cleansing!L204="Average", P204 * 0.02, IF(PQ_Cleansing!L204="Poor", 0, 0))))</f>
        <v>8912.4539999999997</v>
      </c>
      <c r="R204">
        <f>IFERROR(VALUE(SUBSTITUTE(SUBSTITUTE(PQ_Cleansing!I204, "$", ""), ",", "")), "")</f>
        <v>89124.54</v>
      </c>
    </row>
    <row r="205" spans="1:18" x14ac:dyDescent="0.25">
      <c r="A205" t="str">
        <f>PROPER(TRIM(CLEAN(RAW_DATA!A205)))</f>
        <v>Emp1203</v>
      </c>
      <c r="B205" t="str">
        <f>RAW_DATA!B205</f>
        <v>Frank</v>
      </c>
      <c r="C205" t="str">
        <f>RAW_DATA!C205</f>
        <v>Smith</v>
      </c>
      <c r="D205">
        <f>RAW_DATA!D205</f>
        <v>30</v>
      </c>
      <c r="E205" t="str">
        <f>RAW_DATA!E205</f>
        <v>DevOps-Nevada</v>
      </c>
      <c r="F205" t="str">
        <f t="shared" si="9"/>
        <v>DevOps</v>
      </c>
      <c r="G205" t="str">
        <f t="shared" si="10"/>
        <v>Nevada</v>
      </c>
      <c r="P205">
        <f t="shared" si="11"/>
        <v>113871.36</v>
      </c>
      <c r="Q205">
        <f>IF(PQ_Cleansing!L205="Excellent", P205 * 0.1, IF(PQ_Cleansing!L205="Good", P205 * 0.05, IF(PQ_Cleansing!L205="Average", P205 * 0.02, IF(PQ_Cleansing!L205="Poor", 0, 0))))</f>
        <v>2277.4272000000001</v>
      </c>
      <c r="R205">
        <f>IFERROR(VALUE(SUBSTITUTE(SUBSTITUTE(PQ_Cleansing!I205, "$", ""), ",", "")), "")</f>
        <v>113871.36</v>
      </c>
    </row>
    <row r="206" spans="1:18" x14ac:dyDescent="0.25">
      <c r="A206" t="str">
        <f>PROPER(TRIM(CLEAN(RAW_DATA!A206)))</f>
        <v>Emp1204</v>
      </c>
      <c r="B206" t="str">
        <f>RAW_DATA!B206</f>
        <v>Grace</v>
      </c>
      <c r="C206" t="str">
        <f>RAW_DATA!C206</f>
        <v>Brown</v>
      </c>
      <c r="D206">
        <f>RAW_DATA!D206</f>
        <v>0</v>
      </c>
      <c r="E206" t="str">
        <f>RAW_DATA!E206</f>
        <v>HR-Texas</v>
      </c>
      <c r="F206" t="str">
        <f t="shared" si="9"/>
        <v>HR</v>
      </c>
      <c r="G206" t="str">
        <f t="shared" si="10"/>
        <v>Texas</v>
      </c>
      <c r="P206">
        <f t="shared" si="11"/>
        <v>62618.400000000001</v>
      </c>
      <c r="Q206">
        <f>IF(PQ_Cleansing!L206="Excellent", P206 * 0.1, IF(PQ_Cleansing!L206="Good", P206 * 0.05, IF(PQ_Cleansing!L206="Average", P206 * 0.02, IF(PQ_Cleansing!L206="Poor", 0, 0))))</f>
        <v>6261.84</v>
      </c>
      <c r="R206">
        <f>IFERROR(VALUE(SUBSTITUTE(SUBSTITUTE(PQ_Cleansing!I206, "$", ""), ",", "")), "")</f>
        <v>62618.400000000001</v>
      </c>
    </row>
    <row r="207" spans="1:18" x14ac:dyDescent="0.25">
      <c r="A207" t="str">
        <f>PROPER(TRIM(CLEAN(RAW_DATA!A207)))</f>
        <v>Emp1205</v>
      </c>
      <c r="B207" t="str">
        <f>RAW_DATA!B207</f>
        <v>Heidi</v>
      </c>
      <c r="C207" t="str">
        <f>RAW_DATA!C207</f>
        <v>Jones</v>
      </c>
      <c r="D207">
        <f>RAW_DATA!D207</f>
        <v>30</v>
      </c>
      <c r="E207" t="str">
        <f>RAW_DATA!E207</f>
        <v>Admin-New York</v>
      </c>
      <c r="F207" t="str">
        <f t="shared" si="9"/>
        <v>Admin</v>
      </c>
      <c r="G207" t="str">
        <f t="shared" si="10"/>
        <v>New York</v>
      </c>
      <c r="P207">
        <f t="shared" si="11"/>
        <v>70705.45</v>
      </c>
      <c r="Q207">
        <f>IF(PQ_Cleansing!L207="Excellent", P207 * 0.1, IF(PQ_Cleansing!L207="Good", P207 * 0.05, IF(PQ_Cleansing!L207="Average", P207 * 0.02, IF(PQ_Cleansing!L207="Poor", 0, 0))))</f>
        <v>3535.2725</v>
      </c>
      <c r="R207">
        <f>IFERROR(VALUE(SUBSTITUTE(SUBSTITUTE(PQ_Cleansing!I207, "$", ""), ",", "")), "")</f>
        <v>70705.45</v>
      </c>
    </row>
    <row r="208" spans="1:18" x14ac:dyDescent="0.25">
      <c r="A208" t="str">
        <f>PROPER(TRIM(CLEAN(RAW_DATA!A208)))</f>
        <v>Emp1206</v>
      </c>
      <c r="B208" t="str">
        <f>RAW_DATA!B208</f>
        <v>Alice</v>
      </c>
      <c r="C208" t="str">
        <f>RAW_DATA!C208</f>
        <v>Garcia</v>
      </c>
      <c r="D208">
        <f>RAW_DATA!D208</f>
        <v>35</v>
      </c>
      <c r="E208" t="str">
        <f>RAW_DATA!E208</f>
        <v>Sales-New York</v>
      </c>
      <c r="F208" t="str">
        <f t="shared" si="9"/>
        <v>Sales</v>
      </c>
      <c r="G208" t="str">
        <f t="shared" si="10"/>
        <v>New York</v>
      </c>
      <c r="P208">
        <f t="shared" si="11"/>
        <v>60797.69</v>
      </c>
      <c r="Q208">
        <f>IF(PQ_Cleansing!L208="Excellent", P208 * 0.1, IF(PQ_Cleansing!L208="Good", P208 * 0.05, IF(PQ_Cleansing!L208="Average", P208 * 0.02, IF(PQ_Cleansing!L208="Poor", 0, 0))))</f>
        <v>1215.9538</v>
      </c>
      <c r="R208">
        <f>IFERROR(VALUE(SUBSTITUTE(SUBSTITUTE(PQ_Cleansing!I208, "$", ""), ",", "")), "")</f>
        <v>60797.69</v>
      </c>
    </row>
    <row r="209" spans="1:18" x14ac:dyDescent="0.25">
      <c r="A209" t="str">
        <f>PROPER(TRIM(CLEAN(RAW_DATA!A209)))</f>
        <v>Emp1207</v>
      </c>
      <c r="B209" t="str">
        <f>RAW_DATA!B209</f>
        <v>Charlie</v>
      </c>
      <c r="C209" t="str">
        <f>RAW_DATA!C209</f>
        <v>Brown</v>
      </c>
      <c r="D209">
        <f>RAW_DATA!D209</f>
        <v>40</v>
      </c>
      <c r="E209" t="str">
        <f>RAW_DATA!E209</f>
        <v>Cloud Tech-Florida</v>
      </c>
      <c r="F209" t="str">
        <f t="shared" si="9"/>
        <v>Cloud Tech</v>
      </c>
      <c r="G209" t="str">
        <f t="shared" si="10"/>
        <v>Florida</v>
      </c>
      <c r="P209">
        <f t="shared" si="11"/>
        <v>100371</v>
      </c>
      <c r="Q209">
        <f>IF(PQ_Cleansing!L209="Excellent", P209 * 0.1, IF(PQ_Cleansing!L209="Good", P209 * 0.05, IF(PQ_Cleansing!L209="Average", P209 * 0.02, IF(PQ_Cleansing!L209="Poor", 0, 0))))</f>
        <v>0</v>
      </c>
      <c r="R209">
        <f>IFERROR(VALUE(SUBSTITUTE(SUBSTITUTE(PQ_Cleansing!I209, "$", ""), ",", "")), "")</f>
        <v>100371</v>
      </c>
    </row>
    <row r="210" spans="1:18" x14ac:dyDescent="0.25">
      <c r="A210" t="str">
        <f>PROPER(TRIM(CLEAN(RAW_DATA!A210)))</f>
        <v>Emp1208</v>
      </c>
      <c r="B210" t="str">
        <f>RAW_DATA!B210</f>
        <v>Eva</v>
      </c>
      <c r="C210" t="str">
        <f>RAW_DATA!C210</f>
        <v>Miller</v>
      </c>
      <c r="D210">
        <f>RAW_DATA!D210</f>
        <v>40</v>
      </c>
      <c r="E210" t="str">
        <f>RAW_DATA!E210</f>
        <v>Admin-Illinois</v>
      </c>
      <c r="F210" t="str">
        <f t="shared" si="9"/>
        <v>Admin</v>
      </c>
      <c r="G210" t="str">
        <f t="shared" si="10"/>
        <v>Illinois</v>
      </c>
      <c r="P210">
        <f t="shared" si="11"/>
        <v>117591.76</v>
      </c>
      <c r="Q210">
        <f>IF(PQ_Cleansing!L210="Excellent", P210 * 0.1, IF(PQ_Cleansing!L210="Good", P210 * 0.05, IF(PQ_Cleansing!L210="Average", P210 * 0.02, IF(PQ_Cleansing!L210="Poor", 0, 0))))</f>
        <v>5879.5879999999997</v>
      </c>
      <c r="R210">
        <f>IFERROR(VALUE(SUBSTITUTE(SUBSTITUTE(PQ_Cleansing!I210, "$", ""), ",", "")), "")</f>
        <v>117591.76</v>
      </c>
    </row>
    <row r="211" spans="1:18" x14ac:dyDescent="0.25">
      <c r="A211" t="str">
        <f>PROPER(TRIM(CLEAN(RAW_DATA!A211)))</f>
        <v>Emp1209</v>
      </c>
      <c r="B211" t="str">
        <f>RAW_DATA!B211</f>
        <v>David</v>
      </c>
      <c r="C211" t="str">
        <f>RAW_DATA!C211</f>
        <v>Jones</v>
      </c>
      <c r="D211">
        <f>RAW_DATA!D211</f>
        <v>35</v>
      </c>
      <c r="E211" t="str">
        <f>RAW_DATA!E211</f>
        <v>DevOps-Illinois</v>
      </c>
      <c r="F211" t="str">
        <f t="shared" si="9"/>
        <v>DevOps</v>
      </c>
      <c r="G211" t="str">
        <f t="shared" si="10"/>
        <v>Illinois</v>
      </c>
      <c r="P211">
        <f t="shared" si="11"/>
        <v>103860.7</v>
      </c>
      <c r="Q211">
        <f>IF(PQ_Cleansing!L211="Excellent", P211 * 0.1, IF(PQ_Cleansing!L211="Good", P211 * 0.05, IF(PQ_Cleansing!L211="Average", P211 * 0.02, IF(PQ_Cleansing!L211="Poor", 0, 0))))</f>
        <v>2077.2139999999999</v>
      </c>
      <c r="R211">
        <f>IFERROR(VALUE(SUBSTITUTE(SUBSTITUTE(PQ_Cleansing!I211, "$", ""), ",", "")), "")</f>
        <v>103860.7</v>
      </c>
    </row>
    <row r="212" spans="1:18" x14ac:dyDescent="0.25">
      <c r="A212" t="str">
        <f>PROPER(TRIM(CLEAN(RAW_DATA!A212)))</f>
        <v>Emp1210</v>
      </c>
      <c r="B212" t="str">
        <f>RAW_DATA!B212</f>
        <v>Grace</v>
      </c>
      <c r="C212" t="str">
        <f>RAW_DATA!C212</f>
        <v>Davis</v>
      </c>
      <c r="D212">
        <f>RAW_DATA!D212</f>
        <v>30</v>
      </c>
      <c r="E212" t="str">
        <f>RAW_DATA!E212</f>
        <v>Admin-Illinois</v>
      </c>
      <c r="F212" t="str">
        <f t="shared" si="9"/>
        <v>Admin</v>
      </c>
      <c r="G212" t="str">
        <f t="shared" si="10"/>
        <v>Illinois</v>
      </c>
      <c r="P212">
        <f t="shared" si="11"/>
        <v>67500.22</v>
      </c>
      <c r="Q212">
        <f>IF(PQ_Cleansing!L212="Excellent", P212 * 0.1, IF(PQ_Cleansing!L212="Good", P212 * 0.05, IF(PQ_Cleansing!L212="Average", P212 * 0.02, IF(PQ_Cleansing!L212="Poor", 0, 0))))</f>
        <v>1350.0044</v>
      </c>
      <c r="R212">
        <f>IFERROR(VALUE(SUBSTITUTE(SUBSTITUTE(PQ_Cleansing!I212, "$", ""), ",", "")), "")</f>
        <v>67500.22</v>
      </c>
    </row>
    <row r="213" spans="1:18" x14ac:dyDescent="0.25">
      <c r="A213" t="str">
        <f>PROPER(TRIM(CLEAN(RAW_DATA!A213)))</f>
        <v>Emp1211</v>
      </c>
      <c r="B213" t="str">
        <f>RAW_DATA!B213</f>
        <v>Frank</v>
      </c>
      <c r="C213" t="str">
        <f>RAW_DATA!C213</f>
        <v>Davis</v>
      </c>
      <c r="D213">
        <f>RAW_DATA!D213</f>
        <v>0</v>
      </c>
      <c r="E213" t="str">
        <f>RAW_DATA!E213</f>
        <v>Cloud Tech-Nevada</v>
      </c>
      <c r="F213" t="str">
        <f t="shared" si="9"/>
        <v>Cloud Tech</v>
      </c>
      <c r="G213" t="str">
        <f t="shared" si="10"/>
        <v>Nevada</v>
      </c>
      <c r="P213">
        <f t="shared" si="11"/>
        <v>58727.44</v>
      </c>
      <c r="Q213">
        <f>IF(PQ_Cleansing!L213="Excellent", P213 * 0.1, IF(PQ_Cleansing!L213="Good", P213 * 0.05, IF(PQ_Cleansing!L213="Average", P213 * 0.02, IF(PQ_Cleansing!L213="Poor", 0, 0))))</f>
        <v>0</v>
      </c>
      <c r="R213">
        <f>IFERROR(VALUE(SUBSTITUTE(SUBSTITUTE(PQ_Cleansing!I213, "$", ""), ",", "")), "")</f>
        <v>58727.44</v>
      </c>
    </row>
    <row r="214" spans="1:18" x14ac:dyDescent="0.25">
      <c r="A214" t="str">
        <f>PROPER(TRIM(CLEAN(RAW_DATA!A214)))</f>
        <v>Emp1212</v>
      </c>
      <c r="B214" t="str">
        <f>RAW_DATA!B214</f>
        <v>Charlie</v>
      </c>
      <c r="C214" t="str">
        <f>RAW_DATA!C214</f>
        <v>Jones</v>
      </c>
      <c r="D214">
        <f>RAW_DATA!D214</f>
        <v>35</v>
      </c>
      <c r="E214" t="str">
        <f>RAW_DATA!E214</f>
        <v>Finance-Illinois</v>
      </c>
      <c r="F214" t="str">
        <f t="shared" si="9"/>
        <v>Finance</v>
      </c>
      <c r="G214" t="str">
        <f t="shared" si="10"/>
        <v>Illinois</v>
      </c>
      <c r="P214">
        <f t="shared" si="11"/>
        <v>80623.08</v>
      </c>
      <c r="Q214">
        <f>IF(PQ_Cleansing!L214="Excellent", P214 * 0.1, IF(PQ_Cleansing!L214="Good", P214 * 0.05, IF(PQ_Cleansing!L214="Average", P214 * 0.02, IF(PQ_Cleansing!L214="Poor", 0, 0))))</f>
        <v>8062.3080000000009</v>
      </c>
      <c r="R214">
        <f>IFERROR(VALUE(SUBSTITUTE(SUBSTITUTE(PQ_Cleansing!I214, "$", ""), ",", "")), "")</f>
        <v>80623.08</v>
      </c>
    </row>
    <row r="215" spans="1:18" x14ac:dyDescent="0.25">
      <c r="A215" t="str">
        <f>PROPER(TRIM(CLEAN(RAW_DATA!A215)))</f>
        <v>Emp1213</v>
      </c>
      <c r="B215" t="str">
        <f>RAW_DATA!B215</f>
        <v>David</v>
      </c>
      <c r="C215" t="str">
        <f>RAW_DATA!C215</f>
        <v>Davis</v>
      </c>
      <c r="D215">
        <f>RAW_DATA!D215</f>
        <v>40</v>
      </c>
      <c r="E215" t="str">
        <f>RAW_DATA!E215</f>
        <v>HR-Texas</v>
      </c>
      <c r="F215" t="str">
        <f t="shared" si="9"/>
        <v>HR</v>
      </c>
      <c r="G215" t="str">
        <f t="shared" si="10"/>
        <v>Texas</v>
      </c>
      <c r="P215">
        <f t="shared" si="11"/>
        <v>77751.78</v>
      </c>
      <c r="Q215">
        <f>IF(PQ_Cleansing!L215="Excellent", P215 * 0.1, IF(PQ_Cleansing!L215="Good", P215 * 0.05, IF(PQ_Cleansing!L215="Average", P215 * 0.02, IF(PQ_Cleansing!L215="Poor", 0, 0))))</f>
        <v>7775.1779999999999</v>
      </c>
      <c r="R215">
        <f>IFERROR(VALUE(SUBSTITUTE(SUBSTITUTE(PQ_Cleansing!I215, "$", ""), ",", "")), "")</f>
        <v>77751.78</v>
      </c>
    </row>
    <row r="216" spans="1:18" x14ac:dyDescent="0.25">
      <c r="A216" t="str">
        <f>PROPER(TRIM(CLEAN(RAW_DATA!A216)))</f>
        <v>Emp1214</v>
      </c>
      <c r="B216" t="str">
        <f>RAW_DATA!B216</f>
        <v>Grace</v>
      </c>
      <c r="C216" t="str">
        <f>RAW_DATA!C216</f>
        <v>Williams</v>
      </c>
      <c r="D216">
        <f>RAW_DATA!D216</f>
        <v>25</v>
      </c>
      <c r="E216" t="str">
        <f>RAW_DATA!E216</f>
        <v>HR-New York</v>
      </c>
      <c r="F216" t="str">
        <f t="shared" si="9"/>
        <v>HR</v>
      </c>
      <c r="G216" t="str">
        <f t="shared" si="10"/>
        <v>New York</v>
      </c>
      <c r="P216">
        <f t="shared" si="11"/>
        <v>115157.81</v>
      </c>
      <c r="Q216">
        <f>IF(PQ_Cleansing!L216="Excellent", P216 * 0.1, IF(PQ_Cleansing!L216="Good", P216 * 0.05, IF(PQ_Cleansing!L216="Average", P216 * 0.02, IF(PQ_Cleansing!L216="Poor", 0, 0))))</f>
        <v>5757.8905000000004</v>
      </c>
      <c r="R216">
        <f>IFERROR(VALUE(SUBSTITUTE(SUBSTITUTE(PQ_Cleansing!I216, "$", ""), ",", "")), "")</f>
        <v>115157.81</v>
      </c>
    </row>
    <row r="217" spans="1:18" x14ac:dyDescent="0.25">
      <c r="A217" t="str">
        <f>PROPER(TRIM(CLEAN(RAW_DATA!A217)))</f>
        <v>Emp1215</v>
      </c>
      <c r="B217" t="str">
        <f>RAW_DATA!B217</f>
        <v>Frank</v>
      </c>
      <c r="C217" t="str">
        <f>RAW_DATA!C217</f>
        <v>Jones</v>
      </c>
      <c r="D217">
        <f>RAW_DATA!D217</f>
        <v>30</v>
      </c>
      <c r="E217" t="str">
        <f>RAW_DATA!E217</f>
        <v>Admin-Texas</v>
      </c>
      <c r="F217" t="str">
        <f t="shared" si="9"/>
        <v>Admin</v>
      </c>
      <c r="G217" t="str">
        <f t="shared" si="10"/>
        <v>Texas</v>
      </c>
      <c r="P217">
        <f t="shared" si="11"/>
        <v>83071.850000000006</v>
      </c>
      <c r="Q217">
        <f>IF(PQ_Cleansing!L217="Excellent", P217 * 0.1, IF(PQ_Cleansing!L217="Good", P217 * 0.05, IF(PQ_Cleansing!L217="Average", P217 * 0.02, IF(PQ_Cleansing!L217="Poor", 0, 0))))</f>
        <v>0</v>
      </c>
      <c r="R217">
        <f>IFERROR(VALUE(SUBSTITUTE(SUBSTITUTE(PQ_Cleansing!I217, "$", ""), ",", "")), "")</f>
        <v>83071.850000000006</v>
      </c>
    </row>
    <row r="218" spans="1:18" x14ac:dyDescent="0.25">
      <c r="A218" t="str">
        <f>PROPER(TRIM(CLEAN(RAW_DATA!A218)))</f>
        <v>Emp1216</v>
      </c>
      <c r="B218" t="str">
        <f>RAW_DATA!B218</f>
        <v>Heidi</v>
      </c>
      <c r="C218" t="str">
        <f>RAW_DATA!C218</f>
        <v>Brown</v>
      </c>
      <c r="D218">
        <f>RAW_DATA!D218</f>
        <v>40</v>
      </c>
      <c r="E218" t="str">
        <f>RAW_DATA!E218</f>
        <v>Sales-Texas</v>
      </c>
      <c r="F218" t="str">
        <f t="shared" si="9"/>
        <v>Sales</v>
      </c>
      <c r="G218" t="str">
        <f t="shared" si="10"/>
        <v>Texas</v>
      </c>
      <c r="P218">
        <f t="shared" si="11"/>
        <v>67914.67</v>
      </c>
      <c r="Q218">
        <f>IF(PQ_Cleansing!L218="Excellent", P218 * 0.1, IF(PQ_Cleansing!L218="Good", P218 * 0.05, IF(PQ_Cleansing!L218="Average", P218 * 0.02, IF(PQ_Cleansing!L218="Poor", 0, 0))))</f>
        <v>6791.4670000000006</v>
      </c>
      <c r="R218">
        <f>IFERROR(VALUE(SUBSTITUTE(SUBSTITUTE(PQ_Cleansing!I218, "$", ""), ",", "")), "")</f>
        <v>67914.67</v>
      </c>
    </row>
    <row r="219" spans="1:18" x14ac:dyDescent="0.25">
      <c r="A219" t="str">
        <f>PROPER(TRIM(CLEAN(RAW_DATA!A219)))</f>
        <v>Emp1217</v>
      </c>
      <c r="B219" t="str">
        <f>RAW_DATA!B219</f>
        <v>Grace</v>
      </c>
      <c r="C219" t="str">
        <f>RAW_DATA!C219</f>
        <v>Jones</v>
      </c>
      <c r="D219">
        <f>RAW_DATA!D219</f>
        <v>25</v>
      </c>
      <c r="E219" t="str">
        <f>RAW_DATA!E219</f>
        <v>HR-New York</v>
      </c>
      <c r="F219" t="str">
        <f t="shared" si="9"/>
        <v>HR</v>
      </c>
      <c r="G219" t="str">
        <f t="shared" si="10"/>
        <v>New York</v>
      </c>
      <c r="P219">
        <f t="shared" si="11"/>
        <v>53342.46</v>
      </c>
      <c r="Q219">
        <f>IF(PQ_Cleansing!L219="Excellent", P219 * 0.1, IF(PQ_Cleansing!L219="Good", P219 * 0.05, IF(PQ_Cleansing!L219="Average", P219 * 0.02, IF(PQ_Cleansing!L219="Poor", 0, 0))))</f>
        <v>0</v>
      </c>
      <c r="R219">
        <f>IFERROR(VALUE(SUBSTITUTE(SUBSTITUTE(PQ_Cleansing!I219, "$", ""), ",", "")), "")</f>
        <v>53342.46</v>
      </c>
    </row>
    <row r="220" spans="1:18" x14ac:dyDescent="0.25">
      <c r="A220" t="str">
        <f>PROPER(TRIM(CLEAN(RAW_DATA!A220)))</f>
        <v>Emp1218</v>
      </c>
      <c r="B220" t="str">
        <f>RAW_DATA!B220</f>
        <v>Heidi</v>
      </c>
      <c r="C220" t="str">
        <f>RAW_DATA!C220</f>
        <v>Garcia</v>
      </c>
      <c r="D220">
        <f>RAW_DATA!D220</f>
        <v>25</v>
      </c>
      <c r="E220" t="str">
        <f>RAW_DATA!E220</f>
        <v>Cloud Tech-Florida</v>
      </c>
      <c r="F220" t="str">
        <f t="shared" si="9"/>
        <v>Cloud Tech</v>
      </c>
      <c r="G220" t="str">
        <f t="shared" si="10"/>
        <v>Florida</v>
      </c>
      <c r="P220">
        <f t="shared" si="11"/>
        <v>51150.47</v>
      </c>
      <c r="Q220">
        <f>IF(PQ_Cleansing!L220="Excellent", P220 * 0.1, IF(PQ_Cleansing!L220="Good", P220 * 0.05, IF(PQ_Cleansing!L220="Average", P220 * 0.02, IF(PQ_Cleansing!L220="Poor", 0, 0))))</f>
        <v>5115.0470000000005</v>
      </c>
      <c r="R220">
        <f>IFERROR(VALUE(SUBSTITUTE(SUBSTITUTE(PQ_Cleansing!I220, "$", ""), ",", "")), "")</f>
        <v>51150.47</v>
      </c>
    </row>
    <row r="221" spans="1:18" x14ac:dyDescent="0.25">
      <c r="A221" t="str">
        <f>PROPER(TRIM(CLEAN(RAW_DATA!A221)))</f>
        <v>Emp1219</v>
      </c>
      <c r="B221" t="str">
        <f>RAW_DATA!B221</f>
        <v>David</v>
      </c>
      <c r="C221" t="str">
        <f>RAW_DATA!C221</f>
        <v>Davis</v>
      </c>
      <c r="D221">
        <f>RAW_DATA!D221</f>
        <v>30</v>
      </c>
      <c r="E221" t="str">
        <f>RAW_DATA!E221</f>
        <v>HR-Florida</v>
      </c>
      <c r="F221" t="str">
        <f t="shared" si="9"/>
        <v>HR</v>
      </c>
      <c r="G221" t="str">
        <f t="shared" si="10"/>
        <v>Florida</v>
      </c>
      <c r="P221">
        <f t="shared" si="11"/>
        <v>74697.119999999995</v>
      </c>
      <c r="Q221">
        <f>IF(PQ_Cleansing!L221="Excellent", P221 * 0.1, IF(PQ_Cleansing!L221="Good", P221 * 0.05, IF(PQ_Cleansing!L221="Average", P221 * 0.02, IF(PQ_Cleansing!L221="Poor", 0, 0))))</f>
        <v>1493.9423999999999</v>
      </c>
      <c r="R221">
        <f>IFERROR(VALUE(SUBSTITUTE(SUBSTITUTE(PQ_Cleansing!I221, "$", ""), ",", "")), "")</f>
        <v>74697.119999999995</v>
      </c>
    </row>
    <row r="222" spans="1:18" x14ac:dyDescent="0.25">
      <c r="A222" t="str">
        <f>PROPER(TRIM(CLEAN(RAW_DATA!A222)))</f>
        <v>Emp1220</v>
      </c>
      <c r="B222" t="str">
        <f>RAW_DATA!B222</f>
        <v>Charlie</v>
      </c>
      <c r="C222" t="str">
        <f>RAW_DATA!C222</f>
        <v>Williams</v>
      </c>
      <c r="D222">
        <f>RAW_DATA!D222</f>
        <v>25</v>
      </c>
      <c r="E222" t="str">
        <f>RAW_DATA!E222</f>
        <v>Sales-California</v>
      </c>
      <c r="F222" t="str">
        <f t="shared" si="9"/>
        <v>Sales</v>
      </c>
      <c r="G222" t="str">
        <f t="shared" si="10"/>
        <v>California</v>
      </c>
      <c r="P222">
        <f t="shared" si="11"/>
        <v>88085.74</v>
      </c>
      <c r="Q222">
        <f>IF(PQ_Cleansing!L222="Excellent", P222 * 0.1, IF(PQ_Cleansing!L222="Good", P222 * 0.05, IF(PQ_Cleansing!L222="Average", P222 * 0.02, IF(PQ_Cleansing!L222="Poor", 0, 0))))</f>
        <v>8808.5740000000005</v>
      </c>
      <c r="R222">
        <f>IFERROR(VALUE(SUBSTITUTE(SUBSTITUTE(PQ_Cleansing!I222, "$", ""), ",", "")), "")</f>
        <v>88085.74</v>
      </c>
    </row>
    <row r="223" spans="1:18" x14ac:dyDescent="0.25">
      <c r="A223" t="str">
        <f>PROPER(TRIM(CLEAN(RAW_DATA!A223)))</f>
        <v>Emp1221</v>
      </c>
      <c r="B223" t="str">
        <f>RAW_DATA!B223</f>
        <v>Alice</v>
      </c>
      <c r="C223" t="str">
        <f>RAW_DATA!C223</f>
        <v>Williams</v>
      </c>
      <c r="D223">
        <f>RAW_DATA!D223</f>
        <v>40</v>
      </c>
      <c r="E223" t="str">
        <f>RAW_DATA!E223</f>
        <v>Finance-Texas</v>
      </c>
      <c r="F223" t="str">
        <f t="shared" si="9"/>
        <v>Finance</v>
      </c>
      <c r="G223" t="str">
        <f t="shared" si="10"/>
        <v>Texas</v>
      </c>
      <c r="P223">
        <f t="shared" si="11"/>
        <v>118672.76</v>
      </c>
      <c r="Q223">
        <f>IF(PQ_Cleansing!L223="Excellent", P223 * 0.1, IF(PQ_Cleansing!L223="Good", P223 * 0.05, IF(PQ_Cleansing!L223="Average", P223 * 0.02, IF(PQ_Cleansing!L223="Poor", 0, 0))))</f>
        <v>0</v>
      </c>
      <c r="R223">
        <f>IFERROR(VALUE(SUBSTITUTE(SUBSTITUTE(PQ_Cleansing!I223, "$", ""), ",", "")), "")</f>
        <v>118672.76</v>
      </c>
    </row>
    <row r="224" spans="1:18" x14ac:dyDescent="0.25">
      <c r="A224" t="str">
        <f>PROPER(TRIM(CLEAN(RAW_DATA!A224)))</f>
        <v>Emp1222</v>
      </c>
      <c r="B224" t="str">
        <f>RAW_DATA!B224</f>
        <v>Alice</v>
      </c>
      <c r="C224" t="str">
        <f>RAW_DATA!C224</f>
        <v>Miller</v>
      </c>
      <c r="D224">
        <f>RAW_DATA!D224</f>
        <v>35</v>
      </c>
      <c r="E224" t="str">
        <f>RAW_DATA!E224</f>
        <v>Cloud Tech-California</v>
      </c>
      <c r="F224" t="str">
        <f t="shared" si="9"/>
        <v>Cloud Tech</v>
      </c>
      <c r="G224" t="str">
        <f t="shared" si="10"/>
        <v>California</v>
      </c>
      <c r="P224">
        <f t="shared" si="11"/>
        <v>95997.31</v>
      </c>
      <c r="Q224">
        <f>IF(PQ_Cleansing!L224="Excellent", P224 * 0.1, IF(PQ_Cleansing!L224="Good", P224 * 0.05, IF(PQ_Cleansing!L224="Average", P224 * 0.02, IF(PQ_Cleansing!L224="Poor", 0, 0))))</f>
        <v>1919.9462000000001</v>
      </c>
      <c r="R224">
        <f>IFERROR(VALUE(SUBSTITUTE(SUBSTITUTE(PQ_Cleansing!I224, "$", ""), ",", "")), "")</f>
        <v>95997.31</v>
      </c>
    </row>
    <row r="225" spans="1:18" x14ac:dyDescent="0.25">
      <c r="A225" t="str">
        <f>PROPER(TRIM(CLEAN(RAW_DATA!A225)))</f>
        <v>Emp1223</v>
      </c>
      <c r="B225" t="str">
        <f>RAW_DATA!B225</f>
        <v>Frank</v>
      </c>
      <c r="C225" t="str">
        <f>RAW_DATA!C225</f>
        <v>Brown</v>
      </c>
      <c r="D225">
        <f>RAW_DATA!D225</f>
        <v>30</v>
      </c>
      <c r="E225" t="str">
        <f>RAW_DATA!E225</f>
        <v>Cloud Tech-California</v>
      </c>
      <c r="F225" t="str">
        <f t="shared" si="9"/>
        <v>Cloud Tech</v>
      </c>
      <c r="G225" t="str">
        <f t="shared" si="10"/>
        <v>California</v>
      </c>
      <c r="P225">
        <f t="shared" si="11"/>
        <v>106945.62</v>
      </c>
      <c r="Q225">
        <f>IF(PQ_Cleansing!L225="Excellent", P225 * 0.1, IF(PQ_Cleansing!L225="Good", P225 * 0.05, IF(PQ_Cleansing!L225="Average", P225 * 0.02, IF(PQ_Cleansing!L225="Poor", 0, 0))))</f>
        <v>2138.9124000000002</v>
      </c>
      <c r="R225">
        <f>IFERROR(VALUE(SUBSTITUTE(SUBSTITUTE(PQ_Cleansing!I225, "$", ""), ",", "")), "")</f>
        <v>106945.62</v>
      </c>
    </row>
    <row r="226" spans="1:18" x14ac:dyDescent="0.25">
      <c r="A226" t="str">
        <f>PROPER(TRIM(CLEAN(RAW_DATA!A226)))</f>
        <v>Emp1224</v>
      </c>
      <c r="B226" t="str">
        <f>RAW_DATA!B226</f>
        <v>Heidi</v>
      </c>
      <c r="C226" t="str">
        <f>RAW_DATA!C226</f>
        <v>Johnson</v>
      </c>
      <c r="D226">
        <f>RAW_DATA!D226</f>
        <v>40</v>
      </c>
      <c r="E226" t="str">
        <f>RAW_DATA!E226</f>
        <v>DevOps-New York</v>
      </c>
      <c r="F226" t="str">
        <f t="shared" si="9"/>
        <v>DevOps</v>
      </c>
      <c r="G226" t="str">
        <f t="shared" si="10"/>
        <v>New York</v>
      </c>
      <c r="P226">
        <f t="shared" si="11"/>
        <v>100123.15</v>
      </c>
      <c r="Q226">
        <f>IF(PQ_Cleansing!L226="Excellent", P226 * 0.1, IF(PQ_Cleansing!L226="Good", P226 * 0.05, IF(PQ_Cleansing!L226="Average", P226 * 0.02, IF(PQ_Cleansing!L226="Poor", 0, 0))))</f>
        <v>2002.463</v>
      </c>
      <c r="R226">
        <f>IFERROR(VALUE(SUBSTITUTE(SUBSTITUTE(PQ_Cleansing!I226, "$", ""), ",", "")), "")</f>
        <v>100123.15</v>
      </c>
    </row>
    <row r="227" spans="1:18" x14ac:dyDescent="0.25">
      <c r="A227" t="str">
        <f>PROPER(TRIM(CLEAN(RAW_DATA!A227)))</f>
        <v>Emp1225</v>
      </c>
      <c r="B227" t="str">
        <f>RAW_DATA!B227</f>
        <v>Alice</v>
      </c>
      <c r="C227" t="str">
        <f>RAW_DATA!C227</f>
        <v>Johnson</v>
      </c>
      <c r="D227">
        <f>RAW_DATA!D227</f>
        <v>35</v>
      </c>
      <c r="E227" t="str">
        <f>RAW_DATA!E227</f>
        <v>Admin-Texas</v>
      </c>
      <c r="F227" t="str">
        <f t="shared" si="9"/>
        <v>Admin</v>
      </c>
      <c r="G227" t="str">
        <f t="shared" si="10"/>
        <v>Texas</v>
      </c>
      <c r="P227">
        <f t="shared" si="11"/>
        <v>52933.42</v>
      </c>
      <c r="Q227">
        <f>IF(PQ_Cleansing!L227="Excellent", P227 * 0.1, IF(PQ_Cleansing!L227="Good", P227 * 0.05, IF(PQ_Cleansing!L227="Average", P227 * 0.02, IF(PQ_Cleansing!L227="Poor", 0, 0))))</f>
        <v>0</v>
      </c>
      <c r="R227">
        <f>IFERROR(VALUE(SUBSTITUTE(SUBSTITUTE(PQ_Cleansing!I227, "$", ""), ",", "")), "")</f>
        <v>52933.42</v>
      </c>
    </row>
    <row r="228" spans="1:18" x14ac:dyDescent="0.25">
      <c r="A228" t="str">
        <f>PROPER(TRIM(CLEAN(RAW_DATA!A228)))</f>
        <v>Emp1226</v>
      </c>
      <c r="B228" t="str">
        <f>RAW_DATA!B228</f>
        <v>Grace</v>
      </c>
      <c r="C228" t="str">
        <f>RAW_DATA!C228</f>
        <v>Jones</v>
      </c>
      <c r="D228">
        <f>RAW_DATA!D228</f>
        <v>0</v>
      </c>
      <c r="E228" t="str">
        <f>RAW_DATA!E228</f>
        <v>Finance-California</v>
      </c>
      <c r="F228" t="str">
        <f t="shared" si="9"/>
        <v>Finance</v>
      </c>
      <c r="G228" t="str">
        <f t="shared" si="10"/>
        <v>California</v>
      </c>
      <c r="P228">
        <f t="shared" si="11"/>
        <v>95283.03</v>
      </c>
      <c r="Q228">
        <f>IF(PQ_Cleansing!L228="Excellent", P228 * 0.1, IF(PQ_Cleansing!L228="Good", P228 * 0.05, IF(PQ_Cleansing!L228="Average", P228 * 0.02, IF(PQ_Cleansing!L228="Poor", 0, 0))))</f>
        <v>4764.1514999999999</v>
      </c>
      <c r="R228">
        <f>IFERROR(VALUE(SUBSTITUTE(SUBSTITUTE(PQ_Cleansing!I228, "$", ""), ",", "")), "")</f>
        <v>95283.03</v>
      </c>
    </row>
    <row r="229" spans="1:18" x14ac:dyDescent="0.25">
      <c r="A229" t="str">
        <f>PROPER(TRIM(CLEAN(RAW_DATA!A229)))</f>
        <v>Emp1227</v>
      </c>
      <c r="B229" t="str">
        <f>RAW_DATA!B229</f>
        <v>Alice</v>
      </c>
      <c r="C229" t="str">
        <f>RAW_DATA!C229</f>
        <v>Miller</v>
      </c>
      <c r="D229">
        <f>RAW_DATA!D229</f>
        <v>35</v>
      </c>
      <c r="E229" t="str">
        <f>RAW_DATA!E229</f>
        <v>HR-Texas</v>
      </c>
      <c r="F229" t="str">
        <f t="shared" si="9"/>
        <v>HR</v>
      </c>
      <c r="G229" t="str">
        <f t="shared" si="10"/>
        <v>Texas</v>
      </c>
      <c r="P229">
        <f t="shared" si="11"/>
        <v>112264.06</v>
      </c>
      <c r="Q229">
        <f>IF(PQ_Cleansing!L229="Excellent", P229 * 0.1, IF(PQ_Cleansing!L229="Good", P229 * 0.05, IF(PQ_Cleansing!L229="Average", P229 * 0.02, IF(PQ_Cleansing!L229="Poor", 0, 0))))</f>
        <v>5613.2030000000004</v>
      </c>
      <c r="R229">
        <f>IFERROR(VALUE(SUBSTITUTE(SUBSTITUTE(PQ_Cleansing!I229, "$", ""), ",", "")), "")</f>
        <v>112264.06</v>
      </c>
    </row>
    <row r="230" spans="1:18" x14ac:dyDescent="0.25">
      <c r="A230" t="str">
        <f>PROPER(TRIM(CLEAN(RAW_DATA!A230)))</f>
        <v>Emp1228</v>
      </c>
      <c r="B230" t="str">
        <f>RAW_DATA!B230</f>
        <v>Grace</v>
      </c>
      <c r="C230" t="str">
        <f>RAW_DATA!C230</f>
        <v>Smith</v>
      </c>
      <c r="D230">
        <f>RAW_DATA!D230</f>
        <v>35</v>
      </c>
      <c r="E230" t="str">
        <f>RAW_DATA!E230</f>
        <v>Admin-Florida</v>
      </c>
      <c r="F230" t="str">
        <f t="shared" si="9"/>
        <v>Admin</v>
      </c>
      <c r="G230" t="str">
        <f t="shared" si="10"/>
        <v>Florida</v>
      </c>
      <c r="P230">
        <f t="shared" si="11"/>
        <v>75714.28</v>
      </c>
      <c r="Q230">
        <f>IF(PQ_Cleansing!L230="Excellent", P230 * 0.1, IF(PQ_Cleansing!L230="Good", P230 * 0.05, IF(PQ_Cleansing!L230="Average", P230 * 0.02, IF(PQ_Cleansing!L230="Poor", 0, 0))))</f>
        <v>3785.7139999999999</v>
      </c>
      <c r="R230">
        <f>IFERROR(VALUE(SUBSTITUTE(SUBSTITUTE(PQ_Cleansing!I230, "$", ""), ",", "")), "")</f>
        <v>75714.28</v>
      </c>
    </row>
    <row r="231" spans="1:18" x14ac:dyDescent="0.25">
      <c r="A231" t="str">
        <f>PROPER(TRIM(CLEAN(RAW_DATA!A231)))</f>
        <v>Emp1229</v>
      </c>
      <c r="B231" t="str">
        <f>RAW_DATA!B231</f>
        <v>Eva</v>
      </c>
      <c r="C231" t="str">
        <f>RAW_DATA!C231</f>
        <v>Jones</v>
      </c>
      <c r="D231">
        <f>RAW_DATA!D231</f>
        <v>25</v>
      </c>
      <c r="E231" t="str">
        <f>RAW_DATA!E231</f>
        <v>DevOps-Florida</v>
      </c>
      <c r="F231" t="str">
        <f t="shared" si="9"/>
        <v>DevOps</v>
      </c>
      <c r="G231" t="str">
        <f t="shared" si="10"/>
        <v>Florida</v>
      </c>
      <c r="P231">
        <f t="shared" si="11"/>
        <v>92171.73</v>
      </c>
      <c r="Q231">
        <f>IF(PQ_Cleansing!L231="Excellent", P231 * 0.1, IF(PQ_Cleansing!L231="Good", P231 * 0.05, IF(PQ_Cleansing!L231="Average", P231 * 0.02, IF(PQ_Cleansing!L231="Poor", 0, 0))))</f>
        <v>0</v>
      </c>
      <c r="R231">
        <f>IFERROR(VALUE(SUBSTITUTE(SUBSTITUTE(PQ_Cleansing!I231, "$", ""), ",", "")), "")</f>
        <v>92171.73</v>
      </c>
    </row>
    <row r="232" spans="1:18" x14ac:dyDescent="0.25">
      <c r="A232" t="str">
        <f>PROPER(TRIM(CLEAN(RAW_DATA!A232)))</f>
        <v>Emp1230</v>
      </c>
      <c r="B232" t="str">
        <f>RAW_DATA!B232</f>
        <v>Eva</v>
      </c>
      <c r="C232" t="str">
        <f>RAW_DATA!C232</f>
        <v>Miller</v>
      </c>
      <c r="D232">
        <f>RAW_DATA!D232</f>
        <v>35</v>
      </c>
      <c r="E232" t="str">
        <f>RAW_DATA!E232</f>
        <v>Cloud Tech-Texas</v>
      </c>
      <c r="F232" t="str">
        <f t="shared" si="9"/>
        <v>Cloud Tech</v>
      </c>
      <c r="G232" t="str">
        <f t="shared" si="10"/>
        <v>Texas</v>
      </c>
      <c r="P232">
        <f t="shared" si="11"/>
        <v>70694.8</v>
      </c>
      <c r="Q232">
        <f>IF(PQ_Cleansing!L232="Excellent", P232 * 0.1, IF(PQ_Cleansing!L232="Good", P232 * 0.05, IF(PQ_Cleansing!L232="Average", P232 * 0.02, IF(PQ_Cleansing!L232="Poor", 0, 0))))</f>
        <v>1413.8960000000002</v>
      </c>
      <c r="R232">
        <f>IFERROR(VALUE(SUBSTITUTE(SUBSTITUTE(PQ_Cleansing!I232, "$", ""), ",", "")), "")</f>
        <v>70694.8</v>
      </c>
    </row>
    <row r="233" spans="1:18" x14ac:dyDescent="0.25">
      <c r="A233" t="str">
        <f>PROPER(TRIM(CLEAN(RAW_DATA!A233)))</f>
        <v>Emp1231</v>
      </c>
      <c r="B233" t="str">
        <f>RAW_DATA!B233</f>
        <v>Grace</v>
      </c>
      <c r="C233" t="str">
        <f>RAW_DATA!C233</f>
        <v>Brown</v>
      </c>
      <c r="D233">
        <f>RAW_DATA!D233</f>
        <v>30</v>
      </c>
      <c r="E233" t="str">
        <f>RAW_DATA!E233</f>
        <v>DevOps-Florida</v>
      </c>
      <c r="F233" t="str">
        <f t="shared" si="9"/>
        <v>DevOps</v>
      </c>
      <c r="G233" t="str">
        <f t="shared" si="10"/>
        <v>Florida</v>
      </c>
      <c r="P233">
        <f t="shared" si="11"/>
        <v>52964.86</v>
      </c>
      <c r="Q233">
        <f>IF(PQ_Cleansing!L233="Excellent", P233 * 0.1, IF(PQ_Cleansing!L233="Good", P233 * 0.05, IF(PQ_Cleansing!L233="Average", P233 * 0.02, IF(PQ_Cleansing!L233="Poor", 0, 0))))</f>
        <v>2648.2430000000004</v>
      </c>
      <c r="R233">
        <f>IFERROR(VALUE(SUBSTITUTE(SUBSTITUTE(PQ_Cleansing!I233, "$", ""), ",", "")), "")</f>
        <v>52964.86</v>
      </c>
    </row>
    <row r="234" spans="1:18" x14ac:dyDescent="0.25">
      <c r="A234" t="str">
        <f>PROPER(TRIM(CLEAN(RAW_DATA!A234)))</f>
        <v>Emp1232</v>
      </c>
      <c r="B234" t="str">
        <f>RAW_DATA!B234</f>
        <v>Frank</v>
      </c>
      <c r="C234" t="str">
        <f>RAW_DATA!C234</f>
        <v>Brown</v>
      </c>
      <c r="D234">
        <f>RAW_DATA!D234</f>
        <v>0</v>
      </c>
      <c r="E234" t="str">
        <f>RAW_DATA!E234</f>
        <v>Finance-California</v>
      </c>
      <c r="F234" t="str">
        <f t="shared" si="9"/>
        <v>Finance</v>
      </c>
      <c r="G234" t="str">
        <f t="shared" si="10"/>
        <v>California</v>
      </c>
      <c r="P234">
        <f t="shared" si="11"/>
        <v>116353.31</v>
      </c>
      <c r="Q234">
        <f>IF(PQ_Cleansing!L234="Excellent", P234 * 0.1, IF(PQ_Cleansing!L234="Good", P234 * 0.05, IF(PQ_Cleansing!L234="Average", P234 * 0.02, IF(PQ_Cleansing!L234="Poor", 0, 0))))</f>
        <v>0</v>
      </c>
      <c r="R234">
        <f>IFERROR(VALUE(SUBSTITUTE(SUBSTITUTE(PQ_Cleansing!I234, "$", ""), ",", "")), "")</f>
        <v>116353.31</v>
      </c>
    </row>
    <row r="235" spans="1:18" x14ac:dyDescent="0.25">
      <c r="A235" t="str">
        <f>PROPER(TRIM(CLEAN(RAW_DATA!A235)))</f>
        <v>Emp1233</v>
      </c>
      <c r="B235" t="str">
        <f>RAW_DATA!B235</f>
        <v>Grace</v>
      </c>
      <c r="C235" t="str">
        <f>RAW_DATA!C235</f>
        <v>Brown</v>
      </c>
      <c r="D235">
        <f>RAW_DATA!D235</f>
        <v>35</v>
      </c>
      <c r="E235" t="str">
        <f>RAW_DATA!E235</f>
        <v>Sales-Nevada</v>
      </c>
      <c r="F235" t="str">
        <f t="shared" si="9"/>
        <v>Sales</v>
      </c>
      <c r="G235" t="str">
        <f t="shared" si="10"/>
        <v>Nevada</v>
      </c>
      <c r="P235">
        <f t="shared" si="11"/>
        <v>116695.26</v>
      </c>
      <c r="Q235">
        <f>IF(PQ_Cleansing!L235="Excellent", P235 * 0.1, IF(PQ_Cleansing!L235="Good", P235 * 0.05, IF(PQ_Cleansing!L235="Average", P235 * 0.02, IF(PQ_Cleansing!L235="Poor", 0, 0))))</f>
        <v>5834.7629999999999</v>
      </c>
      <c r="R235">
        <f>IFERROR(VALUE(SUBSTITUTE(SUBSTITUTE(PQ_Cleansing!I235, "$", ""), ",", "")), "")</f>
        <v>116695.26</v>
      </c>
    </row>
    <row r="236" spans="1:18" x14ac:dyDescent="0.25">
      <c r="A236" t="str">
        <f>PROPER(TRIM(CLEAN(RAW_DATA!A236)))</f>
        <v>Emp1234</v>
      </c>
      <c r="B236" t="str">
        <f>RAW_DATA!B236</f>
        <v>Heidi</v>
      </c>
      <c r="C236" t="str">
        <f>RAW_DATA!C236</f>
        <v>Brown</v>
      </c>
      <c r="D236">
        <f>RAW_DATA!D236</f>
        <v>25</v>
      </c>
      <c r="E236" t="str">
        <f>RAW_DATA!E236</f>
        <v>Admin-Texas</v>
      </c>
      <c r="F236" t="str">
        <f t="shared" si="9"/>
        <v>Admin</v>
      </c>
      <c r="G236" t="str">
        <f t="shared" si="10"/>
        <v>Texas</v>
      </c>
      <c r="P236">
        <f t="shared" si="11"/>
        <v>95161.4</v>
      </c>
      <c r="Q236">
        <f>IF(PQ_Cleansing!L236="Excellent", P236 * 0.1, IF(PQ_Cleansing!L236="Good", P236 * 0.05, IF(PQ_Cleansing!L236="Average", P236 * 0.02, IF(PQ_Cleansing!L236="Poor", 0, 0))))</f>
        <v>9516.14</v>
      </c>
      <c r="R236">
        <f>IFERROR(VALUE(SUBSTITUTE(SUBSTITUTE(PQ_Cleansing!I236, "$", ""), ",", "")), "")</f>
        <v>95161.4</v>
      </c>
    </row>
    <row r="237" spans="1:18" x14ac:dyDescent="0.25">
      <c r="A237" t="str">
        <f>PROPER(TRIM(CLEAN(RAW_DATA!A237)))</f>
        <v>Emp1235</v>
      </c>
      <c r="B237" t="str">
        <f>RAW_DATA!B237</f>
        <v>Alice</v>
      </c>
      <c r="C237" t="str">
        <f>RAW_DATA!C237</f>
        <v>Brown</v>
      </c>
      <c r="D237">
        <f>RAW_DATA!D237</f>
        <v>0</v>
      </c>
      <c r="E237" t="str">
        <f>RAW_DATA!E237</f>
        <v>Admin-Nevada</v>
      </c>
      <c r="F237" t="str">
        <f t="shared" si="9"/>
        <v>Admin</v>
      </c>
      <c r="G237" t="str">
        <f t="shared" si="10"/>
        <v>Nevada</v>
      </c>
      <c r="P237">
        <f t="shared" si="11"/>
        <v>76040.94</v>
      </c>
      <c r="Q237">
        <f>IF(PQ_Cleansing!L237="Excellent", P237 * 0.1, IF(PQ_Cleansing!L237="Good", P237 * 0.05, IF(PQ_Cleansing!L237="Average", P237 * 0.02, IF(PQ_Cleansing!L237="Poor", 0, 0))))</f>
        <v>3802.0470000000005</v>
      </c>
      <c r="R237">
        <f>IFERROR(VALUE(SUBSTITUTE(SUBSTITUTE(PQ_Cleansing!I237, "$", ""), ",", "")), "")</f>
        <v>76040.94</v>
      </c>
    </row>
    <row r="238" spans="1:18" x14ac:dyDescent="0.25">
      <c r="A238" t="str">
        <f>PROPER(TRIM(CLEAN(RAW_DATA!A238)))</f>
        <v>Emp1236</v>
      </c>
      <c r="B238" t="str">
        <f>RAW_DATA!B238</f>
        <v>Charlie</v>
      </c>
      <c r="C238" t="str">
        <f>RAW_DATA!C238</f>
        <v>Miller</v>
      </c>
      <c r="D238">
        <f>RAW_DATA!D238</f>
        <v>0</v>
      </c>
      <c r="E238" t="str">
        <f>RAW_DATA!E238</f>
        <v>HR-Florida</v>
      </c>
      <c r="F238" t="str">
        <f t="shared" si="9"/>
        <v>HR</v>
      </c>
      <c r="G238" t="str">
        <f t="shared" si="10"/>
        <v>Florida</v>
      </c>
      <c r="P238">
        <f t="shared" si="11"/>
        <v>69508.28</v>
      </c>
      <c r="Q238">
        <f>IF(PQ_Cleansing!L238="Excellent", P238 * 0.1, IF(PQ_Cleansing!L238="Good", P238 * 0.05, IF(PQ_Cleansing!L238="Average", P238 * 0.02, IF(PQ_Cleansing!L238="Poor", 0, 0))))</f>
        <v>3475.4140000000002</v>
      </c>
      <c r="R238">
        <f>IFERROR(VALUE(SUBSTITUTE(SUBSTITUTE(PQ_Cleansing!I238, "$", ""), ",", "")), "")</f>
        <v>69508.28</v>
      </c>
    </row>
    <row r="239" spans="1:18" x14ac:dyDescent="0.25">
      <c r="A239" t="str">
        <f>PROPER(TRIM(CLEAN(RAW_DATA!A239)))</f>
        <v>Emp1237</v>
      </c>
      <c r="B239" t="str">
        <f>RAW_DATA!B239</f>
        <v>Alice</v>
      </c>
      <c r="C239" t="str">
        <f>RAW_DATA!C239</f>
        <v>Miller</v>
      </c>
      <c r="D239">
        <f>RAW_DATA!D239</f>
        <v>30</v>
      </c>
      <c r="E239" t="str">
        <f>RAW_DATA!E239</f>
        <v>Finance-Illinois</v>
      </c>
      <c r="F239" t="str">
        <f t="shared" si="9"/>
        <v>Finance</v>
      </c>
      <c r="G239" t="str">
        <f t="shared" si="10"/>
        <v>Illinois</v>
      </c>
      <c r="P239">
        <f t="shared" si="11"/>
        <v>58243.27</v>
      </c>
      <c r="Q239">
        <f>IF(PQ_Cleansing!L239="Excellent", P239 * 0.1, IF(PQ_Cleansing!L239="Good", P239 * 0.05, IF(PQ_Cleansing!L239="Average", P239 * 0.02, IF(PQ_Cleansing!L239="Poor", 0, 0))))</f>
        <v>1164.8653999999999</v>
      </c>
      <c r="R239">
        <f>IFERROR(VALUE(SUBSTITUTE(SUBSTITUTE(PQ_Cleansing!I239, "$", ""), ",", "")), "")</f>
        <v>58243.27</v>
      </c>
    </row>
    <row r="240" spans="1:18" x14ac:dyDescent="0.25">
      <c r="A240" t="str">
        <f>PROPER(TRIM(CLEAN(RAW_DATA!A240)))</f>
        <v>Emp1238</v>
      </c>
      <c r="B240" t="str">
        <f>RAW_DATA!B240</f>
        <v>Heidi</v>
      </c>
      <c r="C240" t="str">
        <f>RAW_DATA!C240</f>
        <v>Williams</v>
      </c>
      <c r="D240">
        <f>RAW_DATA!D240</f>
        <v>30</v>
      </c>
      <c r="E240" t="str">
        <f>RAW_DATA!E240</f>
        <v>Sales-California</v>
      </c>
      <c r="F240" t="str">
        <f t="shared" si="9"/>
        <v>Sales</v>
      </c>
      <c r="G240" t="str">
        <f t="shared" si="10"/>
        <v>California</v>
      </c>
      <c r="P240">
        <f t="shared" si="11"/>
        <v>64012.480000000003</v>
      </c>
      <c r="Q240">
        <f>IF(PQ_Cleansing!L240="Excellent", P240 * 0.1, IF(PQ_Cleansing!L240="Good", P240 * 0.05, IF(PQ_Cleansing!L240="Average", P240 * 0.02, IF(PQ_Cleansing!L240="Poor", 0, 0))))</f>
        <v>0</v>
      </c>
      <c r="R240">
        <f>IFERROR(VALUE(SUBSTITUTE(SUBSTITUTE(PQ_Cleansing!I240, "$", ""), ",", "")), "")</f>
        <v>64012.480000000003</v>
      </c>
    </row>
    <row r="241" spans="1:18" x14ac:dyDescent="0.25">
      <c r="A241" t="str">
        <f>PROPER(TRIM(CLEAN(RAW_DATA!A241)))</f>
        <v>Emp1239</v>
      </c>
      <c r="B241" t="str">
        <f>RAW_DATA!B241</f>
        <v>Bob</v>
      </c>
      <c r="C241" t="str">
        <f>RAW_DATA!C241</f>
        <v>Garcia</v>
      </c>
      <c r="D241">
        <f>RAW_DATA!D241</f>
        <v>40</v>
      </c>
      <c r="E241" t="str">
        <f>RAW_DATA!E241</f>
        <v>Admin-Nevada</v>
      </c>
      <c r="F241" t="str">
        <f t="shared" si="9"/>
        <v>Admin</v>
      </c>
      <c r="G241" t="str">
        <f t="shared" si="10"/>
        <v>Nevada</v>
      </c>
      <c r="P241">
        <f t="shared" si="11"/>
        <v>106735.93</v>
      </c>
      <c r="Q241">
        <f>IF(PQ_Cleansing!L241="Excellent", P241 * 0.1, IF(PQ_Cleansing!L241="Good", P241 * 0.05, IF(PQ_Cleansing!L241="Average", P241 * 0.02, IF(PQ_Cleansing!L241="Poor", 0, 0))))</f>
        <v>2134.7185999999997</v>
      </c>
      <c r="R241">
        <f>IFERROR(VALUE(SUBSTITUTE(SUBSTITUTE(PQ_Cleansing!I241, "$", ""), ",", "")), "")</f>
        <v>106735.93</v>
      </c>
    </row>
    <row r="242" spans="1:18" x14ac:dyDescent="0.25">
      <c r="A242" t="str">
        <f>PROPER(TRIM(CLEAN(RAW_DATA!A242)))</f>
        <v>Emp1240</v>
      </c>
      <c r="B242" t="str">
        <f>RAW_DATA!B242</f>
        <v>Frank</v>
      </c>
      <c r="C242" t="str">
        <f>RAW_DATA!C242</f>
        <v>Johnson</v>
      </c>
      <c r="D242">
        <f>RAW_DATA!D242</f>
        <v>35</v>
      </c>
      <c r="E242" t="str">
        <f>RAW_DATA!E242</f>
        <v>DevOps-Texas</v>
      </c>
      <c r="F242" t="str">
        <f t="shared" si="9"/>
        <v>DevOps</v>
      </c>
      <c r="G242" t="str">
        <f t="shared" si="10"/>
        <v>Texas</v>
      </c>
      <c r="P242">
        <f t="shared" si="11"/>
        <v>70325.36</v>
      </c>
      <c r="Q242">
        <f>IF(PQ_Cleansing!L242="Excellent", P242 * 0.1, IF(PQ_Cleansing!L242="Good", P242 * 0.05, IF(PQ_Cleansing!L242="Average", P242 * 0.02, IF(PQ_Cleansing!L242="Poor", 0, 0))))</f>
        <v>1406.5072</v>
      </c>
      <c r="R242">
        <f>IFERROR(VALUE(SUBSTITUTE(SUBSTITUTE(PQ_Cleansing!I242, "$", ""), ",", "")), "")</f>
        <v>70325.36</v>
      </c>
    </row>
    <row r="243" spans="1:18" x14ac:dyDescent="0.25">
      <c r="A243" t="str">
        <f>PROPER(TRIM(CLEAN(RAW_DATA!A243)))</f>
        <v>Emp1241</v>
      </c>
      <c r="B243" t="str">
        <f>RAW_DATA!B243</f>
        <v>Charlie</v>
      </c>
      <c r="C243" t="str">
        <f>RAW_DATA!C243</f>
        <v>Davis</v>
      </c>
      <c r="D243">
        <f>RAW_DATA!D243</f>
        <v>30</v>
      </c>
      <c r="E243" t="str">
        <f>RAW_DATA!E243</f>
        <v>HR-Illinois</v>
      </c>
      <c r="F243" t="str">
        <f t="shared" si="9"/>
        <v>HR</v>
      </c>
      <c r="G243" t="str">
        <f t="shared" si="10"/>
        <v>Illinois</v>
      </c>
      <c r="P243">
        <f t="shared" si="11"/>
        <v>118959.28</v>
      </c>
      <c r="Q243">
        <f>IF(PQ_Cleansing!L243="Excellent", P243 * 0.1, IF(PQ_Cleansing!L243="Good", P243 * 0.05, IF(PQ_Cleansing!L243="Average", P243 * 0.02, IF(PQ_Cleansing!L243="Poor", 0, 0))))</f>
        <v>2379.1856000000002</v>
      </c>
      <c r="R243">
        <f>IFERROR(VALUE(SUBSTITUTE(SUBSTITUTE(PQ_Cleansing!I243, "$", ""), ",", "")), "")</f>
        <v>118959.28</v>
      </c>
    </row>
    <row r="244" spans="1:18" x14ac:dyDescent="0.25">
      <c r="A244" t="str">
        <f>PROPER(TRIM(CLEAN(RAW_DATA!A244)))</f>
        <v>Emp1242</v>
      </c>
      <c r="B244" t="str">
        <f>RAW_DATA!B244</f>
        <v>David</v>
      </c>
      <c r="C244" t="str">
        <f>RAW_DATA!C244</f>
        <v>Brown</v>
      </c>
      <c r="D244">
        <f>RAW_DATA!D244</f>
        <v>40</v>
      </c>
      <c r="E244" t="str">
        <f>RAW_DATA!E244</f>
        <v>Cloud Tech-California</v>
      </c>
      <c r="F244" t="str">
        <f t="shared" si="9"/>
        <v>Cloud Tech</v>
      </c>
      <c r="G244" t="str">
        <f t="shared" si="10"/>
        <v>California</v>
      </c>
      <c r="P244">
        <f t="shared" si="11"/>
        <v>75823.78</v>
      </c>
      <c r="Q244">
        <f>IF(PQ_Cleansing!L244="Excellent", P244 * 0.1, IF(PQ_Cleansing!L244="Good", P244 * 0.05, IF(PQ_Cleansing!L244="Average", P244 * 0.02, IF(PQ_Cleansing!L244="Poor", 0, 0))))</f>
        <v>1516.4756</v>
      </c>
      <c r="R244">
        <f>IFERROR(VALUE(SUBSTITUTE(SUBSTITUTE(PQ_Cleansing!I244, "$", ""), ",", "")), "")</f>
        <v>75823.78</v>
      </c>
    </row>
    <row r="245" spans="1:18" x14ac:dyDescent="0.25">
      <c r="A245" t="str">
        <f>PROPER(TRIM(CLEAN(RAW_DATA!A245)))</f>
        <v>Emp1243</v>
      </c>
      <c r="B245" t="str">
        <f>RAW_DATA!B245</f>
        <v>Charlie</v>
      </c>
      <c r="C245" t="str">
        <f>RAW_DATA!C245</f>
        <v>Smith</v>
      </c>
      <c r="D245">
        <f>RAW_DATA!D245</f>
        <v>0</v>
      </c>
      <c r="E245" t="str">
        <f>RAW_DATA!E245</f>
        <v>Cloud Tech-Texas</v>
      </c>
      <c r="F245" t="str">
        <f t="shared" si="9"/>
        <v>Cloud Tech</v>
      </c>
      <c r="G245" t="str">
        <f t="shared" si="10"/>
        <v>Texas</v>
      </c>
      <c r="P245">
        <f t="shared" si="11"/>
        <v>119971.65</v>
      </c>
      <c r="Q245">
        <f>IF(PQ_Cleansing!L245="Excellent", P245 * 0.1, IF(PQ_Cleansing!L245="Good", P245 * 0.05, IF(PQ_Cleansing!L245="Average", P245 * 0.02, IF(PQ_Cleansing!L245="Poor", 0, 0))))</f>
        <v>2399.433</v>
      </c>
      <c r="R245">
        <f>IFERROR(VALUE(SUBSTITUTE(SUBSTITUTE(PQ_Cleansing!I245, "$", ""), ",", "")), "")</f>
        <v>119971.65</v>
      </c>
    </row>
    <row r="246" spans="1:18" x14ac:dyDescent="0.25">
      <c r="A246" t="str">
        <f>PROPER(TRIM(CLEAN(RAW_DATA!A246)))</f>
        <v>Emp1244</v>
      </c>
      <c r="B246" t="str">
        <f>RAW_DATA!B246</f>
        <v>Grace</v>
      </c>
      <c r="C246" t="str">
        <f>RAW_DATA!C246</f>
        <v>Davis</v>
      </c>
      <c r="D246">
        <f>RAW_DATA!D246</f>
        <v>40</v>
      </c>
      <c r="E246" t="str">
        <f>RAW_DATA!E246</f>
        <v>Sales-Texas</v>
      </c>
      <c r="F246" t="str">
        <f t="shared" si="9"/>
        <v>Sales</v>
      </c>
      <c r="G246" t="str">
        <f t="shared" si="10"/>
        <v>Texas</v>
      </c>
      <c r="P246">
        <f t="shared" si="11"/>
        <v>94963.7</v>
      </c>
      <c r="Q246">
        <f>IF(PQ_Cleansing!L246="Excellent", P246 * 0.1, IF(PQ_Cleansing!L246="Good", P246 * 0.05, IF(PQ_Cleansing!L246="Average", P246 * 0.02, IF(PQ_Cleansing!L246="Poor", 0, 0))))</f>
        <v>4748.1850000000004</v>
      </c>
      <c r="R246">
        <f>IFERROR(VALUE(SUBSTITUTE(SUBSTITUTE(PQ_Cleansing!I246, "$", ""), ",", "")), "")</f>
        <v>94963.7</v>
      </c>
    </row>
    <row r="247" spans="1:18" x14ac:dyDescent="0.25">
      <c r="A247" t="str">
        <f>PROPER(TRIM(CLEAN(RAW_DATA!A247)))</f>
        <v>Emp1245</v>
      </c>
      <c r="B247" t="str">
        <f>RAW_DATA!B247</f>
        <v>Frank</v>
      </c>
      <c r="C247" t="str">
        <f>RAW_DATA!C247</f>
        <v>Miller</v>
      </c>
      <c r="D247">
        <f>RAW_DATA!D247</f>
        <v>30</v>
      </c>
      <c r="E247" t="str">
        <f>RAW_DATA!E247</f>
        <v>Sales-Nevada</v>
      </c>
      <c r="F247" t="str">
        <f t="shared" si="9"/>
        <v>Sales</v>
      </c>
      <c r="G247" t="str">
        <f t="shared" si="10"/>
        <v>Nevada</v>
      </c>
      <c r="P247">
        <f t="shared" si="11"/>
        <v>103744.71</v>
      </c>
      <c r="Q247">
        <f>IF(PQ_Cleansing!L247="Excellent", P247 * 0.1, IF(PQ_Cleansing!L247="Good", P247 * 0.05, IF(PQ_Cleansing!L247="Average", P247 * 0.02, IF(PQ_Cleansing!L247="Poor", 0, 0))))</f>
        <v>2074.8942000000002</v>
      </c>
      <c r="R247">
        <f>IFERROR(VALUE(SUBSTITUTE(SUBSTITUTE(PQ_Cleansing!I247, "$", ""), ",", "")), "")</f>
        <v>103744.71</v>
      </c>
    </row>
    <row r="248" spans="1:18" x14ac:dyDescent="0.25">
      <c r="A248" t="str">
        <f>PROPER(TRIM(CLEAN(RAW_DATA!A248)))</f>
        <v>Emp1246</v>
      </c>
      <c r="B248" t="str">
        <f>RAW_DATA!B248</f>
        <v>Alice</v>
      </c>
      <c r="C248" t="str">
        <f>RAW_DATA!C248</f>
        <v>Smith</v>
      </c>
      <c r="D248">
        <f>RAW_DATA!D248</f>
        <v>25</v>
      </c>
      <c r="E248" t="str">
        <f>RAW_DATA!E248</f>
        <v>Sales-New York</v>
      </c>
      <c r="F248" t="str">
        <f t="shared" si="9"/>
        <v>Sales</v>
      </c>
      <c r="G248" t="str">
        <f t="shared" si="10"/>
        <v>New York</v>
      </c>
      <c r="P248">
        <f t="shared" si="11"/>
        <v>61337.69</v>
      </c>
      <c r="Q248">
        <f>IF(PQ_Cleansing!L248="Excellent", P248 * 0.1, IF(PQ_Cleansing!L248="Good", P248 * 0.05, IF(PQ_Cleansing!L248="Average", P248 * 0.02, IF(PQ_Cleansing!L248="Poor", 0, 0))))</f>
        <v>1226.7538000000002</v>
      </c>
      <c r="R248">
        <f>IFERROR(VALUE(SUBSTITUTE(SUBSTITUTE(PQ_Cleansing!I248, "$", ""), ",", "")), "")</f>
        <v>61337.69</v>
      </c>
    </row>
    <row r="249" spans="1:18" x14ac:dyDescent="0.25">
      <c r="A249" t="str">
        <f>PROPER(TRIM(CLEAN(RAW_DATA!A249)))</f>
        <v>Emp1247</v>
      </c>
      <c r="B249" t="str">
        <f>RAW_DATA!B249</f>
        <v>David</v>
      </c>
      <c r="C249" t="str">
        <f>RAW_DATA!C249</f>
        <v>Smith</v>
      </c>
      <c r="D249">
        <f>RAW_DATA!D249</f>
        <v>35</v>
      </c>
      <c r="E249" t="str">
        <f>RAW_DATA!E249</f>
        <v>Sales-California</v>
      </c>
      <c r="F249" t="str">
        <f t="shared" si="9"/>
        <v>Sales</v>
      </c>
      <c r="G249" t="str">
        <f t="shared" si="10"/>
        <v>California</v>
      </c>
      <c r="P249">
        <f t="shared" si="11"/>
        <v>63741.13</v>
      </c>
      <c r="Q249">
        <f>IF(PQ_Cleansing!L249="Excellent", P249 * 0.1, IF(PQ_Cleansing!L249="Good", P249 * 0.05, IF(PQ_Cleansing!L249="Average", P249 * 0.02, IF(PQ_Cleansing!L249="Poor", 0, 0))))</f>
        <v>0</v>
      </c>
      <c r="R249">
        <f>IFERROR(VALUE(SUBSTITUTE(SUBSTITUTE(PQ_Cleansing!I249, "$", ""), ",", "")), "")</f>
        <v>63741.13</v>
      </c>
    </row>
    <row r="250" spans="1:18" x14ac:dyDescent="0.25">
      <c r="A250" t="str">
        <f>PROPER(TRIM(CLEAN(RAW_DATA!A250)))</f>
        <v>Emp1248</v>
      </c>
      <c r="B250" t="str">
        <f>RAW_DATA!B250</f>
        <v>Eva</v>
      </c>
      <c r="C250" t="str">
        <f>RAW_DATA!C250</f>
        <v>Smith</v>
      </c>
      <c r="D250">
        <f>RAW_DATA!D250</f>
        <v>30</v>
      </c>
      <c r="E250" t="str">
        <f>RAW_DATA!E250</f>
        <v>DevOps-California</v>
      </c>
      <c r="F250" t="str">
        <f t="shared" si="9"/>
        <v>DevOps</v>
      </c>
      <c r="G250" t="str">
        <f t="shared" si="10"/>
        <v>California</v>
      </c>
      <c r="P250">
        <f t="shared" si="11"/>
        <v>56539.99</v>
      </c>
      <c r="Q250">
        <f>IF(PQ_Cleansing!L250="Excellent", P250 * 0.1, IF(PQ_Cleansing!L250="Good", P250 * 0.05, IF(PQ_Cleansing!L250="Average", P250 * 0.02, IF(PQ_Cleansing!L250="Poor", 0, 0))))</f>
        <v>5653.9989999999998</v>
      </c>
      <c r="R250">
        <f>IFERROR(VALUE(SUBSTITUTE(SUBSTITUTE(PQ_Cleansing!I250, "$", ""), ",", "")), "")</f>
        <v>56539.99</v>
      </c>
    </row>
    <row r="251" spans="1:18" x14ac:dyDescent="0.25">
      <c r="A251" t="str">
        <f>PROPER(TRIM(CLEAN(RAW_DATA!A251)))</f>
        <v>Emp1249</v>
      </c>
      <c r="B251" t="str">
        <f>RAW_DATA!B251</f>
        <v>Charlie</v>
      </c>
      <c r="C251" t="str">
        <f>RAW_DATA!C251</f>
        <v>Williams</v>
      </c>
      <c r="D251">
        <f>RAW_DATA!D251</f>
        <v>30</v>
      </c>
      <c r="E251" t="str">
        <f>RAW_DATA!E251</f>
        <v>DevOps-Illinois</v>
      </c>
      <c r="F251" t="str">
        <f t="shared" si="9"/>
        <v>DevOps</v>
      </c>
      <c r="G251" t="str">
        <f t="shared" si="10"/>
        <v>Illinois</v>
      </c>
      <c r="P251">
        <f t="shared" si="11"/>
        <v>73633.37</v>
      </c>
      <c r="Q251">
        <f>IF(PQ_Cleansing!L251="Excellent", P251 * 0.1, IF(PQ_Cleansing!L251="Good", P251 * 0.05, IF(PQ_Cleansing!L251="Average", P251 * 0.02, IF(PQ_Cleansing!L251="Poor", 0, 0))))</f>
        <v>3681.6684999999998</v>
      </c>
      <c r="R251">
        <f>IFERROR(VALUE(SUBSTITUTE(SUBSTITUTE(PQ_Cleansing!I251, "$", ""), ",", "")), "")</f>
        <v>73633.37</v>
      </c>
    </row>
    <row r="252" spans="1:18" x14ac:dyDescent="0.25">
      <c r="A252" t="str">
        <f>PROPER(TRIM(CLEAN(RAW_DATA!A252)))</f>
        <v>Emp1250</v>
      </c>
      <c r="B252" t="str">
        <f>RAW_DATA!B252</f>
        <v>Alice</v>
      </c>
      <c r="C252" t="str">
        <f>RAW_DATA!C252</f>
        <v>Miller</v>
      </c>
      <c r="D252">
        <f>RAW_DATA!D252</f>
        <v>25</v>
      </c>
      <c r="E252" t="str">
        <f>RAW_DATA!E252</f>
        <v>Cloud Tech-Texas</v>
      </c>
      <c r="F252" t="str">
        <f t="shared" si="9"/>
        <v>Cloud Tech</v>
      </c>
      <c r="G252" t="str">
        <f t="shared" si="10"/>
        <v>Texas</v>
      </c>
      <c r="P252">
        <f t="shared" si="11"/>
        <v>90373.99</v>
      </c>
      <c r="Q252">
        <f>IF(PQ_Cleansing!L252="Excellent", P252 * 0.1, IF(PQ_Cleansing!L252="Good", P252 * 0.05, IF(PQ_Cleansing!L252="Average", P252 * 0.02, IF(PQ_Cleansing!L252="Poor", 0, 0))))</f>
        <v>4518.6995000000006</v>
      </c>
      <c r="R252">
        <f>IFERROR(VALUE(SUBSTITUTE(SUBSTITUTE(PQ_Cleansing!I252, "$", ""), ",", "")), "")</f>
        <v>90373.99</v>
      </c>
    </row>
    <row r="253" spans="1:18" x14ac:dyDescent="0.25">
      <c r="A253" t="str">
        <f>PROPER(TRIM(CLEAN(RAW_DATA!A253)))</f>
        <v>Emp1251</v>
      </c>
      <c r="B253" t="str">
        <f>RAW_DATA!B253</f>
        <v>Grace</v>
      </c>
      <c r="C253" t="str">
        <f>RAW_DATA!C253</f>
        <v>Smith</v>
      </c>
      <c r="D253">
        <f>RAW_DATA!D253</f>
        <v>0</v>
      </c>
      <c r="E253" t="str">
        <f>RAW_DATA!E253</f>
        <v>DevOps-Texas</v>
      </c>
      <c r="F253" t="str">
        <f t="shared" si="9"/>
        <v>DevOps</v>
      </c>
      <c r="G253" t="str">
        <f t="shared" si="10"/>
        <v>Texas</v>
      </c>
      <c r="P253">
        <f t="shared" si="11"/>
        <v>93901.48</v>
      </c>
      <c r="Q253">
        <f>IF(PQ_Cleansing!L253="Excellent", P253 * 0.1, IF(PQ_Cleansing!L253="Good", P253 * 0.05, IF(PQ_Cleansing!L253="Average", P253 * 0.02, IF(PQ_Cleansing!L253="Poor", 0, 0))))</f>
        <v>4695.0739999999996</v>
      </c>
      <c r="R253">
        <f>IFERROR(VALUE(SUBSTITUTE(SUBSTITUTE(PQ_Cleansing!I253, "$", ""), ",", "")), "")</f>
        <v>93901.48</v>
      </c>
    </row>
    <row r="254" spans="1:18" x14ac:dyDescent="0.25">
      <c r="A254" t="str">
        <f>PROPER(TRIM(CLEAN(RAW_DATA!A254)))</f>
        <v>Emp1252</v>
      </c>
      <c r="B254" t="str">
        <f>RAW_DATA!B254</f>
        <v>Eva</v>
      </c>
      <c r="C254" t="str">
        <f>RAW_DATA!C254</f>
        <v>Brown</v>
      </c>
      <c r="D254">
        <f>RAW_DATA!D254</f>
        <v>40</v>
      </c>
      <c r="E254" t="str">
        <f>RAW_DATA!E254</f>
        <v>Admin-Nevada</v>
      </c>
      <c r="F254" t="str">
        <f t="shared" si="9"/>
        <v>Admin</v>
      </c>
      <c r="G254" t="str">
        <f t="shared" si="10"/>
        <v>Nevada</v>
      </c>
      <c r="P254">
        <f t="shared" si="11"/>
        <v>81748.09</v>
      </c>
      <c r="Q254">
        <f>IF(PQ_Cleansing!L254="Excellent", P254 * 0.1, IF(PQ_Cleansing!L254="Good", P254 * 0.05, IF(PQ_Cleansing!L254="Average", P254 * 0.02, IF(PQ_Cleansing!L254="Poor", 0, 0))))</f>
        <v>1634.9618</v>
      </c>
      <c r="R254">
        <f>IFERROR(VALUE(SUBSTITUTE(SUBSTITUTE(PQ_Cleansing!I254, "$", ""), ",", "")), "")</f>
        <v>81748.09</v>
      </c>
    </row>
    <row r="255" spans="1:18" x14ac:dyDescent="0.25">
      <c r="A255" t="str">
        <f>PROPER(TRIM(CLEAN(RAW_DATA!A255)))</f>
        <v>Emp1253</v>
      </c>
      <c r="B255" t="str">
        <f>RAW_DATA!B255</f>
        <v>Charlie</v>
      </c>
      <c r="C255" t="str">
        <f>RAW_DATA!C255</f>
        <v>Jones</v>
      </c>
      <c r="D255">
        <f>RAW_DATA!D255</f>
        <v>40</v>
      </c>
      <c r="E255" t="str">
        <f>RAW_DATA!E255</f>
        <v>Finance-Florida</v>
      </c>
      <c r="F255" t="str">
        <f t="shared" si="9"/>
        <v>Finance</v>
      </c>
      <c r="G255" t="str">
        <f t="shared" si="10"/>
        <v>Florida</v>
      </c>
      <c r="P255">
        <f t="shared" si="11"/>
        <v>73813.48</v>
      </c>
      <c r="Q255">
        <f>IF(PQ_Cleansing!L255="Excellent", P255 * 0.1, IF(PQ_Cleansing!L255="Good", P255 * 0.05, IF(PQ_Cleansing!L255="Average", P255 * 0.02, IF(PQ_Cleansing!L255="Poor", 0, 0))))</f>
        <v>1476.2695999999999</v>
      </c>
      <c r="R255">
        <f>IFERROR(VALUE(SUBSTITUTE(SUBSTITUTE(PQ_Cleansing!I255, "$", ""), ",", "")), "")</f>
        <v>73813.48</v>
      </c>
    </row>
    <row r="256" spans="1:18" x14ac:dyDescent="0.25">
      <c r="A256" t="str">
        <f>PROPER(TRIM(CLEAN(RAW_DATA!A256)))</f>
        <v>Emp1254</v>
      </c>
      <c r="B256" t="str">
        <f>RAW_DATA!B256</f>
        <v>Frank</v>
      </c>
      <c r="C256" t="str">
        <f>RAW_DATA!C256</f>
        <v>Smith</v>
      </c>
      <c r="D256">
        <f>RAW_DATA!D256</f>
        <v>35</v>
      </c>
      <c r="E256" t="str">
        <f>RAW_DATA!E256</f>
        <v>Finance-New York</v>
      </c>
      <c r="F256" t="str">
        <f t="shared" si="9"/>
        <v>Finance</v>
      </c>
      <c r="G256" t="str">
        <f t="shared" si="10"/>
        <v>New York</v>
      </c>
      <c r="P256">
        <f t="shared" si="11"/>
        <v>89315.59</v>
      </c>
      <c r="Q256">
        <f>IF(PQ_Cleansing!L256="Excellent", P256 * 0.1, IF(PQ_Cleansing!L256="Good", P256 * 0.05, IF(PQ_Cleansing!L256="Average", P256 * 0.02, IF(PQ_Cleansing!L256="Poor", 0, 0))))</f>
        <v>1786.3117999999999</v>
      </c>
      <c r="R256">
        <f>IFERROR(VALUE(SUBSTITUTE(SUBSTITUTE(PQ_Cleansing!I256, "$", ""), ",", "")), "")</f>
        <v>89315.59</v>
      </c>
    </row>
    <row r="257" spans="1:18" x14ac:dyDescent="0.25">
      <c r="A257" t="str">
        <f>PROPER(TRIM(CLEAN(RAW_DATA!A257)))</f>
        <v>Emp1255</v>
      </c>
      <c r="B257" t="str">
        <f>RAW_DATA!B257</f>
        <v>Heidi</v>
      </c>
      <c r="C257" t="str">
        <f>RAW_DATA!C257</f>
        <v>Williams</v>
      </c>
      <c r="D257">
        <f>RAW_DATA!D257</f>
        <v>25</v>
      </c>
      <c r="E257" t="str">
        <f>RAW_DATA!E257</f>
        <v>HR-Florida</v>
      </c>
      <c r="F257" t="str">
        <f t="shared" si="9"/>
        <v>HR</v>
      </c>
      <c r="G257" t="str">
        <f t="shared" si="10"/>
        <v>Florida</v>
      </c>
      <c r="P257">
        <f t="shared" si="11"/>
        <v>56776.82</v>
      </c>
      <c r="Q257">
        <f>IF(PQ_Cleansing!L257="Excellent", P257 * 0.1, IF(PQ_Cleansing!L257="Good", P257 * 0.05, IF(PQ_Cleansing!L257="Average", P257 * 0.02, IF(PQ_Cleansing!L257="Poor", 0, 0))))</f>
        <v>0</v>
      </c>
      <c r="R257">
        <f>IFERROR(VALUE(SUBSTITUTE(SUBSTITUTE(PQ_Cleansing!I257, "$", ""), ",", "")), "")</f>
        <v>56776.82</v>
      </c>
    </row>
    <row r="258" spans="1:18" x14ac:dyDescent="0.25">
      <c r="A258" t="str">
        <f>PROPER(TRIM(CLEAN(RAW_DATA!A258)))</f>
        <v>Emp1256</v>
      </c>
      <c r="B258" t="str">
        <f>RAW_DATA!B258</f>
        <v>Grace</v>
      </c>
      <c r="C258" t="str">
        <f>RAW_DATA!C258</f>
        <v>Davis</v>
      </c>
      <c r="D258">
        <f>RAW_DATA!D258</f>
        <v>0</v>
      </c>
      <c r="E258" t="str">
        <f>RAW_DATA!E258</f>
        <v>Finance-New York</v>
      </c>
      <c r="F258" t="str">
        <f t="shared" si="9"/>
        <v>Finance</v>
      </c>
      <c r="G258" t="str">
        <f t="shared" si="10"/>
        <v>New York</v>
      </c>
      <c r="P258">
        <f t="shared" si="11"/>
        <v>72920.509999999995</v>
      </c>
      <c r="Q258">
        <f>IF(PQ_Cleansing!L258="Excellent", P258 * 0.1, IF(PQ_Cleansing!L258="Good", P258 * 0.05, IF(PQ_Cleansing!L258="Average", P258 * 0.02, IF(PQ_Cleansing!L258="Poor", 0, 0))))</f>
        <v>7292.0509999999995</v>
      </c>
      <c r="R258">
        <f>IFERROR(VALUE(SUBSTITUTE(SUBSTITUTE(PQ_Cleansing!I258, "$", ""), ",", "")), "")</f>
        <v>72920.509999999995</v>
      </c>
    </row>
    <row r="259" spans="1:18" x14ac:dyDescent="0.25">
      <c r="A259" t="str">
        <f>PROPER(TRIM(CLEAN(RAW_DATA!A259)))</f>
        <v>Emp1257</v>
      </c>
      <c r="B259" t="str">
        <f>RAW_DATA!B259</f>
        <v>Frank</v>
      </c>
      <c r="C259" t="str">
        <f>RAW_DATA!C259</f>
        <v>Miller</v>
      </c>
      <c r="D259">
        <f>RAW_DATA!D259</f>
        <v>30</v>
      </c>
      <c r="E259" t="str">
        <f>RAW_DATA!E259</f>
        <v>Admin-Florida</v>
      </c>
      <c r="F259" t="str">
        <f t="shared" ref="F259:F322" si="12">LEFT(E259, FIND("-", E259) - 1)</f>
        <v>Admin</v>
      </c>
      <c r="G259" t="str">
        <f t="shared" ref="G259:G322" si="13">RIGHT(E259, LEN(E259) - FIND("-",E259))</f>
        <v>Florida</v>
      </c>
      <c r="P259">
        <f t="shared" ref="P259:P322" si="14">IF(ISNUMBER(R259), R259, AVERAGEIF($R$2:$R$1000, "&gt;0"))</f>
        <v>84913.18</v>
      </c>
      <c r="Q259">
        <f>IF(PQ_Cleansing!L259="Excellent", P259 * 0.1, IF(PQ_Cleansing!L259="Good", P259 * 0.05, IF(PQ_Cleansing!L259="Average", P259 * 0.02, IF(PQ_Cleansing!L259="Poor", 0, 0))))</f>
        <v>1698.2636</v>
      </c>
      <c r="R259">
        <f>IFERROR(VALUE(SUBSTITUTE(SUBSTITUTE(PQ_Cleansing!I259, "$", ""), ",", "")), "")</f>
        <v>84913.18</v>
      </c>
    </row>
    <row r="260" spans="1:18" x14ac:dyDescent="0.25">
      <c r="A260" t="str">
        <f>PROPER(TRIM(CLEAN(RAW_DATA!A260)))</f>
        <v>Emp1258</v>
      </c>
      <c r="B260" t="str">
        <f>RAW_DATA!B260</f>
        <v>Alice</v>
      </c>
      <c r="C260" t="str">
        <f>RAW_DATA!C260</f>
        <v>Garcia</v>
      </c>
      <c r="D260">
        <f>RAW_DATA!D260</f>
        <v>25</v>
      </c>
      <c r="E260" t="str">
        <f>RAW_DATA!E260</f>
        <v>Finance-Illinois</v>
      </c>
      <c r="F260" t="str">
        <f t="shared" si="12"/>
        <v>Finance</v>
      </c>
      <c r="G260" t="str">
        <f t="shared" si="13"/>
        <v>Illinois</v>
      </c>
      <c r="P260">
        <f t="shared" si="14"/>
        <v>65060.11</v>
      </c>
      <c r="Q260">
        <f>IF(PQ_Cleansing!L260="Excellent", P260 * 0.1, IF(PQ_Cleansing!L260="Good", P260 * 0.05, IF(PQ_Cleansing!L260="Average", P260 * 0.02, IF(PQ_Cleansing!L260="Poor", 0, 0))))</f>
        <v>6506.0110000000004</v>
      </c>
      <c r="R260">
        <f>IFERROR(VALUE(SUBSTITUTE(SUBSTITUTE(PQ_Cleansing!I260, "$", ""), ",", "")), "")</f>
        <v>65060.11</v>
      </c>
    </row>
    <row r="261" spans="1:18" x14ac:dyDescent="0.25">
      <c r="A261" t="str">
        <f>PROPER(TRIM(CLEAN(RAW_DATA!A261)))</f>
        <v>Emp1259</v>
      </c>
      <c r="B261" t="str">
        <f>RAW_DATA!B261</f>
        <v>Alice</v>
      </c>
      <c r="C261" t="str">
        <f>RAW_DATA!C261</f>
        <v>Williams</v>
      </c>
      <c r="D261">
        <f>RAW_DATA!D261</f>
        <v>35</v>
      </c>
      <c r="E261" t="str">
        <f>RAW_DATA!E261</f>
        <v>Finance-Illinois</v>
      </c>
      <c r="F261" t="str">
        <f t="shared" si="12"/>
        <v>Finance</v>
      </c>
      <c r="G261" t="str">
        <f t="shared" si="13"/>
        <v>Illinois</v>
      </c>
      <c r="P261">
        <f t="shared" si="14"/>
        <v>82941.08</v>
      </c>
      <c r="Q261">
        <f>IF(PQ_Cleansing!L261="Excellent", P261 * 0.1, IF(PQ_Cleansing!L261="Good", P261 * 0.05, IF(PQ_Cleansing!L261="Average", P261 * 0.02, IF(PQ_Cleansing!L261="Poor", 0, 0))))</f>
        <v>0</v>
      </c>
      <c r="R261">
        <f>IFERROR(VALUE(SUBSTITUTE(SUBSTITUTE(PQ_Cleansing!I261, "$", ""), ",", "")), "")</f>
        <v>82941.08</v>
      </c>
    </row>
    <row r="262" spans="1:18" x14ac:dyDescent="0.25">
      <c r="A262" t="str">
        <f>PROPER(TRIM(CLEAN(RAW_DATA!A262)))</f>
        <v>Emp1260</v>
      </c>
      <c r="B262" t="str">
        <f>RAW_DATA!B262</f>
        <v>Bob</v>
      </c>
      <c r="C262" t="str">
        <f>RAW_DATA!C262</f>
        <v>Smith</v>
      </c>
      <c r="D262">
        <f>RAW_DATA!D262</f>
        <v>40</v>
      </c>
      <c r="E262" t="str">
        <f>RAW_DATA!E262</f>
        <v>Admin-California</v>
      </c>
      <c r="F262" t="str">
        <f t="shared" si="12"/>
        <v>Admin</v>
      </c>
      <c r="G262" t="str">
        <f t="shared" si="13"/>
        <v>California</v>
      </c>
      <c r="P262">
        <f t="shared" si="14"/>
        <v>103469.97</v>
      </c>
      <c r="Q262">
        <f>IF(PQ_Cleansing!L262="Excellent", P262 * 0.1, IF(PQ_Cleansing!L262="Good", P262 * 0.05, IF(PQ_Cleansing!L262="Average", P262 * 0.02, IF(PQ_Cleansing!L262="Poor", 0, 0))))</f>
        <v>5173.4985000000006</v>
      </c>
      <c r="R262">
        <f>IFERROR(VALUE(SUBSTITUTE(SUBSTITUTE(PQ_Cleansing!I262, "$", ""), ",", "")), "")</f>
        <v>103469.97</v>
      </c>
    </row>
    <row r="263" spans="1:18" x14ac:dyDescent="0.25">
      <c r="A263" t="str">
        <f>PROPER(TRIM(CLEAN(RAW_DATA!A263)))</f>
        <v>Emp1261</v>
      </c>
      <c r="B263" t="str">
        <f>RAW_DATA!B263</f>
        <v>Grace</v>
      </c>
      <c r="C263" t="str">
        <f>RAW_DATA!C263</f>
        <v>Miller</v>
      </c>
      <c r="D263">
        <f>RAW_DATA!D263</f>
        <v>25</v>
      </c>
      <c r="E263" t="str">
        <f>RAW_DATA!E263</f>
        <v>Sales-Illinois</v>
      </c>
      <c r="F263" t="str">
        <f t="shared" si="12"/>
        <v>Sales</v>
      </c>
      <c r="G263" t="str">
        <f t="shared" si="13"/>
        <v>Illinois</v>
      </c>
      <c r="P263">
        <f t="shared" si="14"/>
        <v>88725.6</v>
      </c>
      <c r="Q263">
        <f>IF(PQ_Cleansing!L263="Excellent", P263 * 0.1, IF(PQ_Cleansing!L263="Good", P263 * 0.05, IF(PQ_Cleansing!L263="Average", P263 * 0.02, IF(PQ_Cleansing!L263="Poor", 0, 0))))</f>
        <v>1774.5120000000002</v>
      </c>
      <c r="R263">
        <f>IFERROR(VALUE(SUBSTITUTE(SUBSTITUTE(PQ_Cleansing!I263, "$", ""), ",", "")), "")</f>
        <v>88725.6</v>
      </c>
    </row>
    <row r="264" spans="1:18" x14ac:dyDescent="0.25">
      <c r="A264" t="str">
        <f>PROPER(TRIM(CLEAN(RAW_DATA!A264)))</f>
        <v>Emp1262</v>
      </c>
      <c r="B264" t="str">
        <f>RAW_DATA!B264</f>
        <v>Heidi</v>
      </c>
      <c r="C264" t="str">
        <f>RAW_DATA!C264</f>
        <v>Jones</v>
      </c>
      <c r="D264">
        <f>RAW_DATA!D264</f>
        <v>0</v>
      </c>
      <c r="E264" t="str">
        <f>RAW_DATA!E264</f>
        <v>HR-Illinois</v>
      </c>
      <c r="F264" t="str">
        <f t="shared" si="12"/>
        <v>HR</v>
      </c>
      <c r="G264" t="str">
        <f t="shared" si="13"/>
        <v>Illinois</v>
      </c>
      <c r="P264">
        <f t="shared" si="14"/>
        <v>58316.77</v>
      </c>
      <c r="Q264">
        <f>IF(PQ_Cleansing!L264="Excellent", P264 * 0.1, IF(PQ_Cleansing!L264="Good", P264 * 0.05, IF(PQ_Cleansing!L264="Average", P264 * 0.02, IF(PQ_Cleansing!L264="Poor", 0, 0))))</f>
        <v>5831.6769999999997</v>
      </c>
      <c r="R264">
        <f>IFERROR(VALUE(SUBSTITUTE(SUBSTITUTE(PQ_Cleansing!I264, "$", ""), ",", "")), "")</f>
        <v>58316.77</v>
      </c>
    </row>
    <row r="265" spans="1:18" x14ac:dyDescent="0.25">
      <c r="A265" t="str">
        <f>PROPER(TRIM(CLEAN(RAW_DATA!A265)))</f>
        <v>Emp1263</v>
      </c>
      <c r="B265" t="str">
        <f>RAW_DATA!B265</f>
        <v>Grace</v>
      </c>
      <c r="C265" t="str">
        <f>RAW_DATA!C265</f>
        <v>Smith</v>
      </c>
      <c r="D265">
        <f>RAW_DATA!D265</f>
        <v>35</v>
      </c>
      <c r="E265" t="str">
        <f>RAW_DATA!E265</f>
        <v>HR-Illinois</v>
      </c>
      <c r="F265" t="str">
        <f t="shared" si="12"/>
        <v>HR</v>
      </c>
      <c r="G265" t="str">
        <f t="shared" si="13"/>
        <v>Illinois</v>
      </c>
      <c r="P265">
        <f t="shared" si="14"/>
        <v>60098.720000000001</v>
      </c>
      <c r="Q265">
        <f>IF(PQ_Cleansing!L265="Excellent", P265 * 0.1, IF(PQ_Cleansing!L265="Good", P265 * 0.05, IF(PQ_Cleansing!L265="Average", P265 * 0.02, IF(PQ_Cleansing!L265="Poor", 0, 0))))</f>
        <v>6009.8720000000003</v>
      </c>
      <c r="R265">
        <f>IFERROR(VALUE(SUBSTITUTE(SUBSTITUTE(PQ_Cleansing!I265, "$", ""), ",", "")), "")</f>
        <v>60098.720000000001</v>
      </c>
    </row>
    <row r="266" spans="1:18" x14ac:dyDescent="0.25">
      <c r="A266" t="str">
        <f>PROPER(TRIM(CLEAN(RAW_DATA!A266)))</f>
        <v>Emp1264</v>
      </c>
      <c r="B266" t="str">
        <f>RAW_DATA!B266</f>
        <v>Grace</v>
      </c>
      <c r="C266" t="str">
        <f>RAW_DATA!C266</f>
        <v>Williams</v>
      </c>
      <c r="D266">
        <f>RAW_DATA!D266</f>
        <v>0</v>
      </c>
      <c r="E266" t="str">
        <f>RAW_DATA!E266</f>
        <v>Cloud Tech-Texas</v>
      </c>
      <c r="F266" t="str">
        <f t="shared" si="12"/>
        <v>Cloud Tech</v>
      </c>
      <c r="G266" t="str">
        <f t="shared" si="13"/>
        <v>Texas</v>
      </c>
      <c r="P266">
        <f t="shared" si="14"/>
        <v>99951.43</v>
      </c>
      <c r="Q266">
        <f>IF(PQ_Cleansing!L266="Excellent", P266 * 0.1, IF(PQ_Cleansing!L266="Good", P266 * 0.05, IF(PQ_Cleansing!L266="Average", P266 * 0.02, IF(PQ_Cleansing!L266="Poor", 0, 0))))</f>
        <v>1999.0285999999999</v>
      </c>
      <c r="R266">
        <f>IFERROR(VALUE(SUBSTITUTE(SUBSTITUTE(PQ_Cleansing!I266, "$", ""), ",", "")), "")</f>
        <v>99951.43</v>
      </c>
    </row>
    <row r="267" spans="1:18" x14ac:dyDescent="0.25">
      <c r="A267" t="str">
        <f>PROPER(TRIM(CLEAN(RAW_DATA!A267)))</f>
        <v>Emp1265</v>
      </c>
      <c r="B267" t="str">
        <f>RAW_DATA!B267</f>
        <v>Heidi</v>
      </c>
      <c r="C267" t="str">
        <f>RAW_DATA!C267</f>
        <v>Johnson</v>
      </c>
      <c r="D267">
        <f>RAW_DATA!D267</f>
        <v>30</v>
      </c>
      <c r="E267" t="str">
        <f>RAW_DATA!E267</f>
        <v>Sales-Illinois</v>
      </c>
      <c r="F267" t="str">
        <f t="shared" si="12"/>
        <v>Sales</v>
      </c>
      <c r="G267" t="str">
        <f t="shared" si="13"/>
        <v>Illinois</v>
      </c>
      <c r="P267">
        <f t="shared" si="14"/>
        <v>115195.81</v>
      </c>
      <c r="Q267">
        <f>IF(PQ_Cleansing!L267="Excellent", P267 * 0.1, IF(PQ_Cleansing!L267="Good", P267 * 0.05, IF(PQ_Cleansing!L267="Average", P267 * 0.02, IF(PQ_Cleansing!L267="Poor", 0, 0))))</f>
        <v>5759.7905000000001</v>
      </c>
      <c r="R267">
        <f>IFERROR(VALUE(SUBSTITUTE(SUBSTITUTE(PQ_Cleansing!I267, "$", ""), ",", "")), "")</f>
        <v>115195.81</v>
      </c>
    </row>
    <row r="268" spans="1:18" x14ac:dyDescent="0.25">
      <c r="A268" t="str">
        <f>PROPER(TRIM(CLEAN(RAW_DATA!A268)))</f>
        <v>Emp1266</v>
      </c>
      <c r="B268" t="str">
        <f>RAW_DATA!B268</f>
        <v>Grace</v>
      </c>
      <c r="C268" t="str">
        <f>RAW_DATA!C268</f>
        <v>Brown</v>
      </c>
      <c r="D268">
        <f>RAW_DATA!D268</f>
        <v>0</v>
      </c>
      <c r="E268" t="str">
        <f>RAW_DATA!E268</f>
        <v>DevOps-California</v>
      </c>
      <c r="F268" t="str">
        <f t="shared" si="12"/>
        <v>DevOps</v>
      </c>
      <c r="G268" t="str">
        <f t="shared" si="13"/>
        <v>California</v>
      </c>
      <c r="P268">
        <f t="shared" si="14"/>
        <v>85512.05</v>
      </c>
      <c r="Q268">
        <f>IF(PQ_Cleansing!L268="Excellent", P268 * 0.1, IF(PQ_Cleansing!L268="Good", P268 * 0.05, IF(PQ_Cleansing!L268="Average", P268 * 0.02, IF(PQ_Cleansing!L268="Poor", 0, 0))))</f>
        <v>4275.6025</v>
      </c>
      <c r="R268">
        <f>IFERROR(VALUE(SUBSTITUTE(SUBSTITUTE(PQ_Cleansing!I268, "$", ""), ",", "")), "")</f>
        <v>85512.05</v>
      </c>
    </row>
    <row r="269" spans="1:18" x14ac:dyDescent="0.25">
      <c r="A269" t="str">
        <f>PROPER(TRIM(CLEAN(RAW_DATA!A269)))</f>
        <v>Emp1267</v>
      </c>
      <c r="B269" t="str">
        <f>RAW_DATA!B269</f>
        <v>Heidi</v>
      </c>
      <c r="C269" t="str">
        <f>RAW_DATA!C269</f>
        <v>Garcia</v>
      </c>
      <c r="D269">
        <f>RAW_DATA!D269</f>
        <v>0</v>
      </c>
      <c r="E269" t="str">
        <f>RAW_DATA!E269</f>
        <v>HR-Florida</v>
      </c>
      <c r="F269" t="str">
        <f t="shared" si="12"/>
        <v>HR</v>
      </c>
      <c r="G269" t="str">
        <f t="shared" si="13"/>
        <v>Florida</v>
      </c>
      <c r="P269">
        <f t="shared" si="14"/>
        <v>73186.77</v>
      </c>
      <c r="Q269">
        <f>IF(PQ_Cleansing!L269="Excellent", P269 * 0.1, IF(PQ_Cleansing!L269="Good", P269 * 0.05, IF(PQ_Cleansing!L269="Average", P269 * 0.02, IF(PQ_Cleansing!L269="Poor", 0, 0))))</f>
        <v>3659.3385000000003</v>
      </c>
      <c r="R269">
        <f>IFERROR(VALUE(SUBSTITUTE(SUBSTITUTE(PQ_Cleansing!I269, "$", ""), ",", "")), "")</f>
        <v>73186.77</v>
      </c>
    </row>
    <row r="270" spans="1:18" x14ac:dyDescent="0.25">
      <c r="A270" t="str">
        <f>PROPER(TRIM(CLEAN(RAW_DATA!A270)))</f>
        <v>Emp1268</v>
      </c>
      <c r="B270" t="str">
        <f>RAW_DATA!B270</f>
        <v>Grace</v>
      </c>
      <c r="C270" t="str">
        <f>RAW_DATA!C270</f>
        <v>Davis</v>
      </c>
      <c r="D270">
        <f>RAW_DATA!D270</f>
        <v>0</v>
      </c>
      <c r="E270" t="str">
        <f>RAW_DATA!E270</f>
        <v>HR-Nevada</v>
      </c>
      <c r="F270" t="str">
        <f t="shared" si="12"/>
        <v>HR</v>
      </c>
      <c r="G270" t="str">
        <f t="shared" si="13"/>
        <v>Nevada</v>
      </c>
      <c r="P270">
        <f t="shared" si="14"/>
        <v>51865.3</v>
      </c>
      <c r="Q270">
        <f>IF(PQ_Cleansing!L270="Excellent", P270 * 0.1, IF(PQ_Cleansing!L270="Good", P270 * 0.05, IF(PQ_Cleansing!L270="Average", P270 * 0.02, IF(PQ_Cleansing!L270="Poor", 0, 0))))</f>
        <v>0</v>
      </c>
      <c r="R270">
        <f>IFERROR(VALUE(SUBSTITUTE(SUBSTITUTE(PQ_Cleansing!I270, "$", ""), ",", "")), "")</f>
        <v>51865.3</v>
      </c>
    </row>
    <row r="271" spans="1:18" x14ac:dyDescent="0.25">
      <c r="A271" t="str">
        <f>PROPER(TRIM(CLEAN(RAW_DATA!A271)))</f>
        <v>Emp1269</v>
      </c>
      <c r="B271" t="str">
        <f>RAW_DATA!B271</f>
        <v>David</v>
      </c>
      <c r="C271" t="str">
        <f>RAW_DATA!C271</f>
        <v>Williams</v>
      </c>
      <c r="D271">
        <f>RAW_DATA!D271</f>
        <v>25</v>
      </c>
      <c r="E271" t="str">
        <f>RAW_DATA!E271</f>
        <v>Sales-Florida</v>
      </c>
      <c r="F271" t="str">
        <f t="shared" si="12"/>
        <v>Sales</v>
      </c>
      <c r="G271" t="str">
        <f t="shared" si="13"/>
        <v>Florida</v>
      </c>
      <c r="P271">
        <f t="shared" si="14"/>
        <v>94031.77</v>
      </c>
      <c r="Q271">
        <f>IF(PQ_Cleansing!L271="Excellent", P271 * 0.1, IF(PQ_Cleansing!L271="Good", P271 * 0.05, IF(PQ_Cleansing!L271="Average", P271 * 0.02, IF(PQ_Cleansing!L271="Poor", 0, 0))))</f>
        <v>9403.1770000000015</v>
      </c>
      <c r="R271">
        <f>IFERROR(VALUE(SUBSTITUTE(SUBSTITUTE(PQ_Cleansing!I271, "$", ""), ",", "")), "")</f>
        <v>94031.77</v>
      </c>
    </row>
    <row r="272" spans="1:18" x14ac:dyDescent="0.25">
      <c r="A272" t="str">
        <f>PROPER(TRIM(CLEAN(RAW_DATA!A272)))</f>
        <v>Emp1270</v>
      </c>
      <c r="B272" t="str">
        <f>RAW_DATA!B272</f>
        <v>Grace</v>
      </c>
      <c r="C272" t="str">
        <f>RAW_DATA!C272</f>
        <v>Miller</v>
      </c>
      <c r="D272">
        <f>RAW_DATA!D272</f>
        <v>30</v>
      </c>
      <c r="E272" t="str">
        <f>RAW_DATA!E272</f>
        <v>DevOps-New York</v>
      </c>
      <c r="F272" t="str">
        <f t="shared" si="12"/>
        <v>DevOps</v>
      </c>
      <c r="G272" t="str">
        <f t="shared" si="13"/>
        <v>New York</v>
      </c>
      <c r="P272">
        <f t="shared" si="14"/>
        <v>116374.36</v>
      </c>
      <c r="Q272">
        <f>IF(PQ_Cleansing!L272="Excellent", P272 * 0.1, IF(PQ_Cleansing!L272="Good", P272 * 0.05, IF(PQ_Cleansing!L272="Average", P272 * 0.02, IF(PQ_Cleansing!L272="Poor", 0, 0))))</f>
        <v>11637.436000000002</v>
      </c>
      <c r="R272">
        <f>IFERROR(VALUE(SUBSTITUTE(SUBSTITUTE(PQ_Cleansing!I272, "$", ""), ",", "")), "")</f>
        <v>116374.36</v>
      </c>
    </row>
    <row r="273" spans="1:18" x14ac:dyDescent="0.25">
      <c r="A273" t="str">
        <f>PROPER(TRIM(CLEAN(RAW_DATA!A273)))</f>
        <v>Emp1271</v>
      </c>
      <c r="B273" t="str">
        <f>RAW_DATA!B273</f>
        <v>Alice</v>
      </c>
      <c r="C273" t="str">
        <f>RAW_DATA!C273</f>
        <v>Garcia</v>
      </c>
      <c r="D273">
        <f>RAW_DATA!D273</f>
        <v>40</v>
      </c>
      <c r="E273" t="str">
        <f>RAW_DATA!E273</f>
        <v>HR-Florida</v>
      </c>
      <c r="F273" t="str">
        <f t="shared" si="12"/>
        <v>HR</v>
      </c>
      <c r="G273" t="str">
        <f t="shared" si="13"/>
        <v>Florida</v>
      </c>
      <c r="P273">
        <f t="shared" si="14"/>
        <v>98335.02</v>
      </c>
      <c r="Q273">
        <f>IF(PQ_Cleansing!L273="Excellent", P273 * 0.1, IF(PQ_Cleansing!L273="Good", P273 * 0.05, IF(PQ_Cleansing!L273="Average", P273 * 0.02, IF(PQ_Cleansing!L273="Poor", 0, 0))))</f>
        <v>9833.5020000000004</v>
      </c>
      <c r="R273">
        <f>IFERROR(VALUE(SUBSTITUTE(SUBSTITUTE(PQ_Cleansing!I273, "$", ""), ",", "")), "")</f>
        <v>98335.02</v>
      </c>
    </row>
    <row r="274" spans="1:18" x14ac:dyDescent="0.25">
      <c r="A274" t="str">
        <f>PROPER(TRIM(CLEAN(RAW_DATA!A274)))</f>
        <v>Emp1272</v>
      </c>
      <c r="B274" t="str">
        <f>RAW_DATA!B274</f>
        <v>Heidi</v>
      </c>
      <c r="C274" t="str">
        <f>RAW_DATA!C274</f>
        <v>Garcia</v>
      </c>
      <c r="D274">
        <f>RAW_DATA!D274</f>
        <v>25</v>
      </c>
      <c r="E274" t="str">
        <f>RAW_DATA!E274</f>
        <v>DevOps-New York</v>
      </c>
      <c r="F274" t="str">
        <f t="shared" si="12"/>
        <v>DevOps</v>
      </c>
      <c r="G274" t="str">
        <f t="shared" si="13"/>
        <v>New York</v>
      </c>
      <c r="P274">
        <f t="shared" si="14"/>
        <v>89262.07</v>
      </c>
      <c r="Q274">
        <f>IF(PQ_Cleansing!L274="Excellent", P274 * 0.1, IF(PQ_Cleansing!L274="Good", P274 * 0.05, IF(PQ_Cleansing!L274="Average", P274 * 0.02, IF(PQ_Cleansing!L274="Poor", 0, 0))))</f>
        <v>0</v>
      </c>
      <c r="R274">
        <f>IFERROR(VALUE(SUBSTITUTE(SUBSTITUTE(PQ_Cleansing!I274, "$", ""), ",", "")), "")</f>
        <v>89262.07</v>
      </c>
    </row>
    <row r="275" spans="1:18" x14ac:dyDescent="0.25">
      <c r="A275" t="str">
        <f>PROPER(TRIM(CLEAN(RAW_DATA!A275)))</f>
        <v>Emp1273</v>
      </c>
      <c r="B275" t="str">
        <f>RAW_DATA!B275</f>
        <v>Heidi</v>
      </c>
      <c r="C275" t="str">
        <f>RAW_DATA!C275</f>
        <v>Garcia</v>
      </c>
      <c r="D275">
        <f>RAW_DATA!D275</f>
        <v>0</v>
      </c>
      <c r="E275" t="str">
        <f>RAW_DATA!E275</f>
        <v>Finance-California</v>
      </c>
      <c r="F275" t="str">
        <f t="shared" si="12"/>
        <v>Finance</v>
      </c>
      <c r="G275" t="str">
        <f t="shared" si="13"/>
        <v>California</v>
      </c>
      <c r="P275">
        <f t="shared" si="14"/>
        <v>113848.69</v>
      </c>
      <c r="Q275">
        <f>IF(PQ_Cleansing!L275="Excellent", P275 * 0.1, IF(PQ_Cleansing!L275="Good", P275 * 0.05, IF(PQ_Cleansing!L275="Average", P275 * 0.02, IF(PQ_Cleansing!L275="Poor", 0, 0))))</f>
        <v>11384.869000000001</v>
      </c>
      <c r="R275">
        <f>IFERROR(VALUE(SUBSTITUTE(SUBSTITUTE(PQ_Cleansing!I275, "$", ""), ",", "")), "")</f>
        <v>113848.69</v>
      </c>
    </row>
    <row r="276" spans="1:18" x14ac:dyDescent="0.25">
      <c r="A276" t="str">
        <f>PROPER(TRIM(CLEAN(RAW_DATA!A276)))</f>
        <v>Emp1274</v>
      </c>
      <c r="B276" t="str">
        <f>RAW_DATA!B276</f>
        <v>Frank</v>
      </c>
      <c r="C276" t="str">
        <f>RAW_DATA!C276</f>
        <v>Smith</v>
      </c>
      <c r="D276">
        <f>RAW_DATA!D276</f>
        <v>35</v>
      </c>
      <c r="E276" t="str">
        <f>RAW_DATA!E276</f>
        <v>Sales-Florida</v>
      </c>
      <c r="F276" t="str">
        <f t="shared" si="12"/>
        <v>Sales</v>
      </c>
      <c r="G276" t="str">
        <f t="shared" si="13"/>
        <v>Florida</v>
      </c>
      <c r="P276">
        <f t="shared" si="14"/>
        <v>69530.45</v>
      </c>
      <c r="Q276">
        <f>IF(PQ_Cleansing!L276="Excellent", P276 * 0.1, IF(PQ_Cleansing!L276="Good", P276 * 0.05, IF(PQ_Cleansing!L276="Average", P276 * 0.02, IF(PQ_Cleansing!L276="Poor", 0, 0))))</f>
        <v>0</v>
      </c>
      <c r="R276">
        <f>IFERROR(VALUE(SUBSTITUTE(SUBSTITUTE(PQ_Cleansing!I276, "$", ""), ",", "")), "")</f>
        <v>69530.45</v>
      </c>
    </row>
    <row r="277" spans="1:18" x14ac:dyDescent="0.25">
      <c r="A277" t="str">
        <f>PROPER(TRIM(CLEAN(RAW_DATA!A277)))</f>
        <v>Emp1275</v>
      </c>
      <c r="B277" t="str">
        <f>RAW_DATA!B277</f>
        <v>Eva</v>
      </c>
      <c r="C277" t="str">
        <f>RAW_DATA!C277</f>
        <v>Brown</v>
      </c>
      <c r="D277">
        <f>RAW_DATA!D277</f>
        <v>35</v>
      </c>
      <c r="E277" t="str">
        <f>RAW_DATA!E277</f>
        <v>DevOps-New York</v>
      </c>
      <c r="F277" t="str">
        <f t="shared" si="12"/>
        <v>DevOps</v>
      </c>
      <c r="G277" t="str">
        <f t="shared" si="13"/>
        <v>New York</v>
      </c>
      <c r="P277">
        <f t="shared" si="14"/>
        <v>84230.22</v>
      </c>
      <c r="Q277">
        <f>IF(PQ_Cleansing!L277="Excellent", P277 * 0.1, IF(PQ_Cleansing!L277="Good", P277 * 0.05, IF(PQ_Cleansing!L277="Average", P277 * 0.02, IF(PQ_Cleansing!L277="Poor", 0, 0))))</f>
        <v>4211.5110000000004</v>
      </c>
      <c r="R277">
        <f>IFERROR(VALUE(SUBSTITUTE(SUBSTITUTE(PQ_Cleansing!I277, "$", ""), ",", "")), "")</f>
        <v>84230.22</v>
      </c>
    </row>
    <row r="278" spans="1:18" x14ac:dyDescent="0.25">
      <c r="A278" t="str">
        <f>PROPER(TRIM(CLEAN(RAW_DATA!A278)))</f>
        <v>Emp1276</v>
      </c>
      <c r="B278" t="str">
        <f>RAW_DATA!B278</f>
        <v>Eva</v>
      </c>
      <c r="C278" t="str">
        <f>RAW_DATA!C278</f>
        <v>Smith</v>
      </c>
      <c r="D278">
        <f>RAW_DATA!D278</f>
        <v>35</v>
      </c>
      <c r="E278" t="str">
        <f>RAW_DATA!E278</f>
        <v>Cloud Tech-Illinois</v>
      </c>
      <c r="F278" t="str">
        <f t="shared" si="12"/>
        <v>Cloud Tech</v>
      </c>
      <c r="G278" t="str">
        <f t="shared" si="13"/>
        <v>Illinois</v>
      </c>
      <c r="P278">
        <f t="shared" si="14"/>
        <v>76578.59</v>
      </c>
      <c r="Q278">
        <f>IF(PQ_Cleansing!L278="Excellent", P278 * 0.1, IF(PQ_Cleansing!L278="Good", P278 * 0.05, IF(PQ_Cleansing!L278="Average", P278 * 0.02, IF(PQ_Cleansing!L278="Poor", 0, 0))))</f>
        <v>1531.5717999999999</v>
      </c>
      <c r="R278">
        <f>IFERROR(VALUE(SUBSTITUTE(SUBSTITUTE(PQ_Cleansing!I278, "$", ""), ",", "")), "")</f>
        <v>76578.59</v>
      </c>
    </row>
    <row r="279" spans="1:18" x14ac:dyDescent="0.25">
      <c r="A279" t="str">
        <f>PROPER(TRIM(CLEAN(RAW_DATA!A279)))</f>
        <v>Emp1277</v>
      </c>
      <c r="B279" t="str">
        <f>RAW_DATA!B279</f>
        <v>Frank</v>
      </c>
      <c r="C279" t="str">
        <f>RAW_DATA!C279</f>
        <v>Miller</v>
      </c>
      <c r="D279">
        <f>RAW_DATA!D279</f>
        <v>30</v>
      </c>
      <c r="E279" t="str">
        <f>RAW_DATA!E279</f>
        <v>HR-Texas</v>
      </c>
      <c r="F279" t="str">
        <f t="shared" si="12"/>
        <v>HR</v>
      </c>
      <c r="G279" t="str">
        <f t="shared" si="13"/>
        <v>Texas</v>
      </c>
      <c r="P279">
        <f t="shared" si="14"/>
        <v>55532.06</v>
      </c>
      <c r="Q279">
        <f>IF(PQ_Cleansing!L279="Excellent", P279 * 0.1, IF(PQ_Cleansing!L279="Good", P279 * 0.05, IF(PQ_Cleansing!L279="Average", P279 * 0.02, IF(PQ_Cleansing!L279="Poor", 0, 0))))</f>
        <v>5553.2060000000001</v>
      </c>
      <c r="R279">
        <f>IFERROR(VALUE(SUBSTITUTE(SUBSTITUTE(PQ_Cleansing!I279, "$", ""), ",", "")), "")</f>
        <v>55532.06</v>
      </c>
    </row>
    <row r="280" spans="1:18" x14ac:dyDescent="0.25">
      <c r="A280" t="str">
        <f>PROPER(TRIM(CLEAN(RAW_DATA!A280)))</f>
        <v>Emp1278</v>
      </c>
      <c r="B280" t="str">
        <f>RAW_DATA!B280</f>
        <v>Eva</v>
      </c>
      <c r="C280" t="str">
        <f>RAW_DATA!C280</f>
        <v>Smith</v>
      </c>
      <c r="D280">
        <f>RAW_DATA!D280</f>
        <v>40</v>
      </c>
      <c r="E280" t="str">
        <f>RAW_DATA!E280</f>
        <v>Admin-New York</v>
      </c>
      <c r="F280" t="str">
        <f t="shared" si="12"/>
        <v>Admin</v>
      </c>
      <c r="G280" t="str">
        <f t="shared" si="13"/>
        <v>New York</v>
      </c>
      <c r="P280">
        <f t="shared" si="14"/>
        <v>115311.67999999999</v>
      </c>
      <c r="Q280">
        <f>IF(PQ_Cleansing!L280="Excellent", P280 * 0.1, IF(PQ_Cleansing!L280="Good", P280 * 0.05, IF(PQ_Cleansing!L280="Average", P280 * 0.02, IF(PQ_Cleansing!L280="Poor", 0, 0))))</f>
        <v>11531.168</v>
      </c>
      <c r="R280">
        <f>IFERROR(VALUE(SUBSTITUTE(SUBSTITUTE(PQ_Cleansing!I280, "$", ""), ",", "")), "")</f>
        <v>115311.67999999999</v>
      </c>
    </row>
    <row r="281" spans="1:18" x14ac:dyDescent="0.25">
      <c r="A281" t="str">
        <f>PROPER(TRIM(CLEAN(RAW_DATA!A281)))</f>
        <v>Emp1279</v>
      </c>
      <c r="B281" t="str">
        <f>RAW_DATA!B281</f>
        <v>Charlie</v>
      </c>
      <c r="C281" t="str">
        <f>RAW_DATA!C281</f>
        <v>Johnson</v>
      </c>
      <c r="D281">
        <f>RAW_DATA!D281</f>
        <v>25</v>
      </c>
      <c r="E281" t="str">
        <f>RAW_DATA!E281</f>
        <v>Sales-Nevada</v>
      </c>
      <c r="F281" t="str">
        <f t="shared" si="12"/>
        <v>Sales</v>
      </c>
      <c r="G281" t="str">
        <f t="shared" si="13"/>
        <v>Nevada</v>
      </c>
      <c r="P281">
        <f t="shared" si="14"/>
        <v>66972.06</v>
      </c>
      <c r="Q281">
        <f>IF(PQ_Cleansing!L281="Excellent", P281 * 0.1, IF(PQ_Cleansing!L281="Good", P281 * 0.05, IF(PQ_Cleansing!L281="Average", P281 * 0.02, IF(PQ_Cleansing!L281="Poor", 0, 0))))</f>
        <v>3348.6030000000001</v>
      </c>
      <c r="R281">
        <f>IFERROR(VALUE(SUBSTITUTE(SUBSTITUTE(PQ_Cleansing!I281, "$", ""), ",", "")), "")</f>
        <v>66972.06</v>
      </c>
    </row>
    <row r="282" spans="1:18" x14ac:dyDescent="0.25">
      <c r="A282" t="str">
        <f>PROPER(TRIM(CLEAN(RAW_DATA!A282)))</f>
        <v>Emp1280</v>
      </c>
      <c r="B282" t="str">
        <f>RAW_DATA!B282</f>
        <v>David</v>
      </c>
      <c r="C282" t="str">
        <f>RAW_DATA!C282</f>
        <v>Brown</v>
      </c>
      <c r="D282">
        <f>RAW_DATA!D282</f>
        <v>30</v>
      </c>
      <c r="E282" t="str">
        <f>RAW_DATA!E282</f>
        <v>Cloud Tech-Texas</v>
      </c>
      <c r="F282" t="str">
        <f t="shared" si="12"/>
        <v>Cloud Tech</v>
      </c>
      <c r="G282" t="str">
        <f t="shared" si="13"/>
        <v>Texas</v>
      </c>
      <c r="P282">
        <f t="shared" si="14"/>
        <v>100215.06</v>
      </c>
      <c r="Q282">
        <f>IF(PQ_Cleansing!L282="Excellent", P282 * 0.1, IF(PQ_Cleansing!L282="Good", P282 * 0.05, IF(PQ_Cleansing!L282="Average", P282 * 0.02, IF(PQ_Cleansing!L282="Poor", 0, 0))))</f>
        <v>2004.3012000000001</v>
      </c>
      <c r="R282">
        <f>IFERROR(VALUE(SUBSTITUTE(SUBSTITUTE(PQ_Cleansing!I282, "$", ""), ",", "")), "")</f>
        <v>100215.06</v>
      </c>
    </row>
    <row r="283" spans="1:18" x14ac:dyDescent="0.25">
      <c r="A283" t="str">
        <f>PROPER(TRIM(CLEAN(RAW_DATA!A283)))</f>
        <v>Emp1281</v>
      </c>
      <c r="B283" t="str">
        <f>RAW_DATA!B283</f>
        <v>Charlie</v>
      </c>
      <c r="C283" t="str">
        <f>RAW_DATA!C283</f>
        <v>Brown</v>
      </c>
      <c r="D283">
        <f>RAW_DATA!D283</f>
        <v>25</v>
      </c>
      <c r="E283" t="str">
        <f>RAW_DATA!E283</f>
        <v>Sales-New York</v>
      </c>
      <c r="F283" t="str">
        <f t="shared" si="12"/>
        <v>Sales</v>
      </c>
      <c r="G283" t="str">
        <f t="shared" si="13"/>
        <v>New York</v>
      </c>
      <c r="P283">
        <f t="shared" si="14"/>
        <v>115452.25</v>
      </c>
      <c r="Q283">
        <f>IF(PQ_Cleansing!L283="Excellent", P283 * 0.1, IF(PQ_Cleansing!L283="Good", P283 * 0.05, IF(PQ_Cleansing!L283="Average", P283 * 0.02, IF(PQ_Cleansing!L283="Poor", 0, 0))))</f>
        <v>0</v>
      </c>
      <c r="R283">
        <f>IFERROR(VALUE(SUBSTITUTE(SUBSTITUTE(PQ_Cleansing!I283, "$", ""), ",", "")), "")</f>
        <v>115452.25</v>
      </c>
    </row>
    <row r="284" spans="1:18" x14ac:dyDescent="0.25">
      <c r="A284" t="str">
        <f>PROPER(TRIM(CLEAN(RAW_DATA!A284)))</f>
        <v>Emp1282</v>
      </c>
      <c r="B284" t="str">
        <f>RAW_DATA!B284</f>
        <v>Heidi</v>
      </c>
      <c r="C284" t="str">
        <f>RAW_DATA!C284</f>
        <v>Miller</v>
      </c>
      <c r="D284">
        <f>RAW_DATA!D284</f>
        <v>30</v>
      </c>
      <c r="E284" t="str">
        <f>RAW_DATA!E284</f>
        <v>HR-California</v>
      </c>
      <c r="F284" t="str">
        <f t="shared" si="12"/>
        <v>HR</v>
      </c>
      <c r="G284" t="str">
        <f t="shared" si="13"/>
        <v>California</v>
      </c>
      <c r="P284">
        <f t="shared" si="14"/>
        <v>54141.38</v>
      </c>
      <c r="Q284">
        <f>IF(PQ_Cleansing!L284="Excellent", P284 * 0.1, IF(PQ_Cleansing!L284="Good", P284 * 0.05, IF(PQ_Cleansing!L284="Average", P284 * 0.02, IF(PQ_Cleansing!L284="Poor", 0, 0))))</f>
        <v>1082.8276000000001</v>
      </c>
      <c r="R284">
        <f>IFERROR(VALUE(SUBSTITUTE(SUBSTITUTE(PQ_Cleansing!I284, "$", ""), ",", "")), "")</f>
        <v>54141.38</v>
      </c>
    </row>
    <row r="285" spans="1:18" x14ac:dyDescent="0.25">
      <c r="A285" t="str">
        <f>PROPER(TRIM(CLEAN(RAW_DATA!A285)))</f>
        <v>Emp1283</v>
      </c>
      <c r="B285" t="str">
        <f>RAW_DATA!B285</f>
        <v>David</v>
      </c>
      <c r="C285" t="str">
        <f>RAW_DATA!C285</f>
        <v>Davis</v>
      </c>
      <c r="D285">
        <f>RAW_DATA!D285</f>
        <v>0</v>
      </c>
      <c r="E285" t="str">
        <f>RAW_DATA!E285</f>
        <v>DevOps-Nevada</v>
      </c>
      <c r="F285" t="str">
        <f t="shared" si="12"/>
        <v>DevOps</v>
      </c>
      <c r="G285" t="str">
        <f t="shared" si="13"/>
        <v>Nevada</v>
      </c>
      <c r="P285">
        <f t="shared" si="14"/>
        <v>79251.95</v>
      </c>
      <c r="Q285">
        <f>IF(PQ_Cleansing!L285="Excellent", P285 * 0.1, IF(PQ_Cleansing!L285="Good", P285 * 0.05, IF(PQ_Cleansing!L285="Average", P285 * 0.02, IF(PQ_Cleansing!L285="Poor", 0, 0))))</f>
        <v>3962.5974999999999</v>
      </c>
      <c r="R285">
        <f>IFERROR(VALUE(SUBSTITUTE(SUBSTITUTE(PQ_Cleansing!I285, "$", ""), ",", "")), "")</f>
        <v>79251.95</v>
      </c>
    </row>
    <row r="286" spans="1:18" x14ac:dyDescent="0.25">
      <c r="A286" t="str">
        <f>PROPER(TRIM(CLEAN(RAW_DATA!A286)))</f>
        <v>Emp1284</v>
      </c>
      <c r="B286" t="str">
        <f>RAW_DATA!B286</f>
        <v>Alice</v>
      </c>
      <c r="C286" t="str">
        <f>RAW_DATA!C286</f>
        <v>Johnson</v>
      </c>
      <c r="D286">
        <f>RAW_DATA!D286</f>
        <v>40</v>
      </c>
      <c r="E286" t="str">
        <f>RAW_DATA!E286</f>
        <v>Finance-New York</v>
      </c>
      <c r="F286" t="str">
        <f t="shared" si="12"/>
        <v>Finance</v>
      </c>
      <c r="G286" t="str">
        <f t="shared" si="13"/>
        <v>New York</v>
      </c>
      <c r="P286">
        <f t="shared" si="14"/>
        <v>114822.78</v>
      </c>
      <c r="Q286">
        <f>IF(PQ_Cleansing!L286="Excellent", P286 * 0.1, IF(PQ_Cleansing!L286="Good", P286 * 0.05, IF(PQ_Cleansing!L286="Average", P286 * 0.02, IF(PQ_Cleansing!L286="Poor", 0, 0))))</f>
        <v>5741.1390000000001</v>
      </c>
      <c r="R286">
        <f>IFERROR(VALUE(SUBSTITUTE(SUBSTITUTE(PQ_Cleansing!I286, "$", ""), ",", "")), "")</f>
        <v>114822.78</v>
      </c>
    </row>
    <row r="287" spans="1:18" x14ac:dyDescent="0.25">
      <c r="A287" t="str">
        <f>PROPER(TRIM(CLEAN(RAW_DATA!A287)))</f>
        <v>Emp1285</v>
      </c>
      <c r="B287" t="str">
        <f>RAW_DATA!B287</f>
        <v>Alice</v>
      </c>
      <c r="C287" t="str">
        <f>RAW_DATA!C287</f>
        <v>Williams</v>
      </c>
      <c r="D287">
        <f>RAW_DATA!D287</f>
        <v>35</v>
      </c>
      <c r="E287" t="str">
        <f>RAW_DATA!E287</f>
        <v>Sales-Illinois</v>
      </c>
      <c r="F287" t="str">
        <f t="shared" si="12"/>
        <v>Sales</v>
      </c>
      <c r="G287" t="str">
        <f t="shared" si="13"/>
        <v>Illinois</v>
      </c>
      <c r="P287">
        <f t="shared" si="14"/>
        <v>69919.320000000007</v>
      </c>
      <c r="Q287">
        <f>IF(PQ_Cleansing!L287="Excellent", P287 * 0.1, IF(PQ_Cleansing!L287="Good", P287 * 0.05, IF(PQ_Cleansing!L287="Average", P287 * 0.02, IF(PQ_Cleansing!L287="Poor", 0, 0))))</f>
        <v>1398.3864000000001</v>
      </c>
      <c r="R287">
        <f>IFERROR(VALUE(SUBSTITUTE(SUBSTITUTE(PQ_Cleansing!I287, "$", ""), ",", "")), "")</f>
        <v>69919.320000000007</v>
      </c>
    </row>
    <row r="288" spans="1:18" x14ac:dyDescent="0.25">
      <c r="A288" t="str">
        <f>PROPER(TRIM(CLEAN(RAW_DATA!A288)))</f>
        <v>Emp1286</v>
      </c>
      <c r="B288" t="str">
        <f>RAW_DATA!B288</f>
        <v>Heidi</v>
      </c>
      <c r="C288" t="str">
        <f>RAW_DATA!C288</f>
        <v>Smith</v>
      </c>
      <c r="D288">
        <f>RAW_DATA!D288</f>
        <v>30</v>
      </c>
      <c r="E288" t="str">
        <f>RAW_DATA!E288</f>
        <v>Sales-Florida</v>
      </c>
      <c r="F288" t="str">
        <f t="shared" si="12"/>
        <v>Sales</v>
      </c>
      <c r="G288" t="str">
        <f t="shared" si="13"/>
        <v>Florida</v>
      </c>
      <c r="P288">
        <f t="shared" si="14"/>
        <v>106616.97</v>
      </c>
      <c r="Q288">
        <f>IF(PQ_Cleansing!L288="Excellent", P288 * 0.1, IF(PQ_Cleansing!L288="Good", P288 * 0.05, IF(PQ_Cleansing!L288="Average", P288 * 0.02, IF(PQ_Cleansing!L288="Poor", 0, 0))))</f>
        <v>0</v>
      </c>
      <c r="R288">
        <f>IFERROR(VALUE(SUBSTITUTE(SUBSTITUTE(PQ_Cleansing!I288, "$", ""), ",", "")), "")</f>
        <v>106616.97</v>
      </c>
    </row>
    <row r="289" spans="1:18" x14ac:dyDescent="0.25">
      <c r="A289" t="str">
        <f>PROPER(TRIM(CLEAN(RAW_DATA!A289)))</f>
        <v>Emp1287</v>
      </c>
      <c r="B289" t="str">
        <f>RAW_DATA!B289</f>
        <v>Heidi</v>
      </c>
      <c r="C289" t="str">
        <f>RAW_DATA!C289</f>
        <v>Jones</v>
      </c>
      <c r="D289">
        <f>RAW_DATA!D289</f>
        <v>35</v>
      </c>
      <c r="E289" t="str">
        <f>RAW_DATA!E289</f>
        <v>DevOps-New York</v>
      </c>
      <c r="F289" t="str">
        <f t="shared" si="12"/>
        <v>DevOps</v>
      </c>
      <c r="G289" t="str">
        <f t="shared" si="13"/>
        <v>New York</v>
      </c>
      <c r="P289">
        <f t="shared" si="14"/>
        <v>73597.850000000006</v>
      </c>
      <c r="Q289">
        <f>IF(PQ_Cleansing!L289="Excellent", P289 * 0.1, IF(PQ_Cleansing!L289="Good", P289 * 0.05, IF(PQ_Cleansing!L289="Average", P289 * 0.02, IF(PQ_Cleansing!L289="Poor", 0, 0))))</f>
        <v>0</v>
      </c>
      <c r="R289">
        <f>IFERROR(VALUE(SUBSTITUTE(SUBSTITUTE(PQ_Cleansing!I289, "$", ""), ",", "")), "")</f>
        <v>73597.850000000006</v>
      </c>
    </row>
    <row r="290" spans="1:18" x14ac:dyDescent="0.25">
      <c r="A290" t="str">
        <f>PROPER(TRIM(CLEAN(RAW_DATA!A290)))</f>
        <v>Emp1288</v>
      </c>
      <c r="B290" t="str">
        <f>RAW_DATA!B290</f>
        <v>David</v>
      </c>
      <c r="C290" t="str">
        <f>RAW_DATA!C290</f>
        <v>Smith</v>
      </c>
      <c r="D290">
        <f>RAW_DATA!D290</f>
        <v>30</v>
      </c>
      <c r="E290" t="str">
        <f>RAW_DATA!E290</f>
        <v>Sales-Nevada</v>
      </c>
      <c r="F290" t="str">
        <f t="shared" si="12"/>
        <v>Sales</v>
      </c>
      <c r="G290" t="str">
        <f t="shared" si="13"/>
        <v>Nevada</v>
      </c>
      <c r="P290">
        <f t="shared" si="14"/>
        <v>79939.23</v>
      </c>
      <c r="Q290">
        <f>IF(PQ_Cleansing!L290="Excellent", P290 * 0.1, IF(PQ_Cleansing!L290="Good", P290 * 0.05, IF(PQ_Cleansing!L290="Average", P290 * 0.02, IF(PQ_Cleansing!L290="Poor", 0, 0))))</f>
        <v>7993.9229999999998</v>
      </c>
      <c r="R290">
        <f>IFERROR(VALUE(SUBSTITUTE(SUBSTITUTE(PQ_Cleansing!I290, "$", ""), ",", "")), "")</f>
        <v>79939.23</v>
      </c>
    </row>
    <row r="291" spans="1:18" x14ac:dyDescent="0.25">
      <c r="A291" t="str">
        <f>PROPER(TRIM(CLEAN(RAW_DATA!A291)))</f>
        <v>Emp1289</v>
      </c>
      <c r="B291" t="str">
        <f>RAW_DATA!B291</f>
        <v>Grace</v>
      </c>
      <c r="C291" t="str">
        <f>RAW_DATA!C291</f>
        <v>Garcia</v>
      </c>
      <c r="D291">
        <f>RAW_DATA!D291</f>
        <v>25</v>
      </c>
      <c r="E291" t="str">
        <f>RAW_DATA!E291</f>
        <v>Admin-New York</v>
      </c>
      <c r="F291" t="str">
        <f t="shared" si="12"/>
        <v>Admin</v>
      </c>
      <c r="G291" t="str">
        <f t="shared" si="13"/>
        <v>New York</v>
      </c>
      <c r="P291">
        <f t="shared" si="14"/>
        <v>85268.279969293711</v>
      </c>
      <c r="Q291">
        <f>IF(PQ_Cleansing!L291="Excellent", P291 * 0.1, IF(PQ_Cleansing!L291="Good", P291 * 0.05, IF(PQ_Cleansing!L291="Average", P291 * 0.02, IF(PQ_Cleansing!L291="Poor", 0, 0))))</f>
        <v>0</v>
      </c>
      <c r="R291" t="str">
        <f>IFERROR(VALUE(SUBSTITUTE(SUBSTITUTE(PQ_Cleansing!I291, "$", ""), ",", "")), "")</f>
        <v/>
      </c>
    </row>
    <row r="292" spans="1:18" x14ac:dyDescent="0.25">
      <c r="A292" t="str">
        <f>PROPER(TRIM(CLEAN(RAW_DATA!A292)))</f>
        <v>Emp1290</v>
      </c>
      <c r="B292" t="str">
        <f>RAW_DATA!B292</f>
        <v>Grace</v>
      </c>
      <c r="C292" t="str">
        <f>RAW_DATA!C292</f>
        <v>Smith</v>
      </c>
      <c r="D292">
        <f>RAW_DATA!D292</f>
        <v>30</v>
      </c>
      <c r="E292" t="str">
        <f>RAW_DATA!E292</f>
        <v>Finance-California</v>
      </c>
      <c r="F292" t="str">
        <f t="shared" si="12"/>
        <v>Finance</v>
      </c>
      <c r="G292" t="str">
        <f t="shared" si="13"/>
        <v>California</v>
      </c>
      <c r="P292">
        <f t="shared" si="14"/>
        <v>90772.25</v>
      </c>
      <c r="Q292">
        <f>IF(PQ_Cleansing!L292="Excellent", P292 * 0.1, IF(PQ_Cleansing!L292="Good", P292 * 0.05, IF(PQ_Cleansing!L292="Average", P292 * 0.02, IF(PQ_Cleansing!L292="Poor", 0, 0))))</f>
        <v>1815.4449999999999</v>
      </c>
      <c r="R292">
        <f>IFERROR(VALUE(SUBSTITUTE(SUBSTITUTE(PQ_Cleansing!I292, "$", ""), ",", "")), "")</f>
        <v>90772.25</v>
      </c>
    </row>
    <row r="293" spans="1:18" x14ac:dyDescent="0.25">
      <c r="A293" t="str">
        <f>PROPER(TRIM(CLEAN(RAW_DATA!A293)))</f>
        <v>Emp1291</v>
      </c>
      <c r="B293" t="str">
        <f>RAW_DATA!B293</f>
        <v>Eva</v>
      </c>
      <c r="C293" t="str">
        <f>RAW_DATA!C293</f>
        <v>Williams</v>
      </c>
      <c r="D293">
        <f>RAW_DATA!D293</f>
        <v>35</v>
      </c>
      <c r="E293" t="str">
        <f>RAW_DATA!E293</f>
        <v>DevOps-New York</v>
      </c>
      <c r="F293" t="str">
        <f t="shared" si="12"/>
        <v>DevOps</v>
      </c>
      <c r="G293" t="str">
        <f t="shared" si="13"/>
        <v>New York</v>
      </c>
      <c r="P293">
        <f t="shared" si="14"/>
        <v>58275.74</v>
      </c>
      <c r="Q293">
        <f>IF(PQ_Cleansing!L293="Excellent", P293 * 0.1, IF(PQ_Cleansing!L293="Good", P293 * 0.05, IF(PQ_Cleansing!L293="Average", P293 * 0.02, IF(PQ_Cleansing!L293="Poor", 0, 0))))</f>
        <v>2913.7870000000003</v>
      </c>
      <c r="R293">
        <f>IFERROR(VALUE(SUBSTITUTE(SUBSTITUTE(PQ_Cleansing!I293, "$", ""), ",", "")), "")</f>
        <v>58275.74</v>
      </c>
    </row>
    <row r="294" spans="1:18" x14ac:dyDescent="0.25">
      <c r="A294" t="str">
        <f>PROPER(TRIM(CLEAN(RAW_DATA!A294)))</f>
        <v>Emp1292</v>
      </c>
      <c r="B294" t="str">
        <f>RAW_DATA!B294</f>
        <v>Grace</v>
      </c>
      <c r="C294" t="str">
        <f>RAW_DATA!C294</f>
        <v>Smith</v>
      </c>
      <c r="D294">
        <f>RAW_DATA!D294</f>
        <v>0</v>
      </c>
      <c r="E294" t="str">
        <f>RAW_DATA!E294</f>
        <v>DevOps-California</v>
      </c>
      <c r="F294" t="str">
        <f t="shared" si="12"/>
        <v>DevOps</v>
      </c>
      <c r="G294" t="str">
        <f t="shared" si="13"/>
        <v>California</v>
      </c>
      <c r="P294">
        <f t="shared" si="14"/>
        <v>94709.79</v>
      </c>
      <c r="Q294">
        <f>IF(PQ_Cleansing!L294="Excellent", P294 * 0.1, IF(PQ_Cleansing!L294="Good", P294 * 0.05, IF(PQ_Cleansing!L294="Average", P294 * 0.02, IF(PQ_Cleansing!L294="Poor", 0, 0))))</f>
        <v>9470.9789999999994</v>
      </c>
      <c r="R294">
        <f>IFERROR(VALUE(SUBSTITUTE(SUBSTITUTE(PQ_Cleansing!I294, "$", ""), ",", "")), "")</f>
        <v>94709.79</v>
      </c>
    </row>
    <row r="295" spans="1:18" x14ac:dyDescent="0.25">
      <c r="A295" t="str">
        <f>PROPER(TRIM(CLEAN(RAW_DATA!A295)))</f>
        <v>Emp1293</v>
      </c>
      <c r="B295" t="str">
        <f>RAW_DATA!B295</f>
        <v>Frank</v>
      </c>
      <c r="C295" t="str">
        <f>RAW_DATA!C295</f>
        <v>Johnson</v>
      </c>
      <c r="D295">
        <f>RAW_DATA!D295</f>
        <v>0</v>
      </c>
      <c r="E295" t="str">
        <f>RAW_DATA!E295</f>
        <v>Admin-New York</v>
      </c>
      <c r="F295" t="str">
        <f t="shared" si="12"/>
        <v>Admin</v>
      </c>
      <c r="G295" t="str">
        <f t="shared" si="13"/>
        <v>New York</v>
      </c>
      <c r="P295">
        <f t="shared" si="14"/>
        <v>60722.99</v>
      </c>
      <c r="Q295">
        <f>IF(PQ_Cleansing!L295="Excellent", P295 * 0.1, IF(PQ_Cleansing!L295="Good", P295 * 0.05, IF(PQ_Cleansing!L295="Average", P295 * 0.02, IF(PQ_Cleansing!L295="Poor", 0, 0))))</f>
        <v>6072.299</v>
      </c>
      <c r="R295">
        <f>IFERROR(VALUE(SUBSTITUTE(SUBSTITUTE(PQ_Cleansing!I295, "$", ""), ",", "")), "")</f>
        <v>60722.99</v>
      </c>
    </row>
    <row r="296" spans="1:18" x14ac:dyDescent="0.25">
      <c r="A296" t="str">
        <f>PROPER(TRIM(CLEAN(RAW_DATA!A296)))</f>
        <v>Emp1294</v>
      </c>
      <c r="B296" t="str">
        <f>RAW_DATA!B296</f>
        <v>Frank</v>
      </c>
      <c r="C296" t="str">
        <f>RAW_DATA!C296</f>
        <v>Johnson</v>
      </c>
      <c r="D296">
        <f>RAW_DATA!D296</f>
        <v>40</v>
      </c>
      <c r="E296" t="str">
        <f>RAW_DATA!E296</f>
        <v>DevOps-Illinois</v>
      </c>
      <c r="F296" t="str">
        <f t="shared" si="12"/>
        <v>DevOps</v>
      </c>
      <c r="G296" t="str">
        <f t="shared" si="13"/>
        <v>Illinois</v>
      </c>
      <c r="P296">
        <f t="shared" si="14"/>
        <v>87626.240000000005</v>
      </c>
      <c r="Q296">
        <f>IF(PQ_Cleansing!L296="Excellent", P296 * 0.1, IF(PQ_Cleansing!L296="Good", P296 * 0.05, IF(PQ_Cleansing!L296="Average", P296 * 0.02, IF(PQ_Cleansing!L296="Poor", 0, 0))))</f>
        <v>4381.3120000000008</v>
      </c>
      <c r="R296">
        <f>IFERROR(VALUE(SUBSTITUTE(SUBSTITUTE(PQ_Cleansing!I296, "$", ""), ",", "")), "")</f>
        <v>87626.240000000005</v>
      </c>
    </row>
    <row r="297" spans="1:18" x14ac:dyDescent="0.25">
      <c r="A297" t="str">
        <f>PROPER(TRIM(CLEAN(RAW_DATA!A297)))</f>
        <v>Emp1295</v>
      </c>
      <c r="B297" t="str">
        <f>RAW_DATA!B297</f>
        <v>David</v>
      </c>
      <c r="C297" t="str">
        <f>RAW_DATA!C297</f>
        <v>Brown</v>
      </c>
      <c r="D297">
        <f>RAW_DATA!D297</f>
        <v>30</v>
      </c>
      <c r="E297" t="str">
        <f>RAW_DATA!E297</f>
        <v>DevOps-Illinois</v>
      </c>
      <c r="F297" t="str">
        <f t="shared" si="12"/>
        <v>DevOps</v>
      </c>
      <c r="G297" t="str">
        <f t="shared" si="13"/>
        <v>Illinois</v>
      </c>
      <c r="P297">
        <f t="shared" si="14"/>
        <v>81272.36</v>
      </c>
      <c r="Q297">
        <f>IF(PQ_Cleansing!L297="Excellent", P297 * 0.1, IF(PQ_Cleansing!L297="Good", P297 * 0.05, IF(PQ_Cleansing!L297="Average", P297 * 0.02, IF(PQ_Cleansing!L297="Poor", 0, 0))))</f>
        <v>0</v>
      </c>
      <c r="R297">
        <f>IFERROR(VALUE(SUBSTITUTE(SUBSTITUTE(PQ_Cleansing!I297, "$", ""), ",", "")), "")</f>
        <v>81272.36</v>
      </c>
    </row>
    <row r="298" spans="1:18" x14ac:dyDescent="0.25">
      <c r="A298" t="str">
        <f>PROPER(TRIM(CLEAN(RAW_DATA!A298)))</f>
        <v>Emp1296</v>
      </c>
      <c r="B298" t="str">
        <f>RAW_DATA!B298</f>
        <v>Bob</v>
      </c>
      <c r="C298" t="str">
        <f>RAW_DATA!C298</f>
        <v>Miller</v>
      </c>
      <c r="D298">
        <f>RAW_DATA!D298</f>
        <v>0</v>
      </c>
      <c r="E298" t="str">
        <f>RAW_DATA!E298</f>
        <v>Cloud Tech-Texas</v>
      </c>
      <c r="F298" t="str">
        <f t="shared" si="12"/>
        <v>Cloud Tech</v>
      </c>
      <c r="G298" t="str">
        <f t="shared" si="13"/>
        <v>Texas</v>
      </c>
      <c r="P298">
        <f t="shared" si="14"/>
        <v>64150.97</v>
      </c>
      <c r="Q298">
        <f>IF(PQ_Cleansing!L298="Excellent", P298 * 0.1, IF(PQ_Cleansing!L298="Good", P298 * 0.05, IF(PQ_Cleansing!L298="Average", P298 * 0.02, IF(PQ_Cleansing!L298="Poor", 0, 0))))</f>
        <v>3207.5485000000003</v>
      </c>
      <c r="R298">
        <f>IFERROR(VALUE(SUBSTITUTE(SUBSTITUTE(PQ_Cleansing!I298, "$", ""), ",", "")), "")</f>
        <v>64150.97</v>
      </c>
    </row>
    <row r="299" spans="1:18" x14ac:dyDescent="0.25">
      <c r="A299" t="str">
        <f>PROPER(TRIM(CLEAN(RAW_DATA!A299)))</f>
        <v>Emp1297</v>
      </c>
      <c r="B299" t="str">
        <f>RAW_DATA!B299</f>
        <v>Charlie</v>
      </c>
      <c r="C299" t="str">
        <f>RAW_DATA!C299</f>
        <v>Davis</v>
      </c>
      <c r="D299">
        <f>RAW_DATA!D299</f>
        <v>35</v>
      </c>
      <c r="E299" t="str">
        <f>RAW_DATA!E299</f>
        <v>Sales-Florida</v>
      </c>
      <c r="F299" t="str">
        <f t="shared" si="12"/>
        <v>Sales</v>
      </c>
      <c r="G299" t="str">
        <f t="shared" si="13"/>
        <v>Florida</v>
      </c>
      <c r="P299">
        <f t="shared" si="14"/>
        <v>64378.1</v>
      </c>
      <c r="Q299">
        <f>IF(PQ_Cleansing!L299="Excellent", P299 * 0.1, IF(PQ_Cleansing!L299="Good", P299 * 0.05, IF(PQ_Cleansing!L299="Average", P299 * 0.02, IF(PQ_Cleansing!L299="Poor", 0, 0))))</f>
        <v>0</v>
      </c>
      <c r="R299">
        <f>IFERROR(VALUE(SUBSTITUTE(SUBSTITUTE(PQ_Cleansing!I299, "$", ""), ",", "")), "")</f>
        <v>64378.1</v>
      </c>
    </row>
    <row r="300" spans="1:18" x14ac:dyDescent="0.25">
      <c r="A300" t="str">
        <f>PROPER(TRIM(CLEAN(RAW_DATA!A300)))</f>
        <v>Emp1298</v>
      </c>
      <c r="B300" t="str">
        <f>RAW_DATA!B300</f>
        <v>Bob</v>
      </c>
      <c r="C300" t="str">
        <f>RAW_DATA!C300</f>
        <v>Jones</v>
      </c>
      <c r="D300">
        <f>RAW_DATA!D300</f>
        <v>0</v>
      </c>
      <c r="E300" t="str">
        <f>RAW_DATA!E300</f>
        <v>Finance-Texas</v>
      </c>
      <c r="F300" t="str">
        <f t="shared" si="12"/>
        <v>Finance</v>
      </c>
      <c r="G300" t="str">
        <f t="shared" si="13"/>
        <v>Texas</v>
      </c>
      <c r="P300">
        <f t="shared" si="14"/>
        <v>85927.35</v>
      </c>
      <c r="Q300">
        <f>IF(PQ_Cleansing!L300="Excellent", P300 * 0.1, IF(PQ_Cleansing!L300="Good", P300 * 0.05, IF(PQ_Cleansing!L300="Average", P300 * 0.02, IF(PQ_Cleansing!L300="Poor", 0, 0))))</f>
        <v>4296.3675000000003</v>
      </c>
      <c r="R300">
        <f>IFERROR(VALUE(SUBSTITUTE(SUBSTITUTE(PQ_Cleansing!I300, "$", ""), ",", "")), "")</f>
        <v>85927.35</v>
      </c>
    </row>
    <row r="301" spans="1:18" x14ac:dyDescent="0.25">
      <c r="A301" t="str">
        <f>PROPER(TRIM(CLEAN(RAW_DATA!A301)))</f>
        <v>Emp1299</v>
      </c>
      <c r="B301" t="str">
        <f>RAW_DATA!B301</f>
        <v>Alice</v>
      </c>
      <c r="C301" t="str">
        <f>RAW_DATA!C301</f>
        <v>Garcia</v>
      </c>
      <c r="D301">
        <f>RAW_DATA!D301</f>
        <v>0</v>
      </c>
      <c r="E301" t="str">
        <f>RAW_DATA!E301</f>
        <v>Finance-Nevada</v>
      </c>
      <c r="F301" t="str">
        <f t="shared" si="12"/>
        <v>Finance</v>
      </c>
      <c r="G301" t="str">
        <f t="shared" si="13"/>
        <v>Nevada</v>
      </c>
      <c r="P301">
        <f t="shared" si="14"/>
        <v>51523.93</v>
      </c>
      <c r="Q301">
        <f>IF(PQ_Cleansing!L301="Excellent", P301 * 0.1, IF(PQ_Cleansing!L301="Good", P301 * 0.05, IF(PQ_Cleansing!L301="Average", P301 * 0.02, IF(PQ_Cleansing!L301="Poor", 0, 0))))</f>
        <v>1030.4785999999999</v>
      </c>
      <c r="R301">
        <f>IFERROR(VALUE(SUBSTITUTE(SUBSTITUTE(PQ_Cleansing!I301, "$", ""), ",", "")), "")</f>
        <v>51523.93</v>
      </c>
    </row>
    <row r="302" spans="1:18" x14ac:dyDescent="0.25">
      <c r="A302" t="str">
        <f>PROPER(TRIM(CLEAN(RAW_DATA!A302)))</f>
        <v>Emp1300</v>
      </c>
      <c r="B302" t="str">
        <f>RAW_DATA!B302</f>
        <v>Alice</v>
      </c>
      <c r="C302" t="str">
        <f>RAW_DATA!C302</f>
        <v>Smith</v>
      </c>
      <c r="D302">
        <f>RAW_DATA!D302</f>
        <v>30</v>
      </c>
      <c r="E302" t="str">
        <f>RAW_DATA!E302</f>
        <v>Sales-Texas</v>
      </c>
      <c r="F302" t="str">
        <f t="shared" si="12"/>
        <v>Sales</v>
      </c>
      <c r="G302" t="str">
        <f t="shared" si="13"/>
        <v>Texas</v>
      </c>
      <c r="P302">
        <f t="shared" si="14"/>
        <v>74117.02</v>
      </c>
      <c r="Q302">
        <f>IF(PQ_Cleansing!L302="Excellent", P302 * 0.1, IF(PQ_Cleansing!L302="Good", P302 * 0.05, IF(PQ_Cleansing!L302="Average", P302 * 0.02, IF(PQ_Cleansing!L302="Poor", 0, 0))))</f>
        <v>0</v>
      </c>
      <c r="R302">
        <f>IFERROR(VALUE(SUBSTITUTE(SUBSTITUTE(PQ_Cleansing!I302, "$", ""), ",", "")), "")</f>
        <v>74117.02</v>
      </c>
    </row>
    <row r="303" spans="1:18" x14ac:dyDescent="0.25">
      <c r="A303" t="str">
        <f>PROPER(TRIM(CLEAN(RAW_DATA!A303)))</f>
        <v>Emp1301</v>
      </c>
      <c r="B303" t="str">
        <f>RAW_DATA!B303</f>
        <v>Alice</v>
      </c>
      <c r="C303" t="str">
        <f>RAW_DATA!C303</f>
        <v>Smith</v>
      </c>
      <c r="D303">
        <f>RAW_DATA!D303</f>
        <v>25</v>
      </c>
      <c r="E303" t="str">
        <f>RAW_DATA!E303</f>
        <v>Finance-Texas</v>
      </c>
      <c r="F303" t="str">
        <f t="shared" si="12"/>
        <v>Finance</v>
      </c>
      <c r="G303" t="str">
        <f t="shared" si="13"/>
        <v>Texas</v>
      </c>
      <c r="P303">
        <f t="shared" si="14"/>
        <v>62598.69</v>
      </c>
      <c r="Q303">
        <f>IF(PQ_Cleansing!L303="Excellent", P303 * 0.1, IF(PQ_Cleansing!L303="Good", P303 * 0.05, IF(PQ_Cleansing!L303="Average", P303 * 0.02, IF(PQ_Cleansing!L303="Poor", 0, 0))))</f>
        <v>1251.9738</v>
      </c>
      <c r="R303">
        <f>IFERROR(VALUE(SUBSTITUTE(SUBSTITUTE(PQ_Cleansing!I303, "$", ""), ",", "")), "")</f>
        <v>62598.69</v>
      </c>
    </row>
    <row r="304" spans="1:18" x14ac:dyDescent="0.25">
      <c r="A304" t="str">
        <f>PROPER(TRIM(CLEAN(RAW_DATA!A304)))</f>
        <v>Emp1302</v>
      </c>
      <c r="B304" t="str">
        <f>RAW_DATA!B304</f>
        <v>Grace</v>
      </c>
      <c r="C304" t="str">
        <f>RAW_DATA!C304</f>
        <v>Williams</v>
      </c>
      <c r="D304">
        <f>RAW_DATA!D304</f>
        <v>35</v>
      </c>
      <c r="E304" t="str">
        <f>RAW_DATA!E304</f>
        <v>Finance-Florida</v>
      </c>
      <c r="F304" t="str">
        <f t="shared" si="12"/>
        <v>Finance</v>
      </c>
      <c r="G304" t="str">
        <f t="shared" si="13"/>
        <v>Florida</v>
      </c>
      <c r="P304">
        <f t="shared" si="14"/>
        <v>55617.5</v>
      </c>
      <c r="Q304">
        <f>IF(PQ_Cleansing!L304="Excellent", P304 * 0.1, IF(PQ_Cleansing!L304="Good", P304 * 0.05, IF(PQ_Cleansing!L304="Average", P304 * 0.02, IF(PQ_Cleansing!L304="Poor", 0, 0))))</f>
        <v>5561.75</v>
      </c>
      <c r="R304">
        <f>IFERROR(VALUE(SUBSTITUTE(SUBSTITUTE(PQ_Cleansing!I304, "$", ""), ",", "")), "")</f>
        <v>55617.5</v>
      </c>
    </row>
    <row r="305" spans="1:18" x14ac:dyDescent="0.25">
      <c r="A305" t="str">
        <f>PROPER(TRIM(CLEAN(RAW_DATA!A305)))</f>
        <v>Emp1303</v>
      </c>
      <c r="B305" t="str">
        <f>RAW_DATA!B305</f>
        <v>Charlie</v>
      </c>
      <c r="C305" t="str">
        <f>RAW_DATA!C305</f>
        <v>Miller</v>
      </c>
      <c r="D305">
        <f>RAW_DATA!D305</f>
        <v>35</v>
      </c>
      <c r="E305" t="str">
        <f>RAW_DATA!E305</f>
        <v>Cloud Tech-New York</v>
      </c>
      <c r="F305" t="str">
        <f t="shared" si="12"/>
        <v>Cloud Tech</v>
      </c>
      <c r="G305" t="str">
        <f t="shared" si="13"/>
        <v>New York</v>
      </c>
      <c r="P305">
        <f t="shared" si="14"/>
        <v>87018.98</v>
      </c>
      <c r="Q305">
        <f>IF(PQ_Cleansing!L305="Excellent", P305 * 0.1, IF(PQ_Cleansing!L305="Good", P305 * 0.05, IF(PQ_Cleansing!L305="Average", P305 * 0.02, IF(PQ_Cleansing!L305="Poor", 0, 0))))</f>
        <v>4350.9489999999996</v>
      </c>
      <c r="R305">
        <f>IFERROR(VALUE(SUBSTITUTE(SUBSTITUTE(PQ_Cleansing!I305, "$", ""), ",", "")), "")</f>
        <v>87018.98</v>
      </c>
    </row>
    <row r="306" spans="1:18" x14ac:dyDescent="0.25">
      <c r="A306" t="str">
        <f>PROPER(TRIM(CLEAN(RAW_DATA!A306)))</f>
        <v>Emp1304</v>
      </c>
      <c r="B306" t="str">
        <f>RAW_DATA!B306</f>
        <v>David</v>
      </c>
      <c r="C306" t="str">
        <f>RAW_DATA!C306</f>
        <v>Johnson</v>
      </c>
      <c r="D306">
        <f>RAW_DATA!D306</f>
        <v>25</v>
      </c>
      <c r="E306" t="str">
        <f>RAW_DATA!E306</f>
        <v>Cloud Tech-California</v>
      </c>
      <c r="F306" t="str">
        <f t="shared" si="12"/>
        <v>Cloud Tech</v>
      </c>
      <c r="G306" t="str">
        <f t="shared" si="13"/>
        <v>California</v>
      </c>
      <c r="P306">
        <f t="shared" si="14"/>
        <v>100336.58</v>
      </c>
      <c r="Q306">
        <f>IF(PQ_Cleansing!L306="Excellent", P306 * 0.1, IF(PQ_Cleansing!L306="Good", P306 * 0.05, IF(PQ_Cleansing!L306="Average", P306 * 0.02, IF(PQ_Cleansing!L306="Poor", 0, 0))))</f>
        <v>10033.658000000001</v>
      </c>
      <c r="R306">
        <f>IFERROR(VALUE(SUBSTITUTE(SUBSTITUTE(PQ_Cleansing!I306, "$", ""), ",", "")), "")</f>
        <v>100336.58</v>
      </c>
    </row>
    <row r="307" spans="1:18" x14ac:dyDescent="0.25">
      <c r="A307" t="str">
        <f>PROPER(TRIM(CLEAN(RAW_DATA!A307)))</f>
        <v>Emp1305</v>
      </c>
      <c r="B307" t="str">
        <f>RAW_DATA!B307</f>
        <v>Grace</v>
      </c>
      <c r="C307" t="str">
        <f>RAW_DATA!C307</f>
        <v>Jones</v>
      </c>
      <c r="D307">
        <f>RAW_DATA!D307</f>
        <v>30</v>
      </c>
      <c r="E307" t="str">
        <f>RAW_DATA!E307</f>
        <v>Admin-Florida</v>
      </c>
      <c r="F307" t="str">
        <f t="shared" si="12"/>
        <v>Admin</v>
      </c>
      <c r="G307" t="str">
        <f t="shared" si="13"/>
        <v>Florida</v>
      </c>
      <c r="P307">
        <f t="shared" si="14"/>
        <v>69295.48</v>
      </c>
      <c r="Q307">
        <f>IF(PQ_Cleansing!L307="Excellent", P307 * 0.1, IF(PQ_Cleansing!L307="Good", P307 * 0.05, IF(PQ_Cleansing!L307="Average", P307 * 0.02, IF(PQ_Cleansing!L307="Poor", 0, 0))))</f>
        <v>6929.5479999999998</v>
      </c>
      <c r="R307">
        <f>IFERROR(VALUE(SUBSTITUTE(SUBSTITUTE(PQ_Cleansing!I307, "$", ""), ",", "")), "")</f>
        <v>69295.48</v>
      </c>
    </row>
    <row r="308" spans="1:18" x14ac:dyDescent="0.25">
      <c r="A308" t="str">
        <f>PROPER(TRIM(CLEAN(RAW_DATA!A308)))</f>
        <v>Emp1306</v>
      </c>
      <c r="B308" t="str">
        <f>RAW_DATA!B308</f>
        <v>Bob</v>
      </c>
      <c r="C308" t="str">
        <f>RAW_DATA!C308</f>
        <v>Brown</v>
      </c>
      <c r="D308">
        <f>RAW_DATA!D308</f>
        <v>25</v>
      </c>
      <c r="E308" t="str">
        <f>RAW_DATA!E308</f>
        <v>DevOps-Florida</v>
      </c>
      <c r="F308" t="str">
        <f t="shared" si="12"/>
        <v>DevOps</v>
      </c>
      <c r="G308" t="str">
        <f t="shared" si="13"/>
        <v>Florida</v>
      </c>
      <c r="P308">
        <f t="shared" si="14"/>
        <v>115536.66</v>
      </c>
      <c r="Q308">
        <f>IF(PQ_Cleansing!L308="Excellent", P308 * 0.1, IF(PQ_Cleansing!L308="Good", P308 * 0.05, IF(PQ_Cleansing!L308="Average", P308 * 0.02, IF(PQ_Cleansing!L308="Poor", 0, 0))))</f>
        <v>11553.666000000001</v>
      </c>
      <c r="R308">
        <f>IFERROR(VALUE(SUBSTITUTE(SUBSTITUTE(PQ_Cleansing!I308, "$", ""), ",", "")), "")</f>
        <v>115536.66</v>
      </c>
    </row>
    <row r="309" spans="1:18" x14ac:dyDescent="0.25">
      <c r="A309" t="str">
        <f>PROPER(TRIM(CLEAN(RAW_DATA!A309)))</f>
        <v>Emp1307</v>
      </c>
      <c r="B309" t="str">
        <f>RAW_DATA!B309</f>
        <v>David</v>
      </c>
      <c r="C309" t="str">
        <f>RAW_DATA!C309</f>
        <v>Johnson</v>
      </c>
      <c r="D309">
        <f>RAW_DATA!D309</f>
        <v>30</v>
      </c>
      <c r="E309" t="str">
        <f>RAW_DATA!E309</f>
        <v>Cloud Tech-Texas</v>
      </c>
      <c r="F309" t="str">
        <f t="shared" si="12"/>
        <v>Cloud Tech</v>
      </c>
      <c r="G309" t="str">
        <f t="shared" si="13"/>
        <v>Texas</v>
      </c>
      <c r="P309">
        <f t="shared" si="14"/>
        <v>81250.87</v>
      </c>
      <c r="Q309">
        <f>IF(PQ_Cleansing!L309="Excellent", P309 * 0.1, IF(PQ_Cleansing!L309="Good", P309 * 0.05, IF(PQ_Cleansing!L309="Average", P309 * 0.02, IF(PQ_Cleansing!L309="Poor", 0, 0))))</f>
        <v>8125.0869999999995</v>
      </c>
      <c r="R309">
        <f>IFERROR(VALUE(SUBSTITUTE(SUBSTITUTE(PQ_Cleansing!I309, "$", ""), ",", "")), "")</f>
        <v>81250.87</v>
      </c>
    </row>
    <row r="310" spans="1:18" x14ac:dyDescent="0.25">
      <c r="A310" t="str">
        <f>PROPER(TRIM(CLEAN(RAW_DATA!A310)))</f>
        <v>Emp1308</v>
      </c>
      <c r="B310" t="str">
        <f>RAW_DATA!B310</f>
        <v>Alice</v>
      </c>
      <c r="C310" t="str">
        <f>RAW_DATA!C310</f>
        <v>Garcia</v>
      </c>
      <c r="D310">
        <f>RAW_DATA!D310</f>
        <v>30</v>
      </c>
      <c r="E310" t="str">
        <f>RAW_DATA!E310</f>
        <v>DevOps-Texas</v>
      </c>
      <c r="F310" t="str">
        <f t="shared" si="12"/>
        <v>DevOps</v>
      </c>
      <c r="G310" t="str">
        <f t="shared" si="13"/>
        <v>Texas</v>
      </c>
      <c r="P310">
        <f t="shared" si="14"/>
        <v>66403.75</v>
      </c>
      <c r="Q310">
        <f>IF(PQ_Cleansing!L310="Excellent", P310 * 0.1, IF(PQ_Cleansing!L310="Good", P310 * 0.05, IF(PQ_Cleansing!L310="Average", P310 * 0.02, IF(PQ_Cleansing!L310="Poor", 0, 0))))</f>
        <v>3320.1875</v>
      </c>
      <c r="R310">
        <f>IFERROR(VALUE(SUBSTITUTE(SUBSTITUTE(PQ_Cleansing!I310, "$", ""), ",", "")), "")</f>
        <v>66403.75</v>
      </c>
    </row>
    <row r="311" spans="1:18" x14ac:dyDescent="0.25">
      <c r="A311" t="str">
        <f>PROPER(TRIM(CLEAN(RAW_DATA!A311)))</f>
        <v>Emp1309</v>
      </c>
      <c r="B311" t="str">
        <f>RAW_DATA!B311</f>
        <v>Alice</v>
      </c>
      <c r="C311" t="str">
        <f>RAW_DATA!C311</f>
        <v>Miller</v>
      </c>
      <c r="D311">
        <f>RAW_DATA!D311</f>
        <v>30</v>
      </c>
      <c r="E311" t="str">
        <f>RAW_DATA!E311</f>
        <v>Sales-California</v>
      </c>
      <c r="F311" t="str">
        <f t="shared" si="12"/>
        <v>Sales</v>
      </c>
      <c r="G311" t="str">
        <f t="shared" si="13"/>
        <v>California</v>
      </c>
      <c r="P311">
        <f t="shared" si="14"/>
        <v>114147.79</v>
      </c>
      <c r="Q311">
        <f>IF(PQ_Cleansing!L311="Excellent", P311 * 0.1, IF(PQ_Cleansing!L311="Good", P311 * 0.05, IF(PQ_Cleansing!L311="Average", P311 * 0.02, IF(PQ_Cleansing!L311="Poor", 0, 0))))</f>
        <v>11414.779</v>
      </c>
      <c r="R311">
        <f>IFERROR(VALUE(SUBSTITUTE(SUBSTITUTE(PQ_Cleansing!I311, "$", ""), ",", "")), "")</f>
        <v>114147.79</v>
      </c>
    </row>
    <row r="312" spans="1:18" x14ac:dyDescent="0.25">
      <c r="A312" t="str">
        <f>PROPER(TRIM(CLEAN(RAW_DATA!A312)))</f>
        <v>Emp1310</v>
      </c>
      <c r="B312" t="str">
        <f>RAW_DATA!B312</f>
        <v>Frank</v>
      </c>
      <c r="C312" t="str">
        <f>RAW_DATA!C312</f>
        <v>Garcia</v>
      </c>
      <c r="D312">
        <f>RAW_DATA!D312</f>
        <v>30</v>
      </c>
      <c r="E312" t="str">
        <f>RAW_DATA!E312</f>
        <v>HR-New York</v>
      </c>
      <c r="F312" t="str">
        <f t="shared" si="12"/>
        <v>HR</v>
      </c>
      <c r="G312" t="str">
        <f t="shared" si="13"/>
        <v>New York</v>
      </c>
      <c r="P312">
        <f t="shared" si="14"/>
        <v>65472.99</v>
      </c>
      <c r="Q312">
        <f>IF(PQ_Cleansing!L312="Excellent", P312 * 0.1, IF(PQ_Cleansing!L312="Good", P312 * 0.05, IF(PQ_Cleansing!L312="Average", P312 * 0.02, IF(PQ_Cleansing!L312="Poor", 0, 0))))</f>
        <v>3273.6495</v>
      </c>
      <c r="R312">
        <f>IFERROR(VALUE(SUBSTITUTE(SUBSTITUTE(PQ_Cleansing!I312, "$", ""), ",", "")), "")</f>
        <v>65472.99</v>
      </c>
    </row>
    <row r="313" spans="1:18" x14ac:dyDescent="0.25">
      <c r="A313" t="str">
        <f>PROPER(TRIM(CLEAN(RAW_DATA!A313)))</f>
        <v>Emp1311</v>
      </c>
      <c r="B313" t="str">
        <f>RAW_DATA!B313</f>
        <v>Alice</v>
      </c>
      <c r="C313" t="str">
        <f>RAW_DATA!C313</f>
        <v>Davis</v>
      </c>
      <c r="D313">
        <f>RAW_DATA!D313</f>
        <v>0</v>
      </c>
      <c r="E313" t="str">
        <f>RAW_DATA!E313</f>
        <v>Sales-Nevada</v>
      </c>
      <c r="F313" t="str">
        <f t="shared" si="12"/>
        <v>Sales</v>
      </c>
      <c r="G313" t="str">
        <f t="shared" si="13"/>
        <v>Nevada</v>
      </c>
      <c r="P313">
        <f t="shared" si="14"/>
        <v>97512.51</v>
      </c>
      <c r="Q313">
        <f>IF(PQ_Cleansing!L313="Excellent", P313 * 0.1, IF(PQ_Cleansing!L313="Good", P313 * 0.05, IF(PQ_Cleansing!L313="Average", P313 * 0.02, IF(PQ_Cleansing!L313="Poor", 0, 0))))</f>
        <v>4875.6255000000001</v>
      </c>
      <c r="R313">
        <f>IFERROR(VALUE(SUBSTITUTE(SUBSTITUTE(PQ_Cleansing!I313, "$", ""), ",", "")), "")</f>
        <v>97512.51</v>
      </c>
    </row>
    <row r="314" spans="1:18" x14ac:dyDescent="0.25">
      <c r="A314" t="str">
        <f>PROPER(TRIM(CLEAN(RAW_DATA!A314)))</f>
        <v>Emp1312</v>
      </c>
      <c r="B314" t="str">
        <f>RAW_DATA!B314</f>
        <v>Alice</v>
      </c>
      <c r="C314" t="str">
        <f>RAW_DATA!C314</f>
        <v>Brown</v>
      </c>
      <c r="D314">
        <f>RAW_DATA!D314</f>
        <v>35</v>
      </c>
      <c r="E314" t="str">
        <f>RAW_DATA!E314</f>
        <v>DevOps-Nevada</v>
      </c>
      <c r="F314" t="str">
        <f t="shared" si="12"/>
        <v>DevOps</v>
      </c>
      <c r="G314" t="str">
        <f t="shared" si="13"/>
        <v>Nevada</v>
      </c>
      <c r="P314">
        <f t="shared" si="14"/>
        <v>86712.41</v>
      </c>
      <c r="Q314">
        <f>IF(PQ_Cleansing!L314="Excellent", P314 * 0.1, IF(PQ_Cleansing!L314="Good", P314 * 0.05, IF(PQ_Cleansing!L314="Average", P314 * 0.02, IF(PQ_Cleansing!L314="Poor", 0, 0))))</f>
        <v>1734.2482</v>
      </c>
      <c r="R314">
        <f>IFERROR(VALUE(SUBSTITUTE(SUBSTITUTE(PQ_Cleansing!I314, "$", ""), ",", "")), "")</f>
        <v>86712.41</v>
      </c>
    </row>
    <row r="315" spans="1:18" x14ac:dyDescent="0.25">
      <c r="A315" t="str">
        <f>PROPER(TRIM(CLEAN(RAW_DATA!A315)))</f>
        <v>Emp1313</v>
      </c>
      <c r="B315" t="str">
        <f>RAW_DATA!B315</f>
        <v>Grace</v>
      </c>
      <c r="C315" t="str">
        <f>RAW_DATA!C315</f>
        <v>Davis</v>
      </c>
      <c r="D315">
        <f>RAW_DATA!D315</f>
        <v>30</v>
      </c>
      <c r="E315" t="str">
        <f>RAW_DATA!E315</f>
        <v>HR-Florida</v>
      </c>
      <c r="F315" t="str">
        <f t="shared" si="12"/>
        <v>HR</v>
      </c>
      <c r="G315" t="str">
        <f t="shared" si="13"/>
        <v>Florida</v>
      </c>
      <c r="P315">
        <f t="shared" si="14"/>
        <v>87654.98</v>
      </c>
      <c r="Q315">
        <f>IF(PQ_Cleansing!L315="Excellent", P315 * 0.1, IF(PQ_Cleansing!L315="Good", P315 * 0.05, IF(PQ_Cleansing!L315="Average", P315 * 0.02, IF(PQ_Cleansing!L315="Poor", 0, 0))))</f>
        <v>0</v>
      </c>
      <c r="R315">
        <f>IFERROR(VALUE(SUBSTITUTE(SUBSTITUTE(PQ_Cleansing!I315, "$", ""), ",", "")), "")</f>
        <v>87654.98</v>
      </c>
    </row>
    <row r="316" spans="1:18" x14ac:dyDescent="0.25">
      <c r="A316" t="str">
        <f>PROPER(TRIM(CLEAN(RAW_DATA!A316)))</f>
        <v>Emp1314</v>
      </c>
      <c r="B316" t="str">
        <f>RAW_DATA!B316</f>
        <v>David</v>
      </c>
      <c r="C316" t="str">
        <f>RAW_DATA!C316</f>
        <v>Williams</v>
      </c>
      <c r="D316">
        <f>RAW_DATA!D316</f>
        <v>35</v>
      </c>
      <c r="E316" t="str">
        <f>RAW_DATA!E316</f>
        <v>DevOps-New York</v>
      </c>
      <c r="F316" t="str">
        <f t="shared" si="12"/>
        <v>DevOps</v>
      </c>
      <c r="G316" t="str">
        <f t="shared" si="13"/>
        <v>New York</v>
      </c>
      <c r="P316">
        <f t="shared" si="14"/>
        <v>89367.02</v>
      </c>
      <c r="Q316">
        <f>IF(PQ_Cleansing!L316="Excellent", P316 * 0.1, IF(PQ_Cleansing!L316="Good", P316 * 0.05, IF(PQ_Cleansing!L316="Average", P316 * 0.02, IF(PQ_Cleansing!L316="Poor", 0, 0))))</f>
        <v>0</v>
      </c>
      <c r="R316">
        <f>IFERROR(VALUE(SUBSTITUTE(SUBSTITUTE(PQ_Cleansing!I316, "$", ""), ",", "")), "")</f>
        <v>89367.02</v>
      </c>
    </row>
    <row r="317" spans="1:18" x14ac:dyDescent="0.25">
      <c r="A317" t="str">
        <f>PROPER(TRIM(CLEAN(RAW_DATA!A317)))</f>
        <v>Emp1315</v>
      </c>
      <c r="B317" t="str">
        <f>RAW_DATA!B317</f>
        <v>Charlie</v>
      </c>
      <c r="C317" t="str">
        <f>RAW_DATA!C317</f>
        <v>Garcia</v>
      </c>
      <c r="D317">
        <f>RAW_DATA!D317</f>
        <v>40</v>
      </c>
      <c r="E317" t="str">
        <f>RAW_DATA!E317</f>
        <v>Admin-California</v>
      </c>
      <c r="F317" t="str">
        <f t="shared" si="12"/>
        <v>Admin</v>
      </c>
      <c r="G317" t="str">
        <f t="shared" si="13"/>
        <v>California</v>
      </c>
      <c r="P317">
        <f t="shared" si="14"/>
        <v>95269.41</v>
      </c>
      <c r="Q317">
        <f>IF(PQ_Cleansing!L317="Excellent", P317 * 0.1, IF(PQ_Cleansing!L317="Good", P317 * 0.05, IF(PQ_Cleansing!L317="Average", P317 * 0.02, IF(PQ_Cleansing!L317="Poor", 0, 0))))</f>
        <v>4763.4705000000004</v>
      </c>
      <c r="R317">
        <f>IFERROR(VALUE(SUBSTITUTE(SUBSTITUTE(PQ_Cleansing!I317, "$", ""), ",", "")), "")</f>
        <v>95269.41</v>
      </c>
    </row>
    <row r="318" spans="1:18" x14ac:dyDescent="0.25">
      <c r="A318" t="str">
        <f>PROPER(TRIM(CLEAN(RAW_DATA!A318)))</f>
        <v>Emp1316</v>
      </c>
      <c r="B318" t="str">
        <f>RAW_DATA!B318</f>
        <v>Frank</v>
      </c>
      <c r="C318" t="str">
        <f>RAW_DATA!C318</f>
        <v>Williams</v>
      </c>
      <c r="D318">
        <f>RAW_DATA!D318</f>
        <v>25</v>
      </c>
      <c r="E318" t="str">
        <f>RAW_DATA!E318</f>
        <v>Sales-Nevada</v>
      </c>
      <c r="F318" t="str">
        <f t="shared" si="12"/>
        <v>Sales</v>
      </c>
      <c r="G318" t="str">
        <f t="shared" si="13"/>
        <v>Nevada</v>
      </c>
      <c r="P318">
        <f t="shared" si="14"/>
        <v>68792.31</v>
      </c>
      <c r="Q318">
        <f>IF(PQ_Cleansing!L318="Excellent", P318 * 0.1, IF(PQ_Cleansing!L318="Good", P318 * 0.05, IF(PQ_Cleansing!L318="Average", P318 * 0.02, IF(PQ_Cleansing!L318="Poor", 0, 0))))</f>
        <v>1375.8462</v>
      </c>
      <c r="R318">
        <f>IFERROR(VALUE(SUBSTITUTE(SUBSTITUTE(PQ_Cleansing!I318, "$", ""), ",", "")), "")</f>
        <v>68792.31</v>
      </c>
    </row>
    <row r="319" spans="1:18" x14ac:dyDescent="0.25">
      <c r="A319" t="str">
        <f>PROPER(TRIM(CLEAN(RAW_DATA!A319)))</f>
        <v>Emp1317</v>
      </c>
      <c r="B319" t="str">
        <f>RAW_DATA!B319</f>
        <v>Alice</v>
      </c>
      <c r="C319" t="str">
        <f>RAW_DATA!C319</f>
        <v>Smith</v>
      </c>
      <c r="D319">
        <f>RAW_DATA!D319</f>
        <v>25</v>
      </c>
      <c r="E319" t="str">
        <f>RAW_DATA!E319</f>
        <v>Admin-Illinois</v>
      </c>
      <c r="F319" t="str">
        <f t="shared" si="12"/>
        <v>Admin</v>
      </c>
      <c r="G319" t="str">
        <f t="shared" si="13"/>
        <v>Illinois</v>
      </c>
      <c r="P319">
        <f t="shared" si="14"/>
        <v>89119.53</v>
      </c>
      <c r="Q319">
        <f>IF(PQ_Cleansing!L319="Excellent", P319 * 0.1, IF(PQ_Cleansing!L319="Good", P319 * 0.05, IF(PQ_Cleansing!L319="Average", P319 * 0.02, IF(PQ_Cleansing!L319="Poor", 0, 0))))</f>
        <v>4455.9764999999998</v>
      </c>
      <c r="R319">
        <f>IFERROR(VALUE(SUBSTITUTE(SUBSTITUTE(PQ_Cleansing!I319, "$", ""), ",", "")), "")</f>
        <v>89119.53</v>
      </c>
    </row>
    <row r="320" spans="1:18" x14ac:dyDescent="0.25">
      <c r="A320" t="str">
        <f>PROPER(TRIM(CLEAN(RAW_DATA!A320)))</f>
        <v>Emp1318</v>
      </c>
      <c r="B320" t="str">
        <f>RAW_DATA!B320</f>
        <v>Frank</v>
      </c>
      <c r="C320" t="str">
        <f>RAW_DATA!C320</f>
        <v>Davis</v>
      </c>
      <c r="D320">
        <f>RAW_DATA!D320</f>
        <v>35</v>
      </c>
      <c r="E320" t="str">
        <f>RAW_DATA!E320</f>
        <v>Cloud Tech-New York</v>
      </c>
      <c r="F320" t="str">
        <f t="shared" si="12"/>
        <v>Cloud Tech</v>
      </c>
      <c r="G320" t="str">
        <f t="shared" si="13"/>
        <v>New York</v>
      </c>
      <c r="P320">
        <f t="shared" si="14"/>
        <v>58212.13</v>
      </c>
      <c r="Q320">
        <f>IF(PQ_Cleansing!L320="Excellent", P320 * 0.1, IF(PQ_Cleansing!L320="Good", P320 * 0.05, IF(PQ_Cleansing!L320="Average", P320 * 0.02, IF(PQ_Cleansing!L320="Poor", 0, 0))))</f>
        <v>2910.6064999999999</v>
      </c>
      <c r="R320">
        <f>IFERROR(VALUE(SUBSTITUTE(SUBSTITUTE(PQ_Cleansing!I320, "$", ""), ",", "")), "")</f>
        <v>58212.13</v>
      </c>
    </row>
    <row r="321" spans="1:18" x14ac:dyDescent="0.25">
      <c r="A321" t="str">
        <f>PROPER(TRIM(CLEAN(RAW_DATA!A321)))</f>
        <v>Emp1319</v>
      </c>
      <c r="B321" t="str">
        <f>RAW_DATA!B321</f>
        <v>Heidi</v>
      </c>
      <c r="C321" t="str">
        <f>RAW_DATA!C321</f>
        <v>Miller</v>
      </c>
      <c r="D321">
        <f>RAW_DATA!D321</f>
        <v>30</v>
      </c>
      <c r="E321" t="str">
        <f>RAW_DATA!E321</f>
        <v>DevOps-Illinois</v>
      </c>
      <c r="F321" t="str">
        <f t="shared" si="12"/>
        <v>DevOps</v>
      </c>
      <c r="G321" t="str">
        <f t="shared" si="13"/>
        <v>Illinois</v>
      </c>
      <c r="P321">
        <f t="shared" si="14"/>
        <v>77764.240000000005</v>
      </c>
      <c r="Q321">
        <f>IF(PQ_Cleansing!L321="Excellent", P321 * 0.1, IF(PQ_Cleansing!L321="Good", P321 * 0.05, IF(PQ_Cleansing!L321="Average", P321 * 0.02, IF(PQ_Cleansing!L321="Poor", 0, 0))))</f>
        <v>3888.2120000000004</v>
      </c>
      <c r="R321">
        <f>IFERROR(VALUE(SUBSTITUTE(SUBSTITUTE(PQ_Cleansing!I321, "$", ""), ",", "")), "")</f>
        <v>77764.240000000005</v>
      </c>
    </row>
    <row r="322" spans="1:18" x14ac:dyDescent="0.25">
      <c r="A322" t="str">
        <f>PROPER(TRIM(CLEAN(RAW_DATA!A322)))</f>
        <v>Emp1320</v>
      </c>
      <c r="B322" t="str">
        <f>RAW_DATA!B322</f>
        <v>Frank</v>
      </c>
      <c r="C322" t="str">
        <f>RAW_DATA!C322</f>
        <v>Garcia</v>
      </c>
      <c r="D322">
        <f>RAW_DATA!D322</f>
        <v>35</v>
      </c>
      <c r="E322" t="str">
        <f>RAW_DATA!E322</f>
        <v>Finance-Florida</v>
      </c>
      <c r="F322" t="str">
        <f t="shared" si="12"/>
        <v>Finance</v>
      </c>
      <c r="G322" t="str">
        <f t="shared" si="13"/>
        <v>Florida</v>
      </c>
      <c r="P322">
        <f t="shared" si="14"/>
        <v>75148.17</v>
      </c>
      <c r="Q322">
        <f>IF(PQ_Cleansing!L322="Excellent", P322 * 0.1, IF(PQ_Cleansing!L322="Good", P322 * 0.05, IF(PQ_Cleansing!L322="Average", P322 * 0.02, IF(PQ_Cleansing!L322="Poor", 0, 0))))</f>
        <v>1502.9634000000001</v>
      </c>
      <c r="R322">
        <f>IFERROR(VALUE(SUBSTITUTE(SUBSTITUTE(PQ_Cleansing!I322, "$", ""), ",", "")), "")</f>
        <v>75148.17</v>
      </c>
    </row>
    <row r="323" spans="1:18" x14ac:dyDescent="0.25">
      <c r="A323" t="str">
        <f>PROPER(TRIM(CLEAN(RAW_DATA!A323)))</f>
        <v>Emp1321</v>
      </c>
      <c r="B323" t="str">
        <f>RAW_DATA!B323</f>
        <v>Heidi</v>
      </c>
      <c r="C323" t="str">
        <f>RAW_DATA!C323</f>
        <v>Jones</v>
      </c>
      <c r="D323">
        <f>RAW_DATA!D323</f>
        <v>40</v>
      </c>
      <c r="E323" t="str">
        <f>RAW_DATA!E323</f>
        <v>Cloud Tech-Nevada</v>
      </c>
      <c r="F323" t="str">
        <f t="shared" ref="F323:F386" si="15">LEFT(E323, FIND("-", E323) - 1)</f>
        <v>Cloud Tech</v>
      </c>
      <c r="G323" t="str">
        <f t="shared" ref="G323:G386" si="16">RIGHT(E323, LEN(E323) - FIND("-",E323))</f>
        <v>Nevada</v>
      </c>
      <c r="P323">
        <f t="shared" ref="P323:P386" si="17">IF(ISNUMBER(R323), R323, AVERAGEIF($R$2:$R$1000, "&gt;0"))</f>
        <v>108781.18</v>
      </c>
      <c r="Q323">
        <f>IF(PQ_Cleansing!L323="Excellent", P323 * 0.1, IF(PQ_Cleansing!L323="Good", P323 * 0.05, IF(PQ_Cleansing!L323="Average", P323 * 0.02, IF(PQ_Cleansing!L323="Poor", 0, 0))))</f>
        <v>0</v>
      </c>
      <c r="R323">
        <f>IFERROR(VALUE(SUBSTITUTE(SUBSTITUTE(PQ_Cleansing!I323, "$", ""), ",", "")), "")</f>
        <v>108781.18</v>
      </c>
    </row>
    <row r="324" spans="1:18" x14ac:dyDescent="0.25">
      <c r="A324" t="str">
        <f>PROPER(TRIM(CLEAN(RAW_DATA!A324)))</f>
        <v>Emp1322</v>
      </c>
      <c r="B324" t="str">
        <f>RAW_DATA!B324</f>
        <v>Frank</v>
      </c>
      <c r="C324" t="str">
        <f>RAW_DATA!C324</f>
        <v>Brown</v>
      </c>
      <c r="D324">
        <f>RAW_DATA!D324</f>
        <v>35</v>
      </c>
      <c r="E324" t="str">
        <f>RAW_DATA!E324</f>
        <v>Finance-Texas</v>
      </c>
      <c r="F324" t="str">
        <f t="shared" si="15"/>
        <v>Finance</v>
      </c>
      <c r="G324" t="str">
        <f t="shared" si="16"/>
        <v>Texas</v>
      </c>
      <c r="P324">
        <f t="shared" si="17"/>
        <v>65489.19</v>
      </c>
      <c r="Q324">
        <f>IF(PQ_Cleansing!L324="Excellent", P324 * 0.1, IF(PQ_Cleansing!L324="Good", P324 * 0.05, IF(PQ_Cleansing!L324="Average", P324 * 0.02, IF(PQ_Cleansing!L324="Poor", 0, 0))))</f>
        <v>1309.7838000000002</v>
      </c>
      <c r="R324">
        <f>IFERROR(VALUE(SUBSTITUTE(SUBSTITUTE(PQ_Cleansing!I324, "$", ""), ",", "")), "")</f>
        <v>65489.19</v>
      </c>
    </row>
    <row r="325" spans="1:18" x14ac:dyDescent="0.25">
      <c r="A325" t="str">
        <f>PROPER(TRIM(CLEAN(RAW_DATA!A325)))</f>
        <v>Emp1323</v>
      </c>
      <c r="B325" t="str">
        <f>RAW_DATA!B325</f>
        <v>Eva</v>
      </c>
      <c r="C325" t="str">
        <f>RAW_DATA!C325</f>
        <v>Johnson</v>
      </c>
      <c r="D325">
        <f>RAW_DATA!D325</f>
        <v>0</v>
      </c>
      <c r="E325" t="str">
        <f>RAW_DATA!E325</f>
        <v>Sales-Illinois</v>
      </c>
      <c r="F325" t="str">
        <f t="shared" si="15"/>
        <v>Sales</v>
      </c>
      <c r="G325" t="str">
        <f t="shared" si="16"/>
        <v>Illinois</v>
      </c>
      <c r="P325">
        <f t="shared" si="17"/>
        <v>70663.460000000006</v>
      </c>
      <c r="Q325">
        <f>IF(PQ_Cleansing!L325="Excellent", P325 * 0.1, IF(PQ_Cleansing!L325="Good", P325 * 0.05, IF(PQ_Cleansing!L325="Average", P325 * 0.02, IF(PQ_Cleansing!L325="Poor", 0, 0))))</f>
        <v>7066.3460000000014</v>
      </c>
      <c r="R325">
        <f>IFERROR(VALUE(SUBSTITUTE(SUBSTITUTE(PQ_Cleansing!I325, "$", ""), ",", "")), "")</f>
        <v>70663.460000000006</v>
      </c>
    </row>
    <row r="326" spans="1:18" x14ac:dyDescent="0.25">
      <c r="A326" t="str">
        <f>PROPER(TRIM(CLEAN(RAW_DATA!A326)))</f>
        <v>Emp1324</v>
      </c>
      <c r="B326" t="str">
        <f>RAW_DATA!B326</f>
        <v>David</v>
      </c>
      <c r="C326" t="str">
        <f>RAW_DATA!C326</f>
        <v>Miller</v>
      </c>
      <c r="D326">
        <f>RAW_DATA!D326</f>
        <v>40</v>
      </c>
      <c r="E326" t="str">
        <f>RAW_DATA!E326</f>
        <v>Sales-New York</v>
      </c>
      <c r="F326" t="str">
        <f t="shared" si="15"/>
        <v>Sales</v>
      </c>
      <c r="G326" t="str">
        <f t="shared" si="16"/>
        <v>New York</v>
      </c>
      <c r="P326">
        <f t="shared" si="17"/>
        <v>95822.56</v>
      </c>
      <c r="Q326">
        <f>IF(PQ_Cleansing!L326="Excellent", P326 * 0.1, IF(PQ_Cleansing!L326="Good", P326 * 0.05, IF(PQ_Cleansing!L326="Average", P326 * 0.02, IF(PQ_Cleansing!L326="Poor", 0, 0))))</f>
        <v>1916.4512</v>
      </c>
      <c r="R326">
        <f>IFERROR(VALUE(SUBSTITUTE(SUBSTITUTE(PQ_Cleansing!I326, "$", ""), ",", "")), "")</f>
        <v>95822.56</v>
      </c>
    </row>
    <row r="327" spans="1:18" x14ac:dyDescent="0.25">
      <c r="A327" t="str">
        <f>PROPER(TRIM(CLEAN(RAW_DATA!A327)))</f>
        <v>Emp1325</v>
      </c>
      <c r="B327" t="str">
        <f>RAW_DATA!B327</f>
        <v>Eva</v>
      </c>
      <c r="C327" t="str">
        <f>RAW_DATA!C327</f>
        <v>Miller</v>
      </c>
      <c r="D327">
        <f>RAW_DATA!D327</f>
        <v>40</v>
      </c>
      <c r="E327" t="str">
        <f>RAW_DATA!E327</f>
        <v>DevOps-Nevada</v>
      </c>
      <c r="F327" t="str">
        <f t="shared" si="15"/>
        <v>DevOps</v>
      </c>
      <c r="G327" t="str">
        <f t="shared" si="16"/>
        <v>Nevada</v>
      </c>
      <c r="P327">
        <f t="shared" si="17"/>
        <v>82258.03</v>
      </c>
      <c r="Q327">
        <f>IF(PQ_Cleansing!L327="Excellent", P327 * 0.1, IF(PQ_Cleansing!L327="Good", P327 * 0.05, IF(PQ_Cleansing!L327="Average", P327 * 0.02, IF(PQ_Cleansing!L327="Poor", 0, 0))))</f>
        <v>1645.1605999999999</v>
      </c>
      <c r="R327">
        <f>IFERROR(VALUE(SUBSTITUTE(SUBSTITUTE(PQ_Cleansing!I327, "$", ""), ",", "")), "")</f>
        <v>82258.03</v>
      </c>
    </row>
    <row r="328" spans="1:18" x14ac:dyDescent="0.25">
      <c r="A328" t="str">
        <f>PROPER(TRIM(CLEAN(RAW_DATA!A328)))</f>
        <v>Emp1326</v>
      </c>
      <c r="B328" t="str">
        <f>RAW_DATA!B328</f>
        <v>Frank</v>
      </c>
      <c r="C328" t="str">
        <f>RAW_DATA!C328</f>
        <v>Williams</v>
      </c>
      <c r="D328">
        <f>RAW_DATA!D328</f>
        <v>30</v>
      </c>
      <c r="E328" t="str">
        <f>RAW_DATA!E328</f>
        <v>Admin-Nevada</v>
      </c>
      <c r="F328" t="str">
        <f t="shared" si="15"/>
        <v>Admin</v>
      </c>
      <c r="G328" t="str">
        <f t="shared" si="16"/>
        <v>Nevada</v>
      </c>
      <c r="P328">
        <f t="shared" si="17"/>
        <v>62883.34</v>
      </c>
      <c r="Q328">
        <f>IF(PQ_Cleansing!L328="Excellent", P328 * 0.1, IF(PQ_Cleansing!L328="Good", P328 * 0.05, IF(PQ_Cleansing!L328="Average", P328 * 0.02, IF(PQ_Cleansing!L328="Poor", 0, 0))))</f>
        <v>1257.6668</v>
      </c>
      <c r="R328">
        <f>IFERROR(VALUE(SUBSTITUTE(SUBSTITUTE(PQ_Cleansing!I328, "$", ""), ",", "")), "")</f>
        <v>62883.34</v>
      </c>
    </row>
    <row r="329" spans="1:18" x14ac:dyDescent="0.25">
      <c r="A329" t="str">
        <f>PROPER(TRIM(CLEAN(RAW_DATA!A329)))</f>
        <v>Emp1327</v>
      </c>
      <c r="B329" t="str">
        <f>RAW_DATA!B329</f>
        <v>Alice</v>
      </c>
      <c r="C329" t="str">
        <f>RAW_DATA!C329</f>
        <v>Davis</v>
      </c>
      <c r="D329">
        <f>RAW_DATA!D329</f>
        <v>0</v>
      </c>
      <c r="E329" t="str">
        <f>RAW_DATA!E329</f>
        <v>Cloud Tech-Texas</v>
      </c>
      <c r="F329" t="str">
        <f t="shared" si="15"/>
        <v>Cloud Tech</v>
      </c>
      <c r="G329" t="str">
        <f t="shared" si="16"/>
        <v>Texas</v>
      </c>
      <c r="P329">
        <f t="shared" si="17"/>
        <v>103503.72</v>
      </c>
      <c r="Q329">
        <f>IF(PQ_Cleansing!L329="Excellent", P329 * 0.1, IF(PQ_Cleansing!L329="Good", P329 * 0.05, IF(PQ_Cleansing!L329="Average", P329 * 0.02, IF(PQ_Cleansing!L329="Poor", 0, 0))))</f>
        <v>2070.0744</v>
      </c>
      <c r="R329">
        <f>IFERROR(VALUE(SUBSTITUTE(SUBSTITUTE(PQ_Cleansing!I329, "$", ""), ",", "")), "")</f>
        <v>103503.72</v>
      </c>
    </row>
    <row r="330" spans="1:18" x14ac:dyDescent="0.25">
      <c r="A330" t="str">
        <f>PROPER(TRIM(CLEAN(RAW_DATA!A330)))</f>
        <v>Emp1328</v>
      </c>
      <c r="B330" t="str">
        <f>RAW_DATA!B330</f>
        <v>David</v>
      </c>
      <c r="C330" t="str">
        <f>RAW_DATA!C330</f>
        <v>Garcia</v>
      </c>
      <c r="D330">
        <f>RAW_DATA!D330</f>
        <v>25</v>
      </c>
      <c r="E330" t="str">
        <f>RAW_DATA!E330</f>
        <v>DevOps-New York</v>
      </c>
      <c r="F330" t="str">
        <f t="shared" si="15"/>
        <v>DevOps</v>
      </c>
      <c r="G330" t="str">
        <f t="shared" si="16"/>
        <v>New York</v>
      </c>
      <c r="P330">
        <f t="shared" si="17"/>
        <v>85401.3</v>
      </c>
      <c r="Q330">
        <f>IF(PQ_Cleansing!L330="Excellent", P330 * 0.1, IF(PQ_Cleansing!L330="Good", P330 * 0.05, IF(PQ_Cleansing!L330="Average", P330 * 0.02, IF(PQ_Cleansing!L330="Poor", 0, 0))))</f>
        <v>0</v>
      </c>
      <c r="R330">
        <f>IFERROR(VALUE(SUBSTITUTE(SUBSTITUTE(PQ_Cleansing!I330, "$", ""), ",", "")), "")</f>
        <v>85401.3</v>
      </c>
    </row>
    <row r="331" spans="1:18" x14ac:dyDescent="0.25">
      <c r="A331" t="str">
        <f>PROPER(TRIM(CLEAN(RAW_DATA!A331)))</f>
        <v>Emp1329</v>
      </c>
      <c r="B331" t="str">
        <f>RAW_DATA!B331</f>
        <v>Heidi</v>
      </c>
      <c r="C331" t="str">
        <f>RAW_DATA!C331</f>
        <v>Garcia</v>
      </c>
      <c r="D331">
        <f>RAW_DATA!D331</f>
        <v>40</v>
      </c>
      <c r="E331" t="str">
        <f>RAW_DATA!E331</f>
        <v>Cloud Tech-Texas</v>
      </c>
      <c r="F331" t="str">
        <f t="shared" si="15"/>
        <v>Cloud Tech</v>
      </c>
      <c r="G331" t="str">
        <f t="shared" si="16"/>
        <v>Texas</v>
      </c>
      <c r="P331">
        <f t="shared" si="17"/>
        <v>85268.279969293711</v>
      </c>
      <c r="Q331">
        <f>IF(PQ_Cleansing!L331="Excellent", P331 * 0.1, IF(PQ_Cleansing!L331="Good", P331 * 0.05, IF(PQ_Cleansing!L331="Average", P331 * 0.02, IF(PQ_Cleansing!L331="Poor", 0, 0))))</f>
        <v>8526.8279969293708</v>
      </c>
      <c r="R331" t="str">
        <f>IFERROR(VALUE(SUBSTITUTE(SUBSTITUTE(PQ_Cleansing!I331, "$", ""), ",", "")), "")</f>
        <v/>
      </c>
    </row>
    <row r="332" spans="1:18" x14ac:dyDescent="0.25">
      <c r="A332" t="str">
        <f>PROPER(TRIM(CLEAN(RAW_DATA!A332)))</f>
        <v>Emp1330</v>
      </c>
      <c r="B332" t="str">
        <f>RAW_DATA!B332</f>
        <v>Eva</v>
      </c>
      <c r="C332" t="str">
        <f>RAW_DATA!C332</f>
        <v>Smith</v>
      </c>
      <c r="D332">
        <f>RAW_DATA!D332</f>
        <v>0</v>
      </c>
      <c r="E332" t="str">
        <f>RAW_DATA!E332</f>
        <v>HR-Texas</v>
      </c>
      <c r="F332" t="str">
        <f t="shared" si="15"/>
        <v>HR</v>
      </c>
      <c r="G332" t="str">
        <f t="shared" si="16"/>
        <v>Texas</v>
      </c>
      <c r="P332">
        <f t="shared" si="17"/>
        <v>98850.14</v>
      </c>
      <c r="Q332">
        <f>IF(PQ_Cleansing!L332="Excellent", P332 * 0.1, IF(PQ_Cleansing!L332="Good", P332 * 0.05, IF(PQ_Cleansing!L332="Average", P332 * 0.02, IF(PQ_Cleansing!L332="Poor", 0, 0))))</f>
        <v>0</v>
      </c>
      <c r="R332">
        <f>IFERROR(VALUE(SUBSTITUTE(SUBSTITUTE(PQ_Cleansing!I332, "$", ""), ",", "")), "")</f>
        <v>98850.14</v>
      </c>
    </row>
    <row r="333" spans="1:18" x14ac:dyDescent="0.25">
      <c r="A333" t="str">
        <f>PROPER(TRIM(CLEAN(RAW_DATA!A333)))</f>
        <v>Emp1331</v>
      </c>
      <c r="B333" t="str">
        <f>RAW_DATA!B333</f>
        <v>Charlie</v>
      </c>
      <c r="C333" t="str">
        <f>RAW_DATA!C333</f>
        <v>Smith</v>
      </c>
      <c r="D333">
        <f>RAW_DATA!D333</f>
        <v>25</v>
      </c>
      <c r="E333" t="str">
        <f>RAW_DATA!E333</f>
        <v>Cloud Tech-Illinois</v>
      </c>
      <c r="F333" t="str">
        <f t="shared" si="15"/>
        <v>Cloud Tech</v>
      </c>
      <c r="G333" t="str">
        <f t="shared" si="16"/>
        <v>Illinois</v>
      </c>
      <c r="P333">
        <f t="shared" si="17"/>
        <v>63435.24</v>
      </c>
      <c r="Q333">
        <f>IF(PQ_Cleansing!L333="Excellent", P333 * 0.1, IF(PQ_Cleansing!L333="Good", P333 * 0.05, IF(PQ_Cleansing!L333="Average", P333 * 0.02, IF(PQ_Cleansing!L333="Poor", 0, 0))))</f>
        <v>0</v>
      </c>
      <c r="R333">
        <f>IFERROR(VALUE(SUBSTITUTE(SUBSTITUTE(PQ_Cleansing!I333, "$", ""), ",", "")), "")</f>
        <v>63435.24</v>
      </c>
    </row>
    <row r="334" spans="1:18" x14ac:dyDescent="0.25">
      <c r="A334" t="str">
        <f>PROPER(TRIM(CLEAN(RAW_DATA!A334)))</f>
        <v>Emp1332</v>
      </c>
      <c r="B334" t="str">
        <f>RAW_DATA!B334</f>
        <v>Frank</v>
      </c>
      <c r="C334" t="str">
        <f>RAW_DATA!C334</f>
        <v>Brown</v>
      </c>
      <c r="D334">
        <f>RAW_DATA!D334</f>
        <v>35</v>
      </c>
      <c r="E334" t="str">
        <f>RAW_DATA!E334</f>
        <v>Finance-Texas</v>
      </c>
      <c r="F334" t="str">
        <f t="shared" si="15"/>
        <v>Finance</v>
      </c>
      <c r="G334" t="str">
        <f t="shared" si="16"/>
        <v>Texas</v>
      </c>
      <c r="P334">
        <f t="shared" si="17"/>
        <v>82129.84</v>
      </c>
      <c r="Q334">
        <f>IF(PQ_Cleansing!L334="Excellent", P334 * 0.1, IF(PQ_Cleansing!L334="Good", P334 * 0.05, IF(PQ_Cleansing!L334="Average", P334 * 0.02, IF(PQ_Cleansing!L334="Poor", 0, 0))))</f>
        <v>1642.5968</v>
      </c>
      <c r="R334">
        <f>IFERROR(VALUE(SUBSTITUTE(SUBSTITUTE(PQ_Cleansing!I334, "$", ""), ",", "")), "")</f>
        <v>82129.84</v>
      </c>
    </row>
    <row r="335" spans="1:18" x14ac:dyDescent="0.25">
      <c r="A335" t="str">
        <f>PROPER(TRIM(CLEAN(RAW_DATA!A335)))</f>
        <v>Emp1333</v>
      </c>
      <c r="B335" t="str">
        <f>RAW_DATA!B335</f>
        <v>David</v>
      </c>
      <c r="C335" t="str">
        <f>RAW_DATA!C335</f>
        <v>Williams</v>
      </c>
      <c r="D335">
        <f>RAW_DATA!D335</f>
        <v>35</v>
      </c>
      <c r="E335" t="str">
        <f>RAW_DATA!E335</f>
        <v>DevOps-Texas</v>
      </c>
      <c r="F335" t="str">
        <f t="shared" si="15"/>
        <v>DevOps</v>
      </c>
      <c r="G335" t="str">
        <f t="shared" si="16"/>
        <v>Texas</v>
      </c>
      <c r="P335">
        <f t="shared" si="17"/>
        <v>95492.61</v>
      </c>
      <c r="Q335">
        <f>IF(PQ_Cleansing!L335="Excellent", P335 * 0.1, IF(PQ_Cleansing!L335="Good", P335 * 0.05, IF(PQ_Cleansing!L335="Average", P335 * 0.02, IF(PQ_Cleansing!L335="Poor", 0, 0))))</f>
        <v>4774.6305000000002</v>
      </c>
      <c r="R335">
        <f>IFERROR(VALUE(SUBSTITUTE(SUBSTITUTE(PQ_Cleansing!I335, "$", ""), ",", "")), "")</f>
        <v>95492.61</v>
      </c>
    </row>
    <row r="336" spans="1:18" x14ac:dyDescent="0.25">
      <c r="A336" t="str">
        <f>PROPER(TRIM(CLEAN(RAW_DATA!A336)))</f>
        <v>Emp1334</v>
      </c>
      <c r="B336" t="str">
        <f>RAW_DATA!B336</f>
        <v>Grace</v>
      </c>
      <c r="C336" t="str">
        <f>RAW_DATA!C336</f>
        <v>Miller</v>
      </c>
      <c r="D336">
        <f>RAW_DATA!D336</f>
        <v>40</v>
      </c>
      <c r="E336" t="str">
        <f>RAW_DATA!E336</f>
        <v>Finance-Illinois</v>
      </c>
      <c r="F336" t="str">
        <f t="shared" si="15"/>
        <v>Finance</v>
      </c>
      <c r="G336" t="str">
        <f t="shared" si="16"/>
        <v>Illinois</v>
      </c>
      <c r="P336">
        <f t="shared" si="17"/>
        <v>94572.37</v>
      </c>
      <c r="Q336">
        <f>IF(PQ_Cleansing!L336="Excellent", P336 * 0.1, IF(PQ_Cleansing!L336="Good", P336 * 0.05, IF(PQ_Cleansing!L336="Average", P336 * 0.02, IF(PQ_Cleansing!L336="Poor", 0, 0))))</f>
        <v>4728.6184999999996</v>
      </c>
      <c r="R336">
        <f>IFERROR(VALUE(SUBSTITUTE(SUBSTITUTE(PQ_Cleansing!I336, "$", ""), ",", "")), "")</f>
        <v>94572.37</v>
      </c>
    </row>
    <row r="337" spans="1:18" x14ac:dyDescent="0.25">
      <c r="A337" t="str">
        <f>PROPER(TRIM(CLEAN(RAW_DATA!A337)))</f>
        <v>Emp1335</v>
      </c>
      <c r="B337" t="str">
        <f>RAW_DATA!B337</f>
        <v>Bob</v>
      </c>
      <c r="C337" t="str">
        <f>RAW_DATA!C337</f>
        <v>Garcia</v>
      </c>
      <c r="D337">
        <f>RAW_DATA!D337</f>
        <v>40</v>
      </c>
      <c r="E337" t="str">
        <f>RAW_DATA!E337</f>
        <v>Finance-Nevada</v>
      </c>
      <c r="F337" t="str">
        <f t="shared" si="15"/>
        <v>Finance</v>
      </c>
      <c r="G337" t="str">
        <f t="shared" si="16"/>
        <v>Nevada</v>
      </c>
      <c r="P337">
        <f t="shared" si="17"/>
        <v>118413.05</v>
      </c>
      <c r="Q337">
        <f>IF(PQ_Cleansing!L337="Excellent", P337 * 0.1, IF(PQ_Cleansing!L337="Good", P337 * 0.05, IF(PQ_Cleansing!L337="Average", P337 * 0.02, IF(PQ_Cleansing!L337="Poor", 0, 0))))</f>
        <v>0</v>
      </c>
      <c r="R337">
        <f>IFERROR(VALUE(SUBSTITUTE(SUBSTITUTE(PQ_Cleansing!I337, "$", ""), ",", "")), "")</f>
        <v>118413.05</v>
      </c>
    </row>
    <row r="338" spans="1:18" x14ac:dyDescent="0.25">
      <c r="A338" t="str">
        <f>PROPER(TRIM(CLEAN(RAW_DATA!A338)))</f>
        <v>Emp1336</v>
      </c>
      <c r="B338" t="str">
        <f>RAW_DATA!B338</f>
        <v>Alice</v>
      </c>
      <c r="C338" t="str">
        <f>RAW_DATA!C338</f>
        <v>Jones</v>
      </c>
      <c r="D338">
        <f>RAW_DATA!D338</f>
        <v>30</v>
      </c>
      <c r="E338" t="str">
        <f>RAW_DATA!E338</f>
        <v>Admin-Nevada</v>
      </c>
      <c r="F338" t="str">
        <f t="shared" si="15"/>
        <v>Admin</v>
      </c>
      <c r="G338" t="str">
        <f t="shared" si="16"/>
        <v>Nevada</v>
      </c>
      <c r="P338">
        <f t="shared" si="17"/>
        <v>68976.649999999994</v>
      </c>
      <c r="Q338">
        <f>IF(PQ_Cleansing!L338="Excellent", P338 * 0.1, IF(PQ_Cleansing!L338="Good", P338 * 0.05, IF(PQ_Cleansing!L338="Average", P338 * 0.02, IF(PQ_Cleansing!L338="Poor", 0, 0))))</f>
        <v>0</v>
      </c>
      <c r="R338">
        <f>IFERROR(VALUE(SUBSTITUTE(SUBSTITUTE(PQ_Cleansing!I338, "$", ""), ",", "")), "")</f>
        <v>68976.649999999994</v>
      </c>
    </row>
    <row r="339" spans="1:18" x14ac:dyDescent="0.25">
      <c r="A339" t="str">
        <f>PROPER(TRIM(CLEAN(RAW_DATA!A339)))</f>
        <v>Emp1337</v>
      </c>
      <c r="B339" t="str">
        <f>RAW_DATA!B339</f>
        <v>Eva</v>
      </c>
      <c r="C339" t="str">
        <f>RAW_DATA!C339</f>
        <v>Williams</v>
      </c>
      <c r="D339">
        <f>RAW_DATA!D339</f>
        <v>0</v>
      </c>
      <c r="E339" t="str">
        <f>RAW_DATA!E339</f>
        <v>Sales-Nevada</v>
      </c>
      <c r="F339" t="str">
        <f t="shared" si="15"/>
        <v>Sales</v>
      </c>
      <c r="G339" t="str">
        <f t="shared" si="16"/>
        <v>Nevada</v>
      </c>
      <c r="P339">
        <f t="shared" si="17"/>
        <v>115013.65</v>
      </c>
      <c r="Q339">
        <f>IF(PQ_Cleansing!L339="Excellent", P339 * 0.1, IF(PQ_Cleansing!L339="Good", P339 * 0.05, IF(PQ_Cleansing!L339="Average", P339 * 0.02, IF(PQ_Cleansing!L339="Poor", 0, 0))))</f>
        <v>2300.2730000000001</v>
      </c>
      <c r="R339">
        <f>IFERROR(VALUE(SUBSTITUTE(SUBSTITUTE(PQ_Cleansing!I339, "$", ""), ",", "")), "")</f>
        <v>115013.65</v>
      </c>
    </row>
    <row r="340" spans="1:18" x14ac:dyDescent="0.25">
      <c r="A340" t="str">
        <f>PROPER(TRIM(CLEAN(RAW_DATA!A340)))</f>
        <v>Emp1338</v>
      </c>
      <c r="B340" t="str">
        <f>RAW_DATA!B340</f>
        <v>David</v>
      </c>
      <c r="C340" t="str">
        <f>RAW_DATA!C340</f>
        <v>Brown</v>
      </c>
      <c r="D340">
        <f>RAW_DATA!D340</f>
        <v>0</v>
      </c>
      <c r="E340" t="str">
        <f>RAW_DATA!E340</f>
        <v>Admin-Nevada</v>
      </c>
      <c r="F340" t="str">
        <f t="shared" si="15"/>
        <v>Admin</v>
      </c>
      <c r="G340" t="str">
        <f t="shared" si="16"/>
        <v>Nevada</v>
      </c>
      <c r="P340">
        <f t="shared" si="17"/>
        <v>70949.38</v>
      </c>
      <c r="Q340">
        <f>IF(PQ_Cleansing!L340="Excellent", P340 * 0.1, IF(PQ_Cleansing!L340="Good", P340 * 0.05, IF(PQ_Cleansing!L340="Average", P340 * 0.02, IF(PQ_Cleansing!L340="Poor", 0, 0))))</f>
        <v>0</v>
      </c>
      <c r="R340">
        <f>IFERROR(VALUE(SUBSTITUTE(SUBSTITUTE(PQ_Cleansing!I340, "$", ""), ",", "")), "")</f>
        <v>70949.38</v>
      </c>
    </row>
    <row r="341" spans="1:18" x14ac:dyDescent="0.25">
      <c r="A341" t="str">
        <f>PROPER(TRIM(CLEAN(RAW_DATA!A341)))</f>
        <v>Emp1339</v>
      </c>
      <c r="B341" t="str">
        <f>RAW_DATA!B341</f>
        <v>Grace</v>
      </c>
      <c r="C341" t="str">
        <f>RAW_DATA!C341</f>
        <v>Brown</v>
      </c>
      <c r="D341">
        <f>RAW_DATA!D341</f>
        <v>0</v>
      </c>
      <c r="E341" t="str">
        <f>RAW_DATA!E341</f>
        <v>HR-Florida</v>
      </c>
      <c r="F341" t="str">
        <f t="shared" si="15"/>
        <v>HR</v>
      </c>
      <c r="G341" t="str">
        <f t="shared" si="16"/>
        <v>Florida</v>
      </c>
      <c r="P341">
        <f t="shared" si="17"/>
        <v>105334.87</v>
      </c>
      <c r="Q341">
        <f>IF(PQ_Cleansing!L341="Excellent", P341 * 0.1, IF(PQ_Cleansing!L341="Good", P341 * 0.05, IF(PQ_Cleansing!L341="Average", P341 * 0.02, IF(PQ_Cleansing!L341="Poor", 0, 0))))</f>
        <v>2106.6974</v>
      </c>
      <c r="R341">
        <f>IFERROR(VALUE(SUBSTITUTE(SUBSTITUTE(PQ_Cleansing!I341, "$", ""), ",", "")), "")</f>
        <v>105334.87</v>
      </c>
    </row>
    <row r="342" spans="1:18" x14ac:dyDescent="0.25">
      <c r="A342" t="str">
        <f>PROPER(TRIM(CLEAN(RAW_DATA!A342)))</f>
        <v>Emp1340</v>
      </c>
      <c r="B342" t="str">
        <f>RAW_DATA!B342</f>
        <v>Bob</v>
      </c>
      <c r="C342" t="str">
        <f>RAW_DATA!C342</f>
        <v>Williams</v>
      </c>
      <c r="D342">
        <f>RAW_DATA!D342</f>
        <v>0</v>
      </c>
      <c r="E342" t="str">
        <f>RAW_DATA!E342</f>
        <v>DevOps-California</v>
      </c>
      <c r="F342" t="str">
        <f t="shared" si="15"/>
        <v>DevOps</v>
      </c>
      <c r="G342" t="str">
        <f t="shared" si="16"/>
        <v>California</v>
      </c>
      <c r="P342">
        <f t="shared" si="17"/>
        <v>80596.179999999993</v>
      </c>
      <c r="Q342">
        <f>IF(PQ_Cleansing!L342="Excellent", P342 * 0.1, IF(PQ_Cleansing!L342="Good", P342 * 0.05, IF(PQ_Cleansing!L342="Average", P342 * 0.02, IF(PQ_Cleansing!L342="Poor", 0, 0))))</f>
        <v>4029.8089999999997</v>
      </c>
      <c r="R342">
        <f>IFERROR(VALUE(SUBSTITUTE(SUBSTITUTE(PQ_Cleansing!I342, "$", ""), ",", "")), "")</f>
        <v>80596.179999999993</v>
      </c>
    </row>
    <row r="343" spans="1:18" x14ac:dyDescent="0.25">
      <c r="A343" t="str">
        <f>PROPER(TRIM(CLEAN(RAW_DATA!A343)))</f>
        <v>Emp1341</v>
      </c>
      <c r="B343" t="str">
        <f>RAW_DATA!B343</f>
        <v>Frank</v>
      </c>
      <c r="C343" t="str">
        <f>RAW_DATA!C343</f>
        <v>Brown</v>
      </c>
      <c r="D343">
        <f>RAW_DATA!D343</f>
        <v>0</v>
      </c>
      <c r="E343" t="str">
        <f>RAW_DATA!E343</f>
        <v>Sales-Illinois</v>
      </c>
      <c r="F343" t="str">
        <f t="shared" si="15"/>
        <v>Sales</v>
      </c>
      <c r="G343" t="str">
        <f t="shared" si="16"/>
        <v>Illinois</v>
      </c>
      <c r="P343">
        <f t="shared" si="17"/>
        <v>72846.37</v>
      </c>
      <c r="Q343">
        <f>IF(PQ_Cleansing!L343="Excellent", P343 * 0.1, IF(PQ_Cleansing!L343="Good", P343 * 0.05, IF(PQ_Cleansing!L343="Average", P343 * 0.02, IF(PQ_Cleansing!L343="Poor", 0, 0))))</f>
        <v>3642.3184999999999</v>
      </c>
      <c r="R343">
        <f>IFERROR(VALUE(SUBSTITUTE(SUBSTITUTE(PQ_Cleansing!I343, "$", ""), ",", "")), "")</f>
        <v>72846.37</v>
      </c>
    </row>
    <row r="344" spans="1:18" x14ac:dyDescent="0.25">
      <c r="A344" t="str">
        <f>PROPER(TRIM(CLEAN(RAW_DATA!A344)))</f>
        <v>Emp1342</v>
      </c>
      <c r="B344" t="str">
        <f>RAW_DATA!B344</f>
        <v>Heidi</v>
      </c>
      <c r="C344" t="str">
        <f>RAW_DATA!C344</f>
        <v>Williams</v>
      </c>
      <c r="D344">
        <f>RAW_DATA!D344</f>
        <v>40</v>
      </c>
      <c r="E344" t="str">
        <f>RAW_DATA!E344</f>
        <v>Admin-California</v>
      </c>
      <c r="F344" t="str">
        <f t="shared" si="15"/>
        <v>Admin</v>
      </c>
      <c r="G344" t="str">
        <f t="shared" si="16"/>
        <v>California</v>
      </c>
      <c r="P344">
        <f t="shared" si="17"/>
        <v>80229.36</v>
      </c>
      <c r="Q344">
        <f>IF(PQ_Cleansing!L344="Excellent", P344 * 0.1, IF(PQ_Cleansing!L344="Good", P344 * 0.05, IF(PQ_Cleansing!L344="Average", P344 * 0.02, IF(PQ_Cleansing!L344="Poor", 0, 0))))</f>
        <v>8022.9360000000006</v>
      </c>
      <c r="R344">
        <f>IFERROR(VALUE(SUBSTITUTE(SUBSTITUTE(PQ_Cleansing!I344, "$", ""), ",", "")), "")</f>
        <v>80229.36</v>
      </c>
    </row>
    <row r="345" spans="1:18" x14ac:dyDescent="0.25">
      <c r="A345" t="str">
        <f>PROPER(TRIM(CLEAN(RAW_DATA!A345)))</f>
        <v>Emp1343</v>
      </c>
      <c r="B345" t="str">
        <f>RAW_DATA!B345</f>
        <v>Grace</v>
      </c>
      <c r="C345" t="str">
        <f>RAW_DATA!C345</f>
        <v>Johnson</v>
      </c>
      <c r="D345">
        <f>RAW_DATA!D345</f>
        <v>25</v>
      </c>
      <c r="E345" t="str">
        <f>RAW_DATA!E345</f>
        <v>Sales-California</v>
      </c>
      <c r="F345" t="str">
        <f t="shared" si="15"/>
        <v>Sales</v>
      </c>
      <c r="G345" t="str">
        <f t="shared" si="16"/>
        <v>California</v>
      </c>
      <c r="P345">
        <f t="shared" si="17"/>
        <v>55145.47</v>
      </c>
      <c r="Q345">
        <f>IF(PQ_Cleansing!L345="Excellent", P345 * 0.1, IF(PQ_Cleansing!L345="Good", P345 * 0.05, IF(PQ_Cleansing!L345="Average", P345 * 0.02, IF(PQ_Cleansing!L345="Poor", 0, 0))))</f>
        <v>2757.2735000000002</v>
      </c>
      <c r="R345">
        <f>IFERROR(VALUE(SUBSTITUTE(SUBSTITUTE(PQ_Cleansing!I345, "$", ""), ",", "")), "")</f>
        <v>55145.47</v>
      </c>
    </row>
    <row r="346" spans="1:18" x14ac:dyDescent="0.25">
      <c r="A346" t="str">
        <f>PROPER(TRIM(CLEAN(RAW_DATA!A346)))</f>
        <v>Emp1344</v>
      </c>
      <c r="B346" t="str">
        <f>RAW_DATA!B346</f>
        <v>Grace</v>
      </c>
      <c r="C346" t="str">
        <f>RAW_DATA!C346</f>
        <v>Williams</v>
      </c>
      <c r="D346">
        <f>RAW_DATA!D346</f>
        <v>30</v>
      </c>
      <c r="E346" t="str">
        <f>RAW_DATA!E346</f>
        <v>DevOps-Florida</v>
      </c>
      <c r="F346" t="str">
        <f t="shared" si="15"/>
        <v>DevOps</v>
      </c>
      <c r="G346" t="str">
        <f t="shared" si="16"/>
        <v>Florida</v>
      </c>
      <c r="P346">
        <f t="shared" si="17"/>
        <v>85268.279969293711</v>
      </c>
      <c r="Q346">
        <f>IF(PQ_Cleansing!L346="Excellent", P346 * 0.1, IF(PQ_Cleansing!L346="Good", P346 * 0.05, IF(PQ_Cleansing!L346="Average", P346 * 0.02, IF(PQ_Cleansing!L346="Poor", 0, 0))))</f>
        <v>0</v>
      </c>
      <c r="R346" t="str">
        <f>IFERROR(VALUE(SUBSTITUTE(SUBSTITUTE(PQ_Cleansing!I346, "$", ""), ",", "")), "")</f>
        <v/>
      </c>
    </row>
    <row r="347" spans="1:18" x14ac:dyDescent="0.25">
      <c r="A347" t="str">
        <f>PROPER(TRIM(CLEAN(RAW_DATA!A347)))</f>
        <v>Emp1345</v>
      </c>
      <c r="B347" t="str">
        <f>RAW_DATA!B347</f>
        <v>Eva</v>
      </c>
      <c r="C347" t="str">
        <f>RAW_DATA!C347</f>
        <v>Davis</v>
      </c>
      <c r="D347">
        <f>RAW_DATA!D347</f>
        <v>40</v>
      </c>
      <c r="E347" t="str">
        <f>RAW_DATA!E347</f>
        <v>HR-California</v>
      </c>
      <c r="F347" t="str">
        <f t="shared" si="15"/>
        <v>HR</v>
      </c>
      <c r="G347" t="str">
        <f t="shared" si="16"/>
        <v>California</v>
      </c>
      <c r="P347">
        <f t="shared" si="17"/>
        <v>56110.81</v>
      </c>
      <c r="Q347">
        <f>IF(PQ_Cleansing!L347="Excellent", P347 * 0.1, IF(PQ_Cleansing!L347="Good", P347 * 0.05, IF(PQ_Cleansing!L347="Average", P347 * 0.02, IF(PQ_Cleansing!L347="Poor", 0, 0))))</f>
        <v>2805.5405000000001</v>
      </c>
      <c r="R347">
        <f>IFERROR(VALUE(SUBSTITUTE(SUBSTITUTE(PQ_Cleansing!I347, "$", ""), ",", "")), "")</f>
        <v>56110.81</v>
      </c>
    </row>
    <row r="348" spans="1:18" x14ac:dyDescent="0.25">
      <c r="A348" t="str">
        <f>PROPER(TRIM(CLEAN(RAW_DATA!A348)))</f>
        <v>Emp1346</v>
      </c>
      <c r="B348" t="str">
        <f>RAW_DATA!B348</f>
        <v>Grace</v>
      </c>
      <c r="C348" t="str">
        <f>RAW_DATA!C348</f>
        <v>Williams</v>
      </c>
      <c r="D348">
        <f>RAW_DATA!D348</f>
        <v>25</v>
      </c>
      <c r="E348" t="str">
        <f>RAW_DATA!E348</f>
        <v>Cloud Tech-Texas</v>
      </c>
      <c r="F348" t="str">
        <f t="shared" si="15"/>
        <v>Cloud Tech</v>
      </c>
      <c r="G348" t="str">
        <f t="shared" si="16"/>
        <v>Texas</v>
      </c>
      <c r="P348">
        <f t="shared" si="17"/>
        <v>56514.5</v>
      </c>
      <c r="Q348">
        <f>IF(PQ_Cleansing!L348="Excellent", P348 * 0.1, IF(PQ_Cleansing!L348="Good", P348 * 0.05, IF(PQ_Cleansing!L348="Average", P348 * 0.02, IF(PQ_Cleansing!L348="Poor", 0, 0))))</f>
        <v>1130.29</v>
      </c>
      <c r="R348">
        <f>IFERROR(VALUE(SUBSTITUTE(SUBSTITUTE(PQ_Cleansing!I348, "$", ""), ",", "")), "")</f>
        <v>56514.5</v>
      </c>
    </row>
    <row r="349" spans="1:18" x14ac:dyDescent="0.25">
      <c r="A349" t="str">
        <f>PROPER(TRIM(CLEAN(RAW_DATA!A349)))</f>
        <v>Emp1347</v>
      </c>
      <c r="B349" t="str">
        <f>RAW_DATA!B349</f>
        <v>Frank</v>
      </c>
      <c r="C349" t="str">
        <f>RAW_DATA!C349</f>
        <v>Brown</v>
      </c>
      <c r="D349">
        <f>RAW_DATA!D349</f>
        <v>40</v>
      </c>
      <c r="E349" t="str">
        <f>RAW_DATA!E349</f>
        <v>Cloud Tech-California</v>
      </c>
      <c r="F349" t="str">
        <f t="shared" si="15"/>
        <v>Cloud Tech</v>
      </c>
      <c r="G349" t="str">
        <f t="shared" si="16"/>
        <v>California</v>
      </c>
      <c r="P349">
        <f t="shared" si="17"/>
        <v>104541.84</v>
      </c>
      <c r="Q349">
        <f>IF(PQ_Cleansing!L349="Excellent", P349 * 0.1, IF(PQ_Cleansing!L349="Good", P349 * 0.05, IF(PQ_Cleansing!L349="Average", P349 * 0.02, IF(PQ_Cleansing!L349="Poor", 0, 0))))</f>
        <v>5227.0920000000006</v>
      </c>
      <c r="R349">
        <f>IFERROR(VALUE(SUBSTITUTE(SUBSTITUTE(PQ_Cleansing!I349, "$", ""), ",", "")), "")</f>
        <v>104541.84</v>
      </c>
    </row>
    <row r="350" spans="1:18" x14ac:dyDescent="0.25">
      <c r="A350" t="str">
        <f>PROPER(TRIM(CLEAN(RAW_DATA!A350)))</f>
        <v>Emp1348</v>
      </c>
      <c r="B350" t="str">
        <f>RAW_DATA!B350</f>
        <v>David</v>
      </c>
      <c r="C350" t="str">
        <f>RAW_DATA!C350</f>
        <v>Garcia</v>
      </c>
      <c r="D350">
        <f>RAW_DATA!D350</f>
        <v>0</v>
      </c>
      <c r="E350" t="str">
        <f>RAW_DATA!E350</f>
        <v>Sales-New York</v>
      </c>
      <c r="F350" t="str">
        <f t="shared" si="15"/>
        <v>Sales</v>
      </c>
      <c r="G350" t="str">
        <f t="shared" si="16"/>
        <v>New York</v>
      </c>
      <c r="P350">
        <f t="shared" si="17"/>
        <v>61865.120000000003</v>
      </c>
      <c r="Q350">
        <f>IF(PQ_Cleansing!L350="Excellent", P350 * 0.1, IF(PQ_Cleansing!L350="Good", P350 * 0.05, IF(PQ_Cleansing!L350="Average", P350 * 0.02, IF(PQ_Cleansing!L350="Poor", 0, 0))))</f>
        <v>6186.5120000000006</v>
      </c>
      <c r="R350">
        <f>IFERROR(VALUE(SUBSTITUTE(SUBSTITUTE(PQ_Cleansing!I350, "$", ""), ",", "")), "")</f>
        <v>61865.120000000003</v>
      </c>
    </row>
    <row r="351" spans="1:18" x14ac:dyDescent="0.25">
      <c r="A351" t="str">
        <f>PROPER(TRIM(CLEAN(RAW_DATA!A351)))</f>
        <v>Emp1349</v>
      </c>
      <c r="B351" t="str">
        <f>RAW_DATA!B351</f>
        <v>Eva</v>
      </c>
      <c r="C351" t="str">
        <f>RAW_DATA!C351</f>
        <v>Davis</v>
      </c>
      <c r="D351">
        <f>RAW_DATA!D351</f>
        <v>40</v>
      </c>
      <c r="E351" t="str">
        <f>RAW_DATA!E351</f>
        <v>Admin-Texas</v>
      </c>
      <c r="F351" t="str">
        <f t="shared" si="15"/>
        <v>Admin</v>
      </c>
      <c r="G351" t="str">
        <f t="shared" si="16"/>
        <v>Texas</v>
      </c>
      <c r="P351">
        <f t="shared" si="17"/>
        <v>69317.33</v>
      </c>
      <c r="Q351">
        <f>IF(PQ_Cleansing!L351="Excellent", P351 * 0.1, IF(PQ_Cleansing!L351="Good", P351 * 0.05, IF(PQ_Cleansing!L351="Average", P351 * 0.02, IF(PQ_Cleansing!L351="Poor", 0, 0))))</f>
        <v>3465.8665000000001</v>
      </c>
      <c r="R351">
        <f>IFERROR(VALUE(SUBSTITUTE(SUBSTITUTE(PQ_Cleansing!I351, "$", ""), ",", "")), "")</f>
        <v>69317.33</v>
      </c>
    </row>
    <row r="352" spans="1:18" x14ac:dyDescent="0.25">
      <c r="A352" t="str">
        <f>PROPER(TRIM(CLEAN(RAW_DATA!A352)))</f>
        <v>Emp1350</v>
      </c>
      <c r="B352" t="str">
        <f>RAW_DATA!B352</f>
        <v>Bob</v>
      </c>
      <c r="C352" t="str">
        <f>RAW_DATA!C352</f>
        <v>Brown</v>
      </c>
      <c r="D352">
        <f>RAW_DATA!D352</f>
        <v>35</v>
      </c>
      <c r="E352" t="str">
        <f>RAW_DATA!E352</f>
        <v>HR-New York</v>
      </c>
      <c r="F352" t="str">
        <f t="shared" si="15"/>
        <v>HR</v>
      </c>
      <c r="G352" t="str">
        <f t="shared" si="16"/>
        <v>New York</v>
      </c>
      <c r="P352">
        <f t="shared" si="17"/>
        <v>84706.17</v>
      </c>
      <c r="Q352">
        <f>IF(PQ_Cleansing!L352="Excellent", P352 * 0.1, IF(PQ_Cleansing!L352="Good", P352 * 0.05, IF(PQ_Cleansing!L352="Average", P352 * 0.02, IF(PQ_Cleansing!L352="Poor", 0, 0))))</f>
        <v>1694.1233999999999</v>
      </c>
      <c r="R352">
        <f>IFERROR(VALUE(SUBSTITUTE(SUBSTITUTE(PQ_Cleansing!I352, "$", ""), ",", "")), "")</f>
        <v>84706.17</v>
      </c>
    </row>
    <row r="353" spans="1:18" x14ac:dyDescent="0.25">
      <c r="A353" t="str">
        <f>PROPER(TRIM(CLEAN(RAW_DATA!A353)))</f>
        <v>Emp1351</v>
      </c>
      <c r="B353" t="str">
        <f>RAW_DATA!B353</f>
        <v>Heidi</v>
      </c>
      <c r="C353" t="str">
        <f>RAW_DATA!C353</f>
        <v>Smith</v>
      </c>
      <c r="D353">
        <f>RAW_DATA!D353</f>
        <v>25</v>
      </c>
      <c r="E353" t="str">
        <f>RAW_DATA!E353</f>
        <v>Admin-California</v>
      </c>
      <c r="F353" t="str">
        <f t="shared" si="15"/>
        <v>Admin</v>
      </c>
      <c r="G353" t="str">
        <f t="shared" si="16"/>
        <v>California</v>
      </c>
      <c r="P353">
        <f t="shared" si="17"/>
        <v>73255.210000000006</v>
      </c>
      <c r="Q353">
        <f>IF(PQ_Cleansing!L353="Excellent", P353 * 0.1, IF(PQ_Cleansing!L353="Good", P353 * 0.05, IF(PQ_Cleansing!L353="Average", P353 * 0.02, IF(PQ_Cleansing!L353="Poor", 0, 0))))</f>
        <v>1465.1042000000002</v>
      </c>
      <c r="R353">
        <f>IFERROR(VALUE(SUBSTITUTE(SUBSTITUTE(PQ_Cleansing!I353, "$", ""), ",", "")), "")</f>
        <v>73255.210000000006</v>
      </c>
    </row>
    <row r="354" spans="1:18" x14ac:dyDescent="0.25">
      <c r="A354" t="str">
        <f>PROPER(TRIM(CLEAN(RAW_DATA!A354)))</f>
        <v>Emp1352</v>
      </c>
      <c r="B354" t="str">
        <f>RAW_DATA!B354</f>
        <v>Frank</v>
      </c>
      <c r="C354" t="str">
        <f>RAW_DATA!C354</f>
        <v>Smith</v>
      </c>
      <c r="D354">
        <f>RAW_DATA!D354</f>
        <v>40</v>
      </c>
      <c r="E354" t="str">
        <f>RAW_DATA!E354</f>
        <v>HR-Florida</v>
      </c>
      <c r="F354" t="str">
        <f t="shared" si="15"/>
        <v>HR</v>
      </c>
      <c r="G354" t="str">
        <f t="shared" si="16"/>
        <v>Florida</v>
      </c>
      <c r="P354">
        <f t="shared" si="17"/>
        <v>59528.71</v>
      </c>
      <c r="Q354">
        <f>IF(PQ_Cleansing!L354="Excellent", P354 * 0.1, IF(PQ_Cleansing!L354="Good", P354 * 0.05, IF(PQ_Cleansing!L354="Average", P354 * 0.02, IF(PQ_Cleansing!L354="Poor", 0, 0))))</f>
        <v>0</v>
      </c>
      <c r="R354">
        <f>IFERROR(VALUE(SUBSTITUTE(SUBSTITUTE(PQ_Cleansing!I354, "$", ""), ",", "")), "")</f>
        <v>59528.71</v>
      </c>
    </row>
    <row r="355" spans="1:18" x14ac:dyDescent="0.25">
      <c r="A355" t="str">
        <f>PROPER(TRIM(CLEAN(RAW_DATA!A355)))</f>
        <v>Emp1353</v>
      </c>
      <c r="B355" t="str">
        <f>RAW_DATA!B355</f>
        <v>David</v>
      </c>
      <c r="C355" t="str">
        <f>RAW_DATA!C355</f>
        <v>Garcia</v>
      </c>
      <c r="D355">
        <f>RAW_DATA!D355</f>
        <v>40</v>
      </c>
      <c r="E355" t="str">
        <f>RAW_DATA!E355</f>
        <v>HR-New York</v>
      </c>
      <c r="F355" t="str">
        <f t="shared" si="15"/>
        <v>HR</v>
      </c>
      <c r="G355" t="str">
        <f t="shared" si="16"/>
        <v>New York</v>
      </c>
      <c r="P355">
        <f t="shared" si="17"/>
        <v>70401.37</v>
      </c>
      <c r="Q355">
        <f>IF(PQ_Cleansing!L355="Excellent", P355 * 0.1, IF(PQ_Cleansing!L355="Good", P355 * 0.05, IF(PQ_Cleansing!L355="Average", P355 * 0.02, IF(PQ_Cleansing!L355="Poor", 0, 0))))</f>
        <v>3520.0684999999999</v>
      </c>
      <c r="R355">
        <f>IFERROR(VALUE(SUBSTITUTE(SUBSTITUTE(PQ_Cleansing!I355, "$", ""), ",", "")), "")</f>
        <v>70401.37</v>
      </c>
    </row>
    <row r="356" spans="1:18" x14ac:dyDescent="0.25">
      <c r="A356" t="str">
        <f>PROPER(TRIM(CLEAN(RAW_DATA!A356)))</f>
        <v>Emp1354</v>
      </c>
      <c r="B356" t="str">
        <f>RAW_DATA!B356</f>
        <v>Heidi</v>
      </c>
      <c r="C356" t="str">
        <f>RAW_DATA!C356</f>
        <v>Garcia</v>
      </c>
      <c r="D356">
        <f>RAW_DATA!D356</f>
        <v>0</v>
      </c>
      <c r="E356" t="str">
        <f>RAW_DATA!E356</f>
        <v>Admin-California</v>
      </c>
      <c r="F356" t="str">
        <f t="shared" si="15"/>
        <v>Admin</v>
      </c>
      <c r="G356" t="str">
        <f t="shared" si="16"/>
        <v>California</v>
      </c>
      <c r="P356">
        <f t="shared" si="17"/>
        <v>107154.62</v>
      </c>
      <c r="Q356">
        <f>IF(PQ_Cleansing!L356="Excellent", P356 * 0.1, IF(PQ_Cleansing!L356="Good", P356 * 0.05, IF(PQ_Cleansing!L356="Average", P356 * 0.02, IF(PQ_Cleansing!L356="Poor", 0, 0))))</f>
        <v>2143.0924</v>
      </c>
      <c r="R356">
        <f>IFERROR(VALUE(SUBSTITUTE(SUBSTITUTE(PQ_Cleansing!I356, "$", ""), ",", "")), "")</f>
        <v>107154.62</v>
      </c>
    </row>
    <row r="357" spans="1:18" x14ac:dyDescent="0.25">
      <c r="A357" t="str">
        <f>PROPER(TRIM(CLEAN(RAW_DATA!A357)))</f>
        <v>Emp1355</v>
      </c>
      <c r="B357" t="str">
        <f>RAW_DATA!B357</f>
        <v>Bob</v>
      </c>
      <c r="C357" t="str">
        <f>RAW_DATA!C357</f>
        <v>Davis</v>
      </c>
      <c r="D357">
        <f>RAW_DATA!D357</f>
        <v>0</v>
      </c>
      <c r="E357" t="str">
        <f>RAW_DATA!E357</f>
        <v>Admin-Illinois</v>
      </c>
      <c r="F357" t="str">
        <f t="shared" si="15"/>
        <v>Admin</v>
      </c>
      <c r="G357" t="str">
        <f t="shared" si="16"/>
        <v>Illinois</v>
      </c>
      <c r="P357">
        <f t="shared" si="17"/>
        <v>97719.88</v>
      </c>
      <c r="Q357">
        <f>IF(PQ_Cleansing!L357="Excellent", P357 * 0.1, IF(PQ_Cleansing!L357="Good", P357 * 0.05, IF(PQ_Cleansing!L357="Average", P357 * 0.02, IF(PQ_Cleansing!L357="Poor", 0, 0))))</f>
        <v>9771.9880000000012</v>
      </c>
      <c r="R357">
        <f>IFERROR(VALUE(SUBSTITUTE(SUBSTITUTE(PQ_Cleansing!I357, "$", ""), ",", "")), "")</f>
        <v>97719.88</v>
      </c>
    </row>
    <row r="358" spans="1:18" x14ac:dyDescent="0.25">
      <c r="A358" t="str">
        <f>PROPER(TRIM(CLEAN(RAW_DATA!A358)))</f>
        <v>Emp1356</v>
      </c>
      <c r="B358" t="str">
        <f>RAW_DATA!B358</f>
        <v>Heidi</v>
      </c>
      <c r="C358" t="str">
        <f>RAW_DATA!C358</f>
        <v>Johnson</v>
      </c>
      <c r="D358">
        <f>RAW_DATA!D358</f>
        <v>30</v>
      </c>
      <c r="E358" t="str">
        <f>RAW_DATA!E358</f>
        <v>Finance-California</v>
      </c>
      <c r="F358" t="str">
        <f t="shared" si="15"/>
        <v>Finance</v>
      </c>
      <c r="G358" t="str">
        <f t="shared" si="16"/>
        <v>California</v>
      </c>
      <c r="P358">
        <f t="shared" si="17"/>
        <v>107327.59</v>
      </c>
      <c r="Q358">
        <f>IF(PQ_Cleansing!L358="Excellent", P358 * 0.1, IF(PQ_Cleansing!L358="Good", P358 * 0.05, IF(PQ_Cleansing!L358="Average", P358 * 0.02, IF(PQ_Cleansing!L358="Poor", 0, 0))))</f>
        <v>0</v>
      </c>
      <c r="R358">
        <f>IFERROR(VALUE(SUBSTITUTE(SUBSTITUTE(PQ_Cleansing!I358, "$", ""), ",", "")), "")</f>
        <v>107327.59</v>
      </c>
    </row>
    <row r="359" spans="1:18" x14ac:dyDescent="0.25">
      <c r="A359" t="str">
        <f>PROPER(TRIM(CLEAN(RAW_DATA!A359)))</f>
        <v>Emp1357</v>
      </c>
      <c r="B359" t="str">
        <f>RAW_DATA!B359</f>
        <v>Grace</v>
      </c>
      <c r="C359" t="str">
        <f>RAW_DATA!C359</f>
        <v>Garcia</v>
      </c>
      <c r="D359">
        <f>RAW_DATA!D359</f>
        <v>40</v>
      </c>
      <c r="E359" t="str">
        <f>RAW_DATA!E359</f>
        <v>Admin-Nevada</v>
      </c>
      <c r="F359" t="str">
        <f t="shared" si="15"/>
        <v>Admin</v>
      </c>
      <c r="G359" t="str">
        <f t="shared" si="16"/>
        <v>Nevada</v>
      </c>
      <c r="P359">
        <f t="shared" si="17"/>
        <v>67687.72</v>
      </c>
      <c r="Q359">
        <f>IF(PQ_Cleansing!L359="Excellent", P359 * 0.1, IF(PQ_Cleansing!L359="Good", P359 * 0.05, IF(PQ_Cleansing!L359="Average", P359 * 0.02, IF(PQ_Cleansing!L359="Poor", 0, 0))))</f>
        <v>6768.7720000000008</v>
      </c>
      <c r="R359">
        <f>IFERROR(VALUE(SUBSTITUTE(SUBSTITUTE(PQ_Cleansing!I359, "$", ""), ",", "")), "")</f>
        <v>67687.72</v>
      </c>
    </row>
    <row r="360" spans="1:18" x14ac:dyDescent="0.25">
      <c r="A360" t="str">
        <f>PROPER(TRIM(CLEAN(RAW_DATA!A360)))</f>
        <v>Emp1358</v>
      </c>
      <c r="B360" t="str">
        <f>RAW_DATA!B360</f>
        <v>Grace</v>
      </c>
      <c r="C360" t="str">
        <f>RAW_DATA!C360</f>
        <v>Smith</v>
      </c>
      <c r="D360">
        <f>RAW_DATA!D360</f>
        <v>40</v>
      </c>
      <c r="E360" t="str">
        <f>RAW_DATA!E360</f>
        <v>Cloud Tech-Florida</v>
      </c>
      <c r="F360" t="str">
        <f t="shared" si="15"/>
        <v>Cloud Tech</v>
      </c>
      <c r="G360" t="str">
        <f t="shared" si="16"/>
        <v>Florida</v>
      </c>
      <c r="P360">
        <f t="shared" si="17"/>
        <v>90757.08</v>
      </c>
      <c r="Q360">
        <f>IF(PQ_Cleansing!L360="Excellent", P360 * 0.1, IF(PQ_Cleansing!L360="Good", P360 * 0.05, IF(PQ_Cleansing!L360="Average", P360 * 0.02, IF(PQ_Cleansing!L360="Poor", 0, 0))))</f>
        <v>4537.8540000000003</v>
      </c>
      <c r="R360">
        <f>IFERROR(VALUE(SUBSTITUTE(SUBSTITUTE(PQ_Cleansing!I360, "$", ""), ",", "")), "")</f>
        <v>90757.08</v>
      </c>
    </row>
    <row r="361" spans="1:18" x14ac:dyDescent="0.25">
      <c r="A361" t="str">
        <f>PROPER(TRIM(CLEAN(RAW_DATA!A361)))</f>
        <v>Emp1359</v>
      </c>
      <c r="B361" t="str">
        <f>RAW_DATA!B361</f>
        <v>Grace</v>
      </c>
      <c r="C361" t="str">
        <f>RAW_DATA!C361</f>
        <v>Williams</v>
      </c>
      <c r="D361">
        <f>RAW_DATA!D361</f>
        <v>0</v>
      </c>
      <c r="E361" t="str">
        <f>RAW_DATA!E361</f>
        <v>Cloud Tech-California</v>
      </c>
      <c r="F361" t="str">
        <f t="shared" si="15"/>
        <v>Cloud Tech</v>
      </c>
      <c r="G361" t="str">
        <f t="shared" si="16"/>
        <v>California</v>
      </c>
      <c r="P361">
        <f t="shared" si="17"/>
        <v>87583.42</v>
      </c>
      <c r="Q361">
        <f>IF(PQ_Cleansing!L361="Excellent", P361 * 0.1, IF(PQ_Cleansing!L361="Good", P361 * 0.05, IF(PQ_Cleansing!L361="Average", P361 * 0.02, IF(PQ_Cleansing!L361="Poor", 0, 0))))</f>
        <v>4379.1710000000003</v>
      </c>
      <c r="R361">
        <f>IFERROR(VALUE(SUBSTITUTE(SUBSTITUTE(PQ_Cleansing!I361, "$", ""), ",", "")), "")</f>
        <v>87583.42</v>
      </c>
    </row>
    <row r="362" spans="1:18" x14ac:dyDescent="0.25">
      <c r="A362" t="str">
        <f>PROPER(TRIM(CLEAN(RAW_DATA!A362)))</f>
        <v>Emp1360</v>
      </c>
      <c r="B362" t="str">
        <f>RAW_DATA!B362</f>
        <v>Bob</v>
      </c>
      <c r="C362" t="str">
        <f>RAW_DATA!C362</f>
        <v>Brown</v>
      </c>
      <c r="D362">
        <f>RAW_DATA!D362</f>
        <v>25</v>
      </c>
      <c r="E362" t="str">
        <f>RAW_DATA!E362</f>
        <v>Admin-Nevada</v>
      </c>
      <c r="F362" t="str">
        <f t="shared" si="15"/>
        <v>Admin</v>
      </c>
      <c r="G362" t="str">
        <f t="shared" si="16"/>
        <v>Nevada</v>
      </c>
      <c r="P362">
        <f t="shared" si="17"/>
        <v>61643.69</v>
      </c>
      <c r="Q362">
        <f>IF(PQ_Cleansing!L362="Excellent", P362 * 0.1, IF(PQ_Cleansing!L362="Good", P362 * 0.05, IF(PQ_Cleansing!L362="Average", P362 * 0.02, IF(PQ_Cleansing!L362="Poor", 0, 0))))</f>
        <v>3082.1845000000003</v>
      </c>
      <c r="R362">
        <f>IFERROR(VALUE(SUBSTITUTE(SUBSTITUTE(PQ_Cleansing!I362, "$", ""), ",", "")), "")</f>
        <v>61643.69</v>
      </c>
    </row>
    <row r="363" spans="1:18" x14ac:dyDescent="0.25">
      <c r="A363" t="str">
        <f>PROPER(TRIM(CLEAN(RAW_DATA!A363)))</f>
        <v>Emp1361</v>
      </c>
      <c r="B363" t="str">
        <f>RAW_DATA!B363</f>
        <v>Grace</v>
      </c>
      <c r="C363" t="str">
        <f>RAW_DATA!C363</f>
        <v>Smith</v>
      </c>
      <c r="D363">
        <f>RAW_DATA!D363</f>
        <v>35</v>
      </c>
      <c r="E363" t="str">
        <f>RAW_DATA!E363</f>
        <v>Finance-Texas</v>
      </c>
      <c r="F363" t="str">
        <f t="shared" si="15"/>
        <v>Finance</v>
      </c>
      <c r="G363" t="str">
        <f t="shared" si="16"/>
        <v>Texas</v>
      </c>
      <c r="P363">
        <f t="shared" si="17"/>
        <v>68111.69</v>
      </c>
      <c r="Q363">
        <f>IF(PQ_Cleansing!L363="Excellent", P363 * 0.1, IF(PQ_Cleansing!L363="Good", P363 * 0.05, IF(PQ_Cleansing!L363="Average", P363 * 0.02, IF(PQ_Cleansing!L363="Poor", 0, 0))))</f>
        <v>0</v>
      </c>
      <c r="R363">
        <f>IFERROR(VALUE(SUBSTITUTE(SUBSTITUTE(PQ_Cleansing!I363, "$", ""), ",", "")), "")</f>
        <v>68111.69</v>
      </c>
    </row>
    <row r="364" spans="1:18" x14ac:dyDescent="0.25">
      <c r="A364" t="str">
        <f>PROPER(TRIM(CLEAN(RAW_DATA!A364)))</f>
        <v>Emp1362</v>
      </c>
      <c r="B364" t="str">
        <f>RAW_DATA!B364</f>
        <v>David</v>
      </c>
      <c r="C364" t="str">
        <f>RAW_DATA!C364</f>
        <v>Smith</v>
      </c>
      <c r="D364">
        <f>RAW_DATA!D364</f>
        <v>40</v>
      </c>
      <c r="E364" t="str">
        <f>RAW_DATA!E364</f>
        <v>HR-Florida</v>
      </c>
      <c r="F364" t="str">
        <f t="shared" si="15"/>
        <v>HR</v>
      </c>
      <c r="G364" t="str">
        <f t="shared" si="16"/>
        <v>Florida</v>
      </c>
      <c r="P364">
        <f t="shared" si="17"/>
        <v>97568.88</v>
      </c>
      <c r="Q364">
        <f>IF(PQ_Cleansing!L364="Excellent", P364 * 0.1, IF(PQ_Cleansing!L364="Good", P364 * 0.05, IF(PQ_Cleansing!L364="Average", P364 * 0.02, IF(PQ_Cleansing!L364="Poor", 0, 0))))</f>
        <v>1951.3776</v>
      </c>
      <c r="R364">
        <f>IFERROR(VALUE(SUBSTITUTE(SUBSTITUTE(PQ_Cleansing!I364, "$", ""), ",", "")), "")</f>
        <v>97568.88</v>
      </c>
    </row>
    <row r="365" spans="1:18" x14ac:dyDescent="0.25">
      <c r="A365" t="str">
        <f>PROPER(TRIM(CLEAN(RAW_DATA!A365)))</f>
        <v>Emp1363</v>
      </c>
      <c r="B365" t="str">
        <f>RAW_DATA!B365</f>
        <v>Charlie</v>
      </c>
      <c r="C365" t="str">
        <f>RAW_DATA!C365</f>
        <v>Johnson</v>
      </c>
      <c r="D365">
        <f>RAW_DATA!D365</f>
        <v>35</v>
      </c>
      <c r="E365" t="str">
        <f>RAW_DATA!E365</f>
        <v>Cloud Tech-Florida</v>
      </c>
      <c r="F365" t="str">
        <f t="shared" si="15"/>
        <v>Cloud Tech</v>
      </c>
      <c r="G365" t="str">
        <f t="shared" si="16"/>
        <v>Florida</v>
      </c>
      <c r="P365">
        <f t="shared" si="17"/>
        <v>79118.28</v>
      </c>
      <c r="Q365">
        <f>IF(PQ_Cleansing!L365="Excellent", P365 * 0.1, IF(PQ_Cleansing!L365="Good", P365 * 0.05, IF(PQ_Cleansing!L365="Average", P365 * 0.02, IF(PQ_Cleansing!L365="Poor", 0, 0))))</f>
        <v>0</v>
      </c>
      <c r="R365">
        <f>IFERROR(VALUE(SUBSTITUTE(SUBSTITUTE(PQ_Cleansing!I365, "$", ""), ",", "")), "")</f>
        <v>79118.28</v>
      </c>
    </row>
    <row r="366" spans="1:18" x14ac:dyDescent="0.25">
      <c r="A366" t="str">
        <f>PROPER(TRIM(CLEAN(RAW_DATA!A366)))</f>
        <v>Emp1364</v>
      </c>
      <c r="B366" t="str">
        <f>RAW_DATA!B366</f>
        <v>Bob</v>
      </c>
      <c r="C366" t="str">
        <f>RAW_DATA!C366</f>
        <v>Davis</v>
      </c>
      <c r="D366">
        <f>RAW_DATA!D366</f>
        <v>30</v>
      </c>
      <c r="E366" t="str">
        <f>RAW_DATA!E366</f>
        <v>HR-California</v>
      </c>
      <c r="F366" t="str">
        <f t="shared" si="15"/>
        <v>HR</v>
      </c>
      <c r="G366" t="str">
        <f t="shared" si="16"/>
        <v>California</v>
      </c>
      <c r="P366">
        <f t="shared" si="17"/>
        <v>104898.9</v>
      </c>
      <c r="Q366">
        <f>IF(PQ_Cleansing!L366="Excellent", P366 * 0.1, IF(PQ_Cleansing!L366="Good", P366 * 0.05, IF(PQ_Cleansing!L366="Average", P366 * 0.02, IF(PQ_Cleansing!L366="Poor", 0, 0))))</f>
        <v>10489.89</v>
      </c>
      <c r="R366">
        <f>IFERROR(VALUE(SUBSTITUTE(SUBSTITUTE(PQ_Cleansing!I366, "$", ""), ",", "")), "")</f>
        <v>104898.9</v>
      </c>
    </row>
    <row r="367" spans="1:18" x14ac:dyDescent="0.25">
      <c r="A367" t="str">
        <f>PROPER(TRIM(CLEAN(RAW_DATA!A367)))</f>
        <v>Emp1365</v>
      </c>
      <c r="B367" t="str">
        <f>RAW_DATA!B367</f>
        <v>Frank</v>
      </c>
      <c r="C367" t="str">
        <f>RAW_DATA!C367</f>
        <v>Davis</v>
      </c>
      <c r="D367">
        <f>RAW_DATA!D367</f>
        <v>40</v>
      </c>
      <c r="E367" t="str">
        <f>RAW_DATA!E367</f>
        <v>Cloud Tech-Florida</v>
      </c>
      <c r="F367" t="str">
        <f t="shared" si="15"/>
        <v>Cloud Tech</v>
      </c>
      <c r="G367" t="str">
        <f t="shared" si="16"/>
        <v>Florida</v>
      </c>
      <c r="P367">
        <f t="shared" si="17"/>
        <v>81671.3</v>
      </c>
      <c r="Q367">
        <f>IF(PQ_Cleansing!L367="Excellent", P367 * 0.1, IF(PQ_Cleansing!L367="Good", P367 * 0.05, IF(PQ_Cleansing!L367="Average", P367 * 0.02, IF(PQ_Cleansing!L367="Poor", 0, 0))))</f>
        <v>0</v>
      </c>
      <c r="R367">
        <f>IFERROR(VALUE(SUBSTITUTE(SUBSTITUTE(PQ_Cleansing!I367, "$", ""), ",", "")), "")</f>
        <v>81671.3</v>
      </c>
    </row>
    <row r="368" spans="1:18" x14ac:dyDescent="0.25">
      <c r="A368" t="str">
        <f>PROPER(TRIM(CLEAN(RAW_DATA!A368)))</f>
        <v>Emp1366</v>
      </c>
      <c r="B368" t="str">
        <f>RAW_DATA!B368</f>
        <v>Alice</v>
      </c>
      <c r="C368" t="str">
        <f>RAW_DATA!C368</f>
        <v>Miller</v>
      </c>
      <c r="D368">
        <f>RAW_DATA!D368</f>
        <v>25</v>
      </c>
      <c r="E368" t="str">
        <f>RAW_DATA!E368</f>
        <v>Cloud Tech-California</v>
      </c>
      <c r="F368" t="str">
        <f t="shared" si="15"/>
        <v>Cloud Tech</v>
      </c>
      <c r="G368" t="str">
        <f t="shared" si="16"/>
        <v>California</v>
      </c>
      <c r="P368">
        <f t="shared" si="17"/>
        <v>97399.75</v>
      </c>
      <c r="Q368">
        <f>IF(PQ_Cleansing!L368="Excellent", P368 * 0.1, IF(PQ_Cleansing!L368="Good", P368 * 0.05, IF(PQ_Cleansing!L368="Average", P368 * 0.02, IF(PQ_Cleansing!L368="Poor", 0, 0))))</f>
        <v>9739.9750000000004</v>
      </c>
      <c r="R368">
        <f>IFERROR(VALUE(SUBSTITUTE(SUBSTITUTE(PQ_Cleansing!I368, "$", ""), ",", "")), "")</f>
        <v>97399.75</v>
      </c>
    </row>
    <row r="369" spans="1:18" x14ac:dyDescent="0.25">
      <c r="A369" t="str">
        <f>PROPER(TRIM(CLEAN(RAW_DATA!A369)))</f>
        <v>Emp1367</v>
      </c>
      <c r="B369" t="str">
        <f>RAW_DATA!B369</f>
        <v>David</v>
      </c>
      <c r="C369" t="str">
        <f>RAW_DATA!C369</f>
        <v>Johnson</v>
      </c>
      <c r="D369">
        <f>RAW_DATA!D369</f>
        <v>0</v>
      </c>
      <c r="E369" t="str">
        <f>RAW_DATA!E369</f>
        <v>Admin-Illinois</v>
      </c>
      <c r="F369" t="str">
        <f t="shared" si="15"/>
        <v>Admin</v>
      </c>
      <c r="G369" t="str">
        <f t="shared" si="16"/>
        <v>Illinois</v>
      </c>
      <c r="P369">
        <f t="shared" si="17"/>
        <v>89189.43</v>
      </c>
      <c r="Q369">
        <f>IF(PQ_Cleansing!L369="Excellent", P369 * 0.1, IF(PQ_Cleansing!L369="Good", P369 * 0.05, IF(PQ_Cleansing!L369="Average", P369 * 0.02, IF(PQ_Cleansing!L369="Poor", 0, 0))))</f>
        <v>0</v>
      </c>
      <c r="R369">
        <f>IFERROR(VALUE(SUBSTITUTE(SUBSTITUTE(PQ_Cleansing!I369, "$", ""), ",", "")), "")</f>
        <v>89189.43</v>
      </c>
    </row>
    <row r="370" spans="1:18" x14ac:dyDescent="0.25">
      <c r="A370" t="str">
        <f>PROPER(TRIM(CLEAN(RAW_DATA!A370)))</f>
        <v>Emp1368</v>
      </c>
      <c r="B370" t="str">
        <f>RAW_DATA!B370</f>
        <v>David</v>
      </c>
      <c r="C370" t="str">
        <f>RAW_DATA!C370</f>
        <v>Williams</v>
      </c>
      <c r="D370">
        <f>RAW_DATA!D370</f>
        <v>40</v>
      </c>
      <c r="E370" t="str">
        <f>RAW_DATA!E370</f>
        <v>DevOps-New York</v>
      </c>
      <c r="F370" t="str">
        <f t="shared" si="15"/>
        <v>DevOps</v>
      </c>
      <c r="G370" t="str">
        <f t="shared" si="16"/>
        <v>New York</v>
      </c>
      <c r="P370">
        <f t="shared" si="17"/>
        <v>96011.55</v>
      </c>
      <c r="Q370">
        <f>IF(PQ_Cleansing!L370="Excellent", P370 * 0.1, IF(PQ_Cleansing!L370="Good", P370 * 0.05, IF(PQ_Cleansing!L370="Average", P370 * 0.02, IF(PQ_Cleansing!L370="Poor", 0, 0))))</f>
        <v>1920.231</v>
      </c>
      <c r="R370">
        <f>IFERROR(VALUE(SUBSTITUTE(SUBSTITUTE(PQ_Cleansing!I370, "$", ""), ",", "")), "")</f>
        <v>96011.55</v>
      </c>
    </row>
    <row r="371" spans="1:18" x14ac:dyDescent="0.25">
      <c r="A371" t="str">
        <f>PROPER(TRIM(CLEAN(RAW_DATA!A371)))</f>
        <v>Emp1369</v>
      </c>
      <c r="B371" t="str">
        <f>RAW_DATA!B371</f>
        <v>David</v>
      </c>
      <c r="C371" t="str">
        <f>RAW_DATA!C371</f>
        <v>Davis</v>
      </c>
      <c r="D371">
        <f>RAW_DATA!D371</f>
        <v>40</v>
      </c>
      <c r="E371" t="str">
        <f>RAW_DATA!E371</f>
        <v>Sales-Florida</v>
      </c>
      <c r="F371" t="str">
        <f t="shared" si="15"/>
        <v>Sales</v>
      </c>
      <c r="G371" t="str">
        <f t="shared" si="16"/>
        <v>Florida</v>
      </c>
      <c r="P371">
        <f t="shared" si="17"/>
        <v>99331.49</v>
      </c>
      <c r="Q371">
        <f>IF(PQ_Cleansing!L371="Excellent", P371 * 0.1, IF(PQ_Cleansing!L371="Good", P371 * 0.05, IF(PQ_Cleansing!L371="Average", P371 * 0.02, IF(PQ_Cleansing!L371="Poor", 0, 0))))</f>
        <v>9933.1490000000013</v>
      </c>
      <c r="R371">
        <f>IFERROR(VALUE(SUBSTITUTE(SUBSTITUTE(PQ_Cleansing!I371, "$", ""), ",", "")), "")</f>
        <v>99331.49</v>
      </c>
    </row>
    <row r="372" spans="1:18" x14ac:dyDescent="0.25">
      <c r="A372" t="str">
        <f>PROPER(TRIM(CLEAN(RAW_DATA!A372)))</f>
        <v>Emp1370</v>
      </c>
      <c r="B372" t="str">
        <f>RAW_DATA!B372</f>
        <v>Bob</v>
      </c>
      <c r="C372" t="str">
        <f>RAW_DATA!C372</f>
        <v>Brown</v>
      </c>
      <c r="D372">
        <f>RAW_DATA!D372</f>
        <v>0</v>
      </c>
      <c r="E372" t="str">
        <f>RAW_DATA!E372</f>
        <v>Cloud Tech-Illinois</v>
      </c>
      <c r="F372" t="str">
        <f t="shared" si="15"/>
        <v>Cloud Tech</v>
      </c>
      <c r="G372" t="str">
        <f t="shared" si="16"/>
        <v>Illinois</v>
      </c>
      <c r="P372">
        <f t="shared" si="17"/>
        <v>72818.94</v>
      </c>
      <c r="Q372">
        <f>IF(PQ_Cleansing!L372="Excellent", P372 * 0.1, IF(PQ_Cleansing!L372="Good", P372 * 0.05, IF(PQ_Cleansing!L372="Average", P372 * 0.02, IF(PQ_Cleansing!L372="Poor", 0, 0))))</f>
        <v>3640.9470000000001</v>
      </c>
      <c r="R372">
        <f>IFERROR(VALUE(SUBSTITUTE(SUBSTITUTE(PQ_Cleansing!I372, "$", ""), ",", "")), "")</f>
        <v>72818.94</v>
      </c>
    </row>
    <row r="373" spans="1:18" x14ac:dyDescent="0.25">
      <c r="A373" t="str">
        <f>PROPER(TRIM(CLEAN(RAW_DATA!A373)))</f>
        <v>Emp1371</v>
      </c>
      <c r="B373" t="str">
        <f>RAW_DATA!B373</f>
        <v>Eva</v>
      </c>
      <c r="C373" t="str">
        <f>RAW_DATA!C373</f>
        <v>Garcia</v>
      </c>
      <c r="D373">
        <f>RAW_DATA!D373</f>
        <v>40</v>
      </c>
      <c r="E373" t="str">
        <f>RAW_DATA!E373</f>
        <v>Sales-Nevada</v>
      </c>
      <c r="F373" t="str">
        <f t="shared" si="15"/>
        <v>Sales</v>
      </c>
      <c r="G373" t="str">
        <f t="shared" si="16"/>
        <v>Nevada</v>
      </c>
      <c r="P373">
        <f t="shared" si="17"/>
        <v>77204.75</v>
      </c>
      <c r="Q373">
        <f>IF(PQ_Cleansing!L373="Excellent", P373 * 0.1, IF(PQ_Cleansing!L373="Good", P373 * 0.05, IF(PQ_Cleansing!L373="Average", P373 * 0.02, IF(PQ_Cleansing!L373="Poor", 0, 0))))</f>
        <v>3860.2375000000002</v>
      </c>
      <c r="R373">
        <f>IFERROR(VALUE(SUBSTITUTE(SUBSTITUTE(PQ_Cleansing!I373, "$", ""), ",", "")), "")</f>
        <v>77204.75</v>
      </c>
    </row>
    <row r="374" spans="1:18" x14ac:dyDescent="0.25">
      <c r="A374" t="str">
        <f>PROPER(TRIM(CLEAN(RAW_DATA!A374)))</f>
        <v>Emp1372</v>
      </c>
      <c r="B374" t="str">
        <f>RAW_DATA!B374</f>
        <v>Bob</v>
      </c>
      <c r="C374" t="str">
        <f>RAW_DATA!C374</f>
        <v>Johnson</v>
      </c>
      <c r="D374">
        <f>RAW_DATA!D374</f>
        <v>35</v>
      </c>
      <c r="E374" t="str">
        <f>RAW_DATA!E374</f>
        <v>HR-Florida</v>
      </c>
      <c r="F374" t="str">
        <f t="shared" si="15"/>
        <v>HR</v>
      </c>
      <c r="G374" t="str">
        <f t="shared" si="16"/>
        <v>Florida</v>
      </c>
      <c r="P374">
        <f t="shared" si="17"/>
        <v>106961.68</v>
      </c>
      <c r="Q374">
        <f>IF(PQ_Cleansing!L374="Excellent", P374 * 0.1, IF(PQ_Cleansing!L374="Good", P374 * 0.05, IF(PQ_Cleansing!L374="Average", P374 * 0.02, IF(PQ_Cleansing!L374="Poor", 0, 0))))</f>
        <v>0</v>
      </c>
      <c r="R374">
        <f>IFERROR(VALUE(SUBSTITUTE(SUBSTITUTE(PQ_Cleansing!I374, "$", ""), ",", "")), "")</f>
        <v>106961.68</v>
      </c>
    </row>
    <row r="375" spans="1:18" x14ac:dyDescent="0.25">
      <c r="A375" t="str">
        <f>PROPER(TRIM(CLEAN(RAW_DATA!A375)))</f>
        <v>Emp1373</v>
      </c>
      <c r="B375" t="str">
        <f>RAW_DATA!B375</f>
        <v>Eva</v>
      </c>
      <c r="C375" t="str">
        <f>RAW_DATA!C375</f>
        <v>Garcia</v>
      </c>
      <c r="D375">
        <f>RAW_DATA!D375</f>
        <v>0</v>
      </c>
      <c r="E375" t="str">
        <f>RAW_DATA!E375</f>
        <v>Sales-Texas</v>
      </c>
      <c r="F375" t="str">
        <f t="shared" si="15"/>
        <v>Sales</v>
      </c>
      <c r="G375" t="str">
        <f t="shared" si="16"/>
        <v>Texas</v>
      </c>
      <c r="P375">
        <f t="shared" si="17"/>
        <v>71923</v>
      </c>
      <c r="Q375">
        <f>IF(PQ_Cleansing!L375="Excellent", P375 * 0.1, IF(PQ_Cleansing!L375="Good", P375 * 0.05, IF(PQ_Cleansing!L375="Average", P375 * 0.02, IF(PQ_Cleansing!L375="Poor", 0, 0))))</f>
        <v>3596.15</v>
      </c>
      <c r="R375">
        <f>IFERROR(VALUE(SUBSTITUTE(SUBSTITUTE(PQ_Cleansing!I375, "$", ""), ",", "")), "")</f>
        <v>71923</v>
      </c>
    </row>
    <row r="376" spans="1:18" x14ac:dyDescent="0.25">
      <c r="A376" t="str">
        <f>PROPER(TRIM(CLEAN(RAW_DATA!A376)))</f>
        <v>Emp1374</v>
      </c>
      <c r="B376" t="str">
        <f>RAW_DATA!B376</f>
        <v>Bob</v>
      </c>
      <c r="C376" t="str">
        <f>RAW_DATA!C376</f>
        <v>Smith</v>
      </c>
      <c r="D376">
        <f>RAW_DATA!D376</f>
        <v>30</v>
      </c>
      <c r="E376" t="str">
        <f>RAW_DATA!E376</f>
        <v>HR-Nevada</v>
      </c>
      <c r="F376" t="str">
        <f t="shared" si="15"/>
        <v>HR</v>
      </c>
      <c r="G376" t="str">
        <f t="shared" si="16"/>
        <v>Nevada</v>
      </c>
      <c r="P376">
        <f t="shared" si="17"/>
        <v>77192.429999999993</v>
      </c>
      <c r="Q376">
        <f>IF(PQ_Cleansing!L376="Excellent", P376 * 0.1, IF(PQ_Cleansing!L376="Good", P376 * 0.05, IF(PQ_Cleansing!L376="Average", P376 * 0.02, IF(PQ_Cleansing!L376="Poor", 0, 0))))</f>
        <v>7719.2429999999995</v>
      </c>
      <c r="R376">
        <f>IFERROR(VALUE(SUBSTITUTE(SUBSTITUTE(PQ_Cleansing!I376, "$", ""), ",", "")), "")</f>
        <v>77192.429999999993</v>
      </c>
    </row>
    <row r="377" spans="1:18" x14ac:dyDescent="0.25">
      <c r="A377" t="str">
        <f>PROPER(TRIM(CLEAN(RAW_DATA!A377)))</f>
        <v>Emp1375</v>
      </c>
      <c r="B377" t="str">
        <f>RAW_DATA!B377</f>
        <v>Grace</v>
      </c>
      <c r="C377" t="str">
        <f>RAW_DATA!C377</f>
        <v>Brown</v>
      </c>
      <c r="D377">
        <f>RAW_DATA!D377</f>
        <v>40</v>
      </c>
      <c r="E377" t="str">
        <f>RAW_DATA!E377</f>
        <v>Admin-Florida</v>
      </c>
      <c r="F377" t="str">
        <f t="shared" si="15"/>
        <v>Admin</v>
      </c>
      <c r="G377" t="str">
        <f t="shared" si="16"/>
        <v>Florida</v>
      </c>
      <c r="P377">
        <f t="shared" si="17"/>
        <v>98540.3</v>
      </c>
      <c r="Q377">
        <f>IF(PQ_Cleansing!L377="Excellent", P377 * 0.1, IF(PQ_Cleansing!L377="Good", P377 * 0.05, IF(PQ_Cleansing!L377="Average", P377 * 0.02, IF(PQ_Cleansing!L377="Poor", 0, 0))))</f>
        <v>4927.0150000000003</v>
      </c>
      <c r="R377">
        <f>IFERROR(VALUE(SUBSTITUTE(SUBSTITUTE(PQ_Cleansing!I377, "$", ""), ",", "")), "")</f>
        <v>98540.3</v>
      </c>
    </row>
    <row r="378" spans="1:18" x14ac:dyDescent="0.25">
      <c r="A378" t="str">
        <f>PROPER(TRIM(CLEAN(RAW_DATA!A378)))</f>
        <v>Emp1376</v>
      </c>
      <c r="B378" t="str">
        <f>RAW_DATA!B378</f>
        <v>Charlie</v>
      </c>
      <c r="C378" t="str">
        <f>RAW_DATA!C378</f>
        <v>Brown</v>
      </c>
      <c r="D378">
        <f>RAW_DATA!D378</f>
        <v>0</v>
      </c>
      <c r="E378" t="str">
        <f>RAW_DATA!E378</f>
        <v>Admin-Florida</v>
      </c>
      <c r="F378" t="str">
        <f t="shared" si="15"/>
        <v>Admin</v>
      </c>
      <c r="G378" t="str">
        <f t="shared" si="16"/>
        <v>Florida</v>
      </c>
      <c r="P378">
        <f t="shared" si="17"/>
        <v>63096.9</v>
      </c>
      <c r="Q378">
        <f>IF(PQ_Cleansing!L378="Excellent", P378 * 0.1, IF(PQ_Cleansing!L378="Good", P378 * 0.05, IF(PQ_Cleansing!L378="Average", P378 * 0.02, IF(PQ_Cleansing!L378="Poor", 0, 0))))</f>
        <v>1261.9380000000001</v>
      </c>
      <c r="R378">
        <f>IFERROR(VALUE(SUBSTITUTE(SUBSTITUTE(PQ_Cleansing!I378, "$", ""), ",", "")), "")</f>
        <v>63096.9</v>
      </c>
    </row>
    <row r="379" spans="1:18" x14ac:dyDescent="0.25">
      <c r="A379" t="str">
        <f>PROPER(TRIM(CLEAN(RAW_DATA!A379)))</f>
        <v>Emp1377</v>
      </c>
      <c r="B379" t="str">
        <f>RAW_DATA!B379</f>
        <v>Alice</v>
      </c>
      <c r="C379" t="str">
        <f>RAW_DATA!C379</f>
        <v>Smith</v>
      </c>
      <c r="D379">
        <f>RAW_DATA!D379</f>
        <v>35</v>
      </c>
      <c r="E379" t="str">
        <f>RAW_DATA!E379</f>
        <v>Cloud Tech-Florida</v>
      </c>
      <c r="F379" t="str">
        <f t="shared" si="15"/>
        <v>Cloud Tech</v>
      </c>
      <c r="G379" t="str">
        <f t="shared" si="16"/>
        <v>Florida</v>
      </c>
      <c r="P379">
        <f t="shared" si="17"/>
        <v>107065.12</v>
      </c>
      <c r="Q379">
        <f>IF(PQ_Cleansing!L379="Excellent", P379 * 0.1, IF(PQ_Cleansing!L379="Good", P379 * 0.05, IF(PQ_Cleansing!L379="Average", P379 * 0.02, IF(PQ_Cleansing!L379="Poor", 0, 0))))</f>
        <v>2141.3024</v>
      </c>
      <c r="R379">
        <f>IFERROR(VALUE(SUBSTITUTE(SUBSTITUTE(PQ_Cleansing!I379, "$", ""), ",", "")), "")</f>
        <v>107065.12</v>
      </c>
    </row>
    <row r="380" spans="1:18" x14ac:dyDescent="0.25">
      <c r="A380" t="str">
        <f>PROPER(TRIM(CLEAN(RAW_DATA!A380)))</f>
        <v>Emp1378</v>
      </c>
      <c r="B380" t="str">
        <f>RAW_DATA!B380</f>
        <v>Heidi</v>
      </c>
      <c r="C380" t="str">
        <f>RAW_DATA!C380</f>
        <v>Johnson</v>
      </c>
      <c r="D380">
        <f>RAW_DATA!D380</f>
        <v>40</v>
      </c>
      <c r="E380" t="str">
        <f>RAW_DATA!E380</f>
        <v>DevOps-Florida</v>
      </c>
      <c r="F380" t="str">
        <f t="shared" si="15"/>
        <v>DevOps</v>
      </c>
      <c r="G380" t="str">
        <f t="shared" si="16"/>
        <v>Florida</v>
      </c>
      <c r="P380">
        <f t="shared" si="17"/>
        <v>108792.43</v>
      </c>
      <c r="Q380">
        <f>IF(PQ_Cleansing!L380="Excellent", P380 * 0.1, IF(PQ_Cleansing!L380="Good", P380 * 0.05, IF(PQ_Cleansing!L380="Average", P380 * 0.02, IF(PQ_Cleansing!L380="Poor", 0, 0))))</f>
        <v>0</v>
      </c>
      <c r="R380">
        <f>IFERROR(VALUE(SUBSTITUTE(SUBSTITUTE(PQ_Cleansing!I380, "$", ""), ",", "")), "")</f>
        <v>108792.43</v>
      </c>
    </row>
    <row r="381" spans="1:18" x14ac:dyDescent="0.25">
      <c r="A381" t="str">
        <f>PROPER(TRIM(CLEAN(RAW_DATA!A381)))</f>
        <v>Emp1379</v>
      </c>
      <c r="B381" t="str">
        <f>RAW_DATA!B381</f>
        <v>Bob</v>
      </c>
      <c r="C381" t="str">
        <f>RAW_DATA!C381</f>
        <v>Smith</v>
      </c>
      <c r="D381">
        <f>RAW_DATA!D381</f>
        <v>0</v>
      </c>
      <c r="E381" t="str">
        <f>RAW_DATA!E381</f>
        <v>Cloud Tech-New York</v>
      </c>
      <c r="F381" t="str">
        <f t="shared" si="15"/>
        <v>Cloud Tech</v>
      </c>
      <c r="G381" t="str">
        <f t="shared" si="16"/>
        <v>New York</v>
      </c>
      <c r="P381">
        <f t="shared" si="17"/>
        <v>69239.7</v>
      </c>
      <c r="Q381">
        <f>IF(PQ_Cleansing!L381="Excellent", P381 * 0.1, IF(PQ_Cleansing!L381="Good", P381 * 0.05, IF(PQ_Cleansing!L381="Average", P381 * 0.02, IF(PQ_Cleansing!L381="Poor", 0, 0))))</f>
        <v>6923.97</v>
      </c>
      <c r="R381">
        <f>IFERROR(VALUE(SUBSTITUTE(SUBSTITUTE(PQ_Cleansing!I381, "$", ""), ",", "")), "")</f>
        <v>69239.7</v>
      </c>
    </row>
    <row r="382" spans="1:18" x14ac:dyDescent="0.25">
      <c r="A382" t="str">
        <f>PROPER(TRIM(CLEAN(RAW_DATA!A382)))</f>
        <v>Emp1380</v>
      </c>
      <c r="B382" t="str">
        <f>RAW_DATA!B382</f>
        <v>Charlie</v>
      </c>
      <c r="C382" t="str">
        <f>RAW_DATA!C382</f>
        <v>Garcia</v>
      </c>
      <c r="D382">
        <f>RAW_DATA!D382</f>
        <v>40</v>
      </c>
      <c r="E382" t="str">
        <f>RAW_DATA!E382</f>
        <v>Sales-Nevada</v>
      </c>
      <c r="F382" t="str">
        <f t="shared" si="15"/>
        <v>Sales</v>
      </c>
      <c r="G382" t="str">
        <f t="shared" si="16"/>
        <v>Nevada</v>
      </c>
      <c r="P382">
        <f t="shared" si="17"/>
        <v>85756.42</v>
      </c>
      <c r="Q382">
        <f>IF(PQ_Cleansing!L382="Excellent", P382 * 0.1, IF(PQ_Cleansing!L382="Good", P382 * 0.05, IF(PQ_Cleansing!L382="Average", P382 * 0.02, IF(PQ_Cleansing!L382="Poor", 0, 0))))</f>
        <v>1715.1284000000001</v>
      </c>
      <c r="R382">
        <f>IFERROR(VALUE(SUBSTITUTE(SUBSTITUTE(PQ_Cleansing!I382, "$", ""), ",", "")), "")</f>
        <v>85756.42</v>
      </c>
    </row>
    <row r="383" spans="1:18" x14ac:dyDescent="0.25">
      <c r="A383" t="str">
        <f>PROPER(TRIM(CLEAN(RAW_DATA!A383)))</f>
        <v>Emp1381</v>
      </c>
      <c r="B383" t="str">
        <f>RAW_DATA!B383</f>
        <v>Eva</v>
      </c>
      <c r="C383" t="str">
        <f>RAW_DATA!C383</f>
        <v>Miller</v>
      </c>
      <c r="D383">
        <f>RAW_DATA!D383</f>
        <v>0</v>
      </c>
      <c r="E383" t="str">
        <f>RAW_DATA!E383</f>
        <v>HR-Illinois</v>
      </c>
      <c r="F383" t="str">
        <f t="shared" si="15"/>
        <v>HR</v>
      </c>
      <c r="G383" t="str">
        <f t="shared" si="16"/>
        <v>Illinois</v>
      </c>
      <c r="P383">
        <f t="shared" si="17"/>
        <v>100328.62</v>
      </c>
      <c r="Q383">
        <f>IF(PQ_Cleansing!L383="Excellent", P383 * 0.1, IF(PQ_Cleansing!L383="Good", P383 * 0.05, IF(PQ_Cleansing!L383="Average", P383 * 0.02, IF(PQ_Cleansing!L383="Poor", 0, 0))))</f>
        <v>2006.5724</v>
      </c>
      <c r="R383">
        <f>IFERROR(VALUE(SUBSTITUTE(SUBSTITUTE(PQ_Cleansing!I383, "$", ""), ",", "")), "")</f>
        <v>100328.62</v>
      </c>
    </row>
    <row r="384" spans="1:18" x14ac:dyDescent="0.25">
      <c r="A384" t="str">
        <f>PROPER(TRIM(CLEAN(RAW_DATA!A384)))</f>
        <v>Emp1382</v>
      </c>
      <c r="B384" t="str">
        <f>RAW_DATA!B384</f>
        <v>Grace</v>
      </c>
      <c r="C384" t="str">
        <f>RAW_DATA!C384</f>
        <v>Brown</v>
      </c>
      <c r="D384">
        <f>RAW_DATA!D384</f>
        <v>25</v>
      </c>
      <c r="E384" t="str">
        <f>RAW_DATA!E384</f>
        <v>DevOps-Nevada</v>
      </c>
      <c r="F384" t="str">
        <f t="shared" si="15"/>
        <v>DevOps</v>
      </c>
      <c r="G384" t="str">
        <f t="shared" si="16"/>
        <v>Nevada</v>
      </c>
      <c r="P384">
        <f t="shared" si="17"/>
        <v>111236.69</v>
      </c>
      <c r="Q384">
        <f>IF(PQ_Cleansing!L384="Excellent", P384 * 0.1, IF(PQ_Cleansing!L384="Good", P384 * 0.05, IF(PQ_Cleansing!L384="Average", P384 * 0.02, IF(PQ_Cleansing!L384="Poor", 0, 0))))</f>
        <v>11123.669000000002</v>
      </c>
      <c r="R384">
        <f>IFERROR(VALUE(SUBSTITUTE(SUBSTITUTE(PQ_Cleansing!I384, "$", ""), ",", "")), "")</f>
        <v>111236.69</v>
      </c>
    </row>
    <row r="385" spans="1:18" x14ac:dyDescent="0.25">
      <c r="A385" t="str">
        <f>PROPER(TRIM(CLEAN(RAW_DATA!A385)))</f>
        <v>Emp1383</v>
      </c>
      <c r="B385" t="str">
        <f>RAW_DATA!B385</f>
        <v>Eva</v>
      </c>
      <c r="C385" t="str">
        <f>RAW_DATA!C385</f>
        <v>Jones</v>
      </c>
      <c r="D385">
        <f>RAW_DATA!D385</f>
        <v>35</v>
      </c>
      <c r="E385" t="str">
        <f>RAW_DATA!E385</f>
        <v>Cloud Tech-Florida</v>
      </c>
      <c r="F385" t="str">
        <f t="shared" si="15"/>
        <v>Cloud Tech</v>
      </c>
      <c r="G385" t="str">
        <f t="shared" si="16"/>
        <v>Florida</v>
      </c>
      <c r="P385">
        <f t="shared" si="17"/>
        <v>106832.22</v>
      </c>
      <c r="Q385">
        <f>IF(PQ_Cleansing!L385="Excellent", P385 * 0.1, IF(PQ_Cleansing!L385="Good", P385 * 0.05, IF(PQ_Cleansing!L385="Average", P385 * 0.02, IF(PQ_Cleansing!L385="Poor", 0, 0))))</f>
        <v>5341.6110000000008</v>
      </c>
      <c r="R385">
        <f>IFERROR(VALUE(SUBSTITUTE(SUBSTITUTE(PQ_Cleansing!I385, "$", ""), ",", "")), "")</f>
        <v>106832.22</v>
      </c>
    </row>
    <row r="386" spans="1:18" x14ac:dyDescent="0.25">
      <c r="A386" t="str">
        <f>PROPER(TRIM(CLEAN(RAW_DATA!A386)))</f>
        <v>Emp1384</v>
      </c>
      <c r="B386" t="str">
        <f>RAW_DATA!B386</f>
        <v>Frank</v>
      </c>
      <c r="C386" t="str">
        <f>RAW_DATA!C386</f>
        <v>Jones</v>
      </c>
      <c r="D386">
        <f>RAW_DATA!D386</f>
        <v>0</v>
      </c>
      <c r="E386" t="str">
        <f>RAW_DATA!E386</f>
        <v>DevOps-Florida</v>
      </c>
      <c r="F386" t="str">
        <f t="shared" si="15"/>
        <v>DevOps</v>
      </c>
      <c r="G386" t="str">
        <f t="shared" si="16"/>
        <v>Florida</v>
      </c>
      <c r="P386">
        <f t="shared" si="17"/>
        <v>59746.45</v>
      </c>
      <c r="Q386">
        <f>IF(PQ_Cleansing!L386="Excellent", P386 * 0.1, IF(PQ_Cleansing!L386="Good", P386 * 0.05, IF(PQ_Cleansing!L386="Average", P386 * 0.02, IF(PQ_Cleansing!L386="Poor", 0, 0))))</f>
        <v>2987.3225000000002</v>
      </c>
      <c r="R386">
        <f>IFERROR(VALUE(SUBSTITUTE(SUBSTITUTE(PQ_Cleansing!I386, "$", ""), ",", "")), "")</f>
        <v>59746.45</v>
      </c>
    </row>
    <row r="387" spans="1:18" x14ac:dyDescent="0.25">
      <c r="A387" t="str">
        <f>PROPER(TRIM(CLEAN(RAW_DATA!A387)))</f>
        <v>Emp1385</v>
      </c>
      <c r="B387" t="str">
        <f>RAW_DATA!B387</f>
        <v>David</v>
      </c>
      <c r="C387" t="str">
        <f>RAW_DATA!C387</f>
        <v>Garcia</v>
      </c>
      <c r="D387">
        <f>RAW_DATA!D387</f>
        <v>25</v>
      </c>
      <c r="E387" t="str">
        <f>RAW_DATA!E387</f>
        <v>Sales-California</v>
      </c>
      <c r="F387" t="str">
        <f t="shared" ref="F387:F450" si="18">LEFT(E387, FIND("-", E387) - 1)</f>
        <v>Sales</v>
      </c>
      <c r="G387" t="str">
        <f t="shared" ref="G387:G450" si="19">RIGHT(E387, LEN(E387) - FIND("-",E387))</f>
        <v>California</v>
      </c>
      <c r="P387">
        <f t="shared" ref="P387:P450" si="20">IF(ISNUMBER(R387), R387, AVERAGEIF($R$2:$R$1000, "&gt;0"))</f>
        <v>91780.04</v>
      </c>
      <c r="Q387">
        <f>IF(PQ_Cleansing!L387="Excellent", P387 * 0.1, IF(PQ_Cleansing!L387="Good", P387 * 0.05, IF(PQ_Cleansing!L387="Average", P387 * 0.02, IF(PQ_Cleansing!L387="Poor", 0, 0))))</f>
        <v>0</v>
      </c>
      <c r="R387">
        <f>IFERROR(VALUE(SUBSTITUTE(SUBSTITUTE(PQ_Cleansing!I387, "$", ""), ",", "")), "")</f>
        <v>91780.04</v>
      </c>
    </row>
    <row r="388" spans="1:18" x14ac:dyDescent="0.25">
      <c r="A388" t="str">
        <f>PROPER(TRIM(CLEAN(RAW_DATA!A388)))</f>
        <v>Emp1386</v>
      </c>
      <c r="B388" t="str">
        <f>RAW_DATA!B388</f>
        <v>Eva</v>
      </c>
      <c r="C388" t="str">
        <f>RAW_DATA!C388</f>
        <v>Williams</v>
      </c>
      <c r="D388">
        <f>RAW_DATA!D388</f>
        <v>35</v>
      </c>
      <c r="E388" t="str">
        <f>RAW_DATA!E388</f>
        <v>Sales-California</v>
      </c>
      <c r="F388" t="str">
        <f t="shared" si="18"/>
        <v>Sales</v>
      </c>
      <c r="G388" t="str">
        <f t="shared" si="19"/>
        <v>California</v>
      </c>
      <c r="P388">
        <f t="shared" si="20"/>
        <v>107062.66</v>
      </c>
      <c r="Q388">
        <f>IF(PQ_Cleansing!L388="Excellent", P388 * 0.1, IF(PQ_Cleansing!L388="Good", P388 * 0.05, IF(PQ_Cleansing!L388="Average", P388 * 0.02, IF(PQ_Cleansing!L388="Poor", 0, 0))))</f>
        <v>5353.1330000000007</v>
      </c>
      <c r="R388">
        <f>IFERROR(VALUE(SUBSTITUTE(SUBSTITUTE(PQ_Cleansing!I388, "$", ""), ",", "")), "")</f>
        <v>107062.66</v>
      </c>
    </row>
    <row r="389" spans="1:18" x14ac:dyDescent="0.25">
      <c r="A389" t="str">
        <f>PROPER(TRIM(CLEAN(RAW_DATA!A389)))</f>
        <v>Emp1387</v>
      </c>
      <c r="B389" t="str">
        <f>RAW_DATA!B389</f>
        <v>Grace</v>
      </c>
      <c r="C389" t="str">
        <f>RAW_DATA!C389</f>
        <v>Davis</v>
      </c>
      <c r="D389">
        <f>RAW_DATA!D389</f>
        <v>25</v>
      </c>
      <c r="E389" t="str">
        <f>RAW_DATA!E389</f>
        <v>HR-Nevada</v>
      </c>
      <c r="F389" t="str">
        <f t="shared" si="18"/>
        <v>HR</v>
      </c>
      <c r="G389" t="str">
        <f t="shared" si="19"/>
        <v>Nevada</v>
      </c>
      <c r="P389">
        <f t="shared" si="20"/>
        <v>110625.52</v>
      </c>
      <c r="Q389">
        <f>IF(PQ_Cleansing!L389="Excellent", P389 * 0.1, IF(PQ_Cleansing!L389="Good", P389 * 0.05, IF(PQ_Cleansing!L389="Average", P389 * 0.02, IF(PQ_Cleansing!L389="Poor", 0, 0))))</f>
        <v>11062.552000000001</v>
      </c>
      <c r="R389">
        <f>IFERROR(VALUE(SUBSTITUTE(SUBSTITUTE(PQ_Cleansing!I389, "$", ""), ",", "")), "")</f>
        <v>110625.52</v>
      </c>
    </row>
    <row r="390" spans="1:18" x14ac:dyDescent="0.25">
      <c r="A390" t="str">
        <f>PROPER(TRIM(CLEAN(RAW_DATA!A390)))</f>
        <v>Emp1388</v>
      </c>
      <c r="B390" t="str">
        <f>RAW_DATA!B390</f>
        <v>Frank</v>
      </c>
      <c r="C390" t="str">
        <f>RAW_DATA!C390</f>
        <v>Smith</v>
      </c>
      <c r="D390">
        <f>RAW_DATA!D390</f>
        <v>30</v>
      </c>
      <c r="E390" t="str">
        <f>RAW_DATA!E390</f>
        <v>DevOps-Florida</v>
      </c>
      <c r="F390" t="str">
        <f t="shared" si="18"/>
        <v>DevOps</v>
      </c>
      <c r="G390" t="str">
        <f t="shared" si="19"/>
        <v>Florida</v>
      </c>
      <c r="P390">
        <f t="shared" si="20"/>
        <v>90419.79</v>
      </c>
      <c r="Q390">
        <f>IF(PQ_Cleansing!L390="Excellent", P390 * 0.1, IF(PQ_Cleansing!L390="Good", P390 * 0.05, IF(PQ_Cleansing!L390="Average", P390 * 0.02, IF(PQ_Cleansing!L390="Poor", 0, 0))))</f>
        <v>1808.3958</v>
      </c>
      <c r="R390">
        <f>IFERROR(VALUE(SUBSTITUTE(SUBSTITUTE(PQ_Cleansing!I390, "$", ""), ",", "")), "")</f>
        <v>90419.79</v>
      </c>
    </row>
    <row r="391" spans="1:18" x14ac:dyDescent="0.25">
      <c r="A391" t="str">
        <f>PROPER(TRIM(CLEAN(RAW_DATA!A391)))</f>
        <v>Emp1389</v>
      </c>
      <c r="B391" t="str">
        <f>RAW_DATA!B391</f>
        <v>Grace</v>
      </c>
      <c r="C391" t="str">
        <f>RAW_DATA!C391</f>
        <v>Smith</v>
      </c>
      <c r="D391">
        <f>RAW_DATA!D391</f>
        <v>40</v>
      </c>
      <c r="E391" t="str">
        <f>RAW_DATA!E391</f>
        <v>Finance-Texas</v>
      </c>
      <c r="F391" t="str">
        <f t="shared" si="18"/>
        <v>Finance</v>
      </c>
      <c r="G391" t="str">
        <f t="shared" si="19"/>
        <v>Texas</v>
      </c>
      <c r="P391">
        <f t="shared" si="20"/>
        <v>111608.76</v>
      </c>
      <c r="Q391">
        <f>IF(PQ_Cleansing!L391="Excellent", P391 * 0.1, IF(PQ_Cleansing!L391="Good", P391 * 0.05, IF(PQ_Cleansing!L391="Average", P391 * 0.02, IF(PQ_Cleansing!L391="Poor", 0, 0))))</f>
        <v>5580.4380000000001</v>
      </c>
      <c r="R391">
        <f>IFERROR(VALUE(SUBSTITUTE(SUBSTITUTE(PQ_Cleansing!I391, "$", ""), ",", "")), "")</f>
        <v>111608.76</v>
      </c>
    </row>
    <row r="392" spans="1:18" x14ac:dyDescent="0.25">
      <c r="A392" t="str">
        <f>PROPER(TRIM(CLEAN(RAW_DATA!A392)))</f>
        <v>Emp1390</v>
      </c>
      <c r="B392" t="str">
        <f>RAW_DATA!B392</f>
        <v>Eva</v>
      </c>
      <c r="C392" t="str">
        <f>RAW_DATA!C392</f>
        <v>Williams</v>
      </c>
      <c r="D392">
        <f>RAW_DATA!D392</f>
        <v>35</v>
      </c>
      <c r="E392" t="str">
        <f>RAW_DATA!E392</f>
        <v>Finance-Florida</v>
      </c>
      <c r="F392" t="str">
        <f t="shared" si="18"/>
        <v>Finance</v>
      </c>
      <c r="G392" t="str">
        <f t="shared" si="19"/>
        <v>Florida</v>
      </c>
      <c r="P392">
        <f t="shared" si="20"/>
        <v>50173.120000000003</v>
      </c>
      <c r="Q392">
        <f>IF(PQ_Cleansing!L392="Excellent", P392 * 0.1, IF(PQ_Cleansing!L392="Good", P392 * 0.05, IF(PQ_Cleansing!L392="Average", P392 * 0.02, IF(PQ_Cleansing!L392="Poor", 0, 0))))</f>
        <v>0</v>
      </c>
      <c r="R392">
        <f>IFERROR(VALUE(SUBSTITUTE(SUBSTITUTE(PQ_Cleansing!I392, "$", ""), ",", "")), "")</f>
        <v>50173.120000000003</v>
      </c>
    </row>
    <row r="393" spans="1:18" x14ac:dyDescent="0.25">
      <c r="A393" t="str">
        <f>PROPER(TRIM(CLEAN(RAW_DATA!A393)))</f>
        <v>Emp1391</v>
      </c>
      <c r="B393" t="str">
        <f>RAW_DATA!B393</f>
        <v>Bob</v>
      </c>
      <c r="C393" t="str">
        <f>RAW_DATA!C393</f>
        <v>Williams</v>
      </c>
      <c r="D393">
        <f>RAW_DATA!D393</f>
        <v>40</v>
      </c>
      <c r="E393" t="str">
        <f>RAW_DATA!E393</f>
        <v>DevOps-Nevada</v>
      </c>
      <c r="F393" t="str">
        <f t="shared" si="18"/>
        <v>DevOps</v>
      </c>
      <c r="G393" t="str">
        <f t="shared" si="19"/>
        <v>Nevada</v>
      </c>
      <c r="P393">
        <f t="shared" si="20"/>
        <v>109507.44</v>
      </c>
      <c r="Q393">
        <f>IF(PQ_Cleansing!L393="Excellent", P393 * 0.1, IF(PQ_Cleansing!L393="Good", P393 * 0.05, IF(PQ_Cleansing!L393="Average", P393 * 0.02, IF(PQ_Cleansing!L393="Poor", 0, 0))))</f>
        <v>5475.3720000000003</v>
      </c>
      <c r="R393">
        <f>IFERROR(VALUE(SUBSTITUTE(SUBSTITUTE(PQ_Cleansing!I393, "$", ""), ",", "")), "")</f>
        <v>109507.44</v>
      </c>
    </row>
    <row r="394" spans="1:18" x14ac:dyDescent="0.25">
      <c r="A394" t="str">
        <f>PROPER(TRIM(CLEAN(RAW_DATA!A394)))</f>
        <v>Emp1392</v>
      </c>
      <c r="B394" t="str">
        <f>RAW_DATA!B394</f>
        <v>Grace</v>
      </c>
      <c r="C394" t="str">
        <f>RAW_DATA!C394</f>
        <v>Garcia</v>
      </c>
      <c r="D394">
        <f>RAW_DATA!D394</f>
        <v>30</v>
      </c>
      <c r="E394" t="str">
        <f>RAW_DATA!E394</f>
        <v>Finance-New York</v>
      </c>
      <c r="F394" t="str">
        <f t="shared" si="18"/>
        <v>Finance</v>
      </c>
      <c r="G394" t="str">
        <f t="shared" si="19"/>
        <v>New York</v>
      </c>
      <c r="P394">
        <f t="shared" si="20"/>
        <v>72600.56</v>
      </c>
      <c r="Q394">
        <f>IF(PQ_Cleansing!L394="Excellent", P394 * 0.1, IF(PQ_Cleansing!L394="Good", P394 * 0.05, IF(PQ_Cleansing!L394="Average", P394 * 0.02, IF(PQ_Cleansing!L394="Poor", 0, 0))))</f>
        <v>7260.0560000000005</v>
      </c>
      <c r="R394">
        <f>IFERROR(VALUE(SUBSTITUTE(SUBSTITUTE(PQ_Cleansing!I394, "$", ""), ",", "")), "")</f>
        <v>72600.56</v>
      </c>
    </row>
    <row r="395" spans="1:18" x14ac:dyDescent="0.25">
      <c r="A395" t="str">
        <f>PROPER(TRIM(CLEAN(RAW_DATA!A395)))</f>
        <v>Emp1393</v>
      </c>
      <c r="B395" t="str">
        <f>RAW_DATA!B395</f>
        <v>Charlie</v>
      </c>
      <c r="C395" t="str">
        <f>RAW_DATA!C395</f>
        <v>Garcia</v>
      </c>
      <c r="D395">
        <f>RAW_DATA!D395</f>
        <v>0</v>
      </c>
      <c r="E395" t="str">
        <f>RAW_DATA!E395</f>
        <v>Finance-California</v>
      </c>
      <c r="F395" t="str">
        <f t="shared" si="18"/>
        <v>Finance</v>
      </c>
      <c r="G395" t="str">
        <f t="shared" si="19"/>
        <v>California</v>
      </c>
      <c r="P395">
        <f t="shared" si="20"/>
        <v>53388.65</v>
      </c>
      <c r="Q395">
        <f>IF(PQ_Cleansing!L395="Excellent", P395 * 0.1, IF(PQ_Cleansing!L395="Good", P395 * 0.05, IF(PQ_Cleansing!L395="Average", P395 * 0.02, IF(PQ_Cleansing!L395="Poor", 0, 0))))</f>
        <v>0</v>
      </c>
      <c r="R395">
        <f>IFERROR(VALUE(SUBSTITUTE(SUBSTITUTE(PQ_Cleansing!I395, "$", ""), ",", "")), "")</f>
        <v>53388.65</v>
      </c>
    </row>
    <row r="396" spans="1:18" x14ac:dyDescent="0.25">
      <c r="A396" t="str">
        <f>PROPER(TRIM(CLEAN(RAW_DATA!A396)))</f>
        <v>Emp1394</v>
      </c>
      <c r="B396" t="str">
        <f>RAW_DATA!B396</f>
        <v>Heidi</v>
      </c>
      <c r="C396" t="str">
        <f>RAW_DATA!C396</f>
        <v>Williams</v>
      </c>
      <c r="D396">
        <f>RAW_DATA!D396</f>
        <v>25</v>
      </c>
      <c r="E396" t="str">
        <f>RAW_DATA!E396</f>
        <v>Cloud Tech-New York</v>
      </c>
      <c r="F396" t="str">
        <f t="shared" si="18"/>
        <v>Cloud Tech</v>
      </c>
      <c r="G396" t="str">
        <f t="shared" si="19"/>
        <v>New York</v>
      </c>
      <c r="P396">
        <f t="shared" si="20"/>
        <v>50047.32</v>
      </c>
      <c r="Q396">
        <f>IF(PQ_Cleansing!L396="Excellent", P396 * 0.1, IF(PQ_Cleansing!L396="Good", P396 * 0.05, IF(PQ_Cleansing!L396="Average", P396 * 0.02, IF(PQ_Cleansing!L396="Poor", 0, 0))))</f>
        <v>2502.366</v>
      </c>
      <c r="R396">
        <f>IFERROR(VALUE(SUBSTITUTE(SUBSTITUTE(PQ_Cleansing!I396, "$", ""), ",", "")), "")</f>
        <v>50047.32</v>
      </c>
    </row>
    <row r="397" spans="1:18" x14ac:dyDescent="0.25">
      <c r="A397" t="str">
        <f>PROPER(TRIM(CLEAN(RAW_DATA!A397)))</f>
        <v>Emp1395</v>
      </c>
      <c r="B397" t="str">
        <f>RAW_DATA!B397</f>
        <v>David</v>
      </c>
      <c r="C397" t="str">
        <f>RAW_DATA!C397</f>
        <v>Brown</v>
      </c>
      <c r="D397">
        <f>RAW_DATA!D397</f>
        <v>30</v>
      </c>
      <c r="E397" t="str">
        <f>RAW_DATA!E397</f>
        <v>DevOps-California</v>
      </c>
      <c r="F397" t="str">
        <f t="shared" si="18"/>
        <v>DevOps</v>
      </c>
      <c r="G397" t="str">
        <f t="shared" si="19"/>
        <v>California</v>
      </c>
      <c r="P397">
        <f t="shared" si="20"/>
        <v>115290.79</v>
      </c>
      <c r="Q397">
        <f>IF(PQ_Cleansing!L397="Excellent", P397 * 0.1, IF(PQ_Cleansing!L397="Good", P397 * 0.05, IF(PQ_Cleansing!L397="Average", P397 * 0.02, IF(PQ_Cleansing!L397="Poor", 0, 0))))</f>
        <v>0</v>
      </c>
      <c r="R397">
        <f>IFERROR(VALUE(SUBSTITUTE(SUBSTITUTE(PQ_Cleansing!I397, "$", ""), ",", "")), "")</f>
        <v>115290.79</v>
      </c>
    </row>
    <row r="398" spans="1:18" x14ac:dyDescent="0.25">
      <c r="A398" t="str">
        <f>PROPER(TRIM(CLEAN(RAW_DATA!A398)))</f>
        <v>Emp1396</v>
      </c>
      <c r="B398" t="str">
        <f>RAW_DATA!B398</f>
        <v>Frank</v>
      </c>
      <c r="C398" t="str">
        <f>RAW_DATA!C398</f>
        <v>Garcia</v>
      </c>
      <c r="D398">
        <f>RAW_DATA!D398</f>
        <v>35</v>
      </c>
      <c r="E398" t="str">
        <f>RAW_DATA!E398</f>
        <v>Cloud Tech-California</v>
      </c>
      <c r="F398" t="str">
        <f t="shared" si="18"/>
        <v>Cloud Tech</v>
      </c>
      <c r="G398" t="str">
        <f t="shared" si="19"/>
        <v>California</v>
      </c>
      <c r="P398">
        <f t="shared" si="20"/>
        <v>61586.76</v>
      </c>
      <c r="Q398">
        <f>IF(PQ_Cleansing!L398="Excellent", P398 * 0.1, IF(PQ_Cleansing!L398="Good", P398 * 0.05, IF(PQ_Cleansing!L398="Average", P398 * 0.02, IF(PQ_Cleansing!L398="Poor", 0, 0))))</f>
        <v>6158.6760000000004</v>
      </c>
      <c r="R398">
        <f>IFERROR(VALUE(SUBSTITUTE(SUBSTITUTE(PQ_Cleansing!I398, "$", ""), ",", "")), "")</f>
        <v>61586.76</v>
      </c>
    </row>
    <row r="399" spans="1:18" x14ac:dyDescent="0.25">
      <c r="A399" t="str">
        <f>PROPER(TRIM(CLEAN(RAW_DATA!A399)))</f>
        <v>Emp1397</v>
      </c>
      <c r="B399" t="str">
        <f>RAW_DATA!B399</f>
        <v>Eva</v>
      </c>
      <c r="C399" t="str">
        <f>RAW_DATA!C399</f>
        <v>Miller</v>
      </c>
      <c r="D399">
        <f>RAW_DATA!D399</f>
        <v>30</v>
      </c>
      <c r="E399" t="str">
        <f>RAW_DATA!E399</f>
        <v>Finance-Nevada</v>
      </c>
      <c r="F399" t="str">
        <f t="shared" si="18"/>
        <v>Finance</v>
      </c>
      <c r="G399" t="str">
        <f t="shared" si="19"/>
        <v>Nevada</v>
      </c>
      <c r="P399">
        <f t="shared" si="20"/>
        <v>56662.86</v>
      </c>
      <c r="Q399">
        <f>IF(PQ_Cleansing!L399="Excellent", P399 * 0.1, IF(PQ_Cleansing!L399="Good", P399 * 0.05, IF(PQ_Cleansing!L399="Average", P399 * 0.02, IF(PQ_Cleansing!L399="Poor", 0, 0))))</f>
        <v>1133.2572</v>
      </c>
      <c r="R399">
        <f>IFERROR(VALUE(SUBSTITUTE(SUBSTITUTE(PQ_Cleansing!I399, "$", ""), ",", "")), "")</f>
        <v>56662.86</v>
      </c>
    </row>
    <row r="400" spans="1:18" x14ac:dyDescent="0.25">
      <c r="A400" t="str">
        <f>PROPER(TRIM(CLEAN(RAW_DATA!A400)))</f>
        <v>Emp1398</v>
      </c>
      <c r="B400" t="str">
        <f>RAW_DATA!B400</f>
        <v>Bob</v>
      </c>
      <c r="C400" t="str">
        <f>RAW_DATA!C400</f>
        <v>Garcia</v>
      </c>
      <c r="D400">
        <f>RAW_DATA!D400</f>
        <v>30</v>
      </c>
      <c r="E400" t="str">
        <f>RAW_DATA!E400</f>
        <v>Sales-New York</v>
      </c>
      <c r="F400" t="str">
        <f t="shared" si="18"/>
        <v>Sales</v>
      </c>
      <c r="G400" t="str">
        <f t="shared" si="19"/>
        <v>New York</v>
      </c>
      <c r="P400">
        <f t="shared" si="20"/>
        <v>85268.279969293711</v>
      </c>
      <c r="Q400">
        <f>IF(PQ_Cleansing!L400="Excellent", P400 * 0.1, IF(PQ_Cleansing!L400="Good", P400 * 0.05, IF(PQ_Cleansing!L400="Average", P400 * 0.02, IF(PQ_Cleansing!L400="Poor", 0, 0))))</f>
        <v>8526.8279969293708</v>
      </c>
      <c r="R400" t="str">
        <f>IFERROR(VALUE(SUBSTITUTE(SUBSTITUTE(PQ_Cleansing!I400, "$", ""), ",", "")), "")</f>
        <v/>
      </c>
    </row>
    <row r="401" spans="1:18" x14ac:dyDescent="0.25">
      <c r="A401" t="str">
        <f>PROPER(TRIM(CLEAN(RAW_DATA!A401)))</f>
        <v>Emp1399</v>
      </c>
      <c r="B401" t="str">
        <f>RAW_DATA!B401</f>
        <v>Frank</v>
      </c>
      <c r="C401" t="str">
        <f>RAW_DATA!C401</f>
        <v>Smith</v>
      </c>
      <c r="D401">
        <f>RAW_DATA!D401</f>
        <v>25</v>
      </c>
      <c r="E401" t="str">
        <f>RAW_DATA!E401</f>
        <v>Finance-Nevada</v>
      </c>
      <c r="F401" t="str">
        <f t="shared" si="18"/>
        <v>Finance</v>
      </c>
      <c r="G401" t="str">
        <f t="shared" si="19"/>
        <v>Nevada</v>
      </c>
      <c r="P401">
        <f t="shared" si="20"/>
        <v>54957.98</v>
      </c>
      <c r="Q401">
        <f>IF(PQ_Cleansing!L401="Excellent", P401 * 0.1, IF(PQ_Cleansing!L401="Good", P401 * 0.05, IF(PQ_Cleansing!L401="Average", P401 * 0.02, IF(PQ_Cleansing!L401="Poor", 0, 0))))</f>
        <v>5495.7980000000007</v>
      </c>
      <c r="R401">
        <f>IFERROR(VALUE(SUBSTITUTE(SUBSTITUTE(PQ_Cleansing!I401, "$", ""), ",", "")), "")</f>
        <v>54957.98</v>
      </c>
    </row>
    <row r="402" spans="1:18" x14ac:dyDescent="0.25">
      <c r="A402" t="str">
        <f>PROPER(TRIM(CLEAN(RAW_DATA!A402)))</f>
        <v>Emp1400</v>
      </c>
      <c r="B402" t="str">
        <f>RAW_DATA!B402</f>
        <v>Bob</v>
      </c>
      <c r="C402" t="str">
        <f>RAW_DATA!C402</f>
        <v>Garcia</v>
      </c>
      <c r="D402">
        <f>RAW_DATA!D402</f>
        <v>25</v>
      </c>
      <c r="E402" t="str">
        <f>RAW_DATA!E402</f>
        <v>HR-California</v>
      </c>
      <c r="F402" t="str">
        <f t="shared" si="18"/>
        <v>HR</v>
      </c>
      <c r="G402" t="str">
        <f t="shared" si="19"/>
        <v>California</v>
      </c>
      <c r="P402">
        <f t="shared" si="20"/>
        <v>76790.47</v>
      </c>
      <c r="Q402">
        <f>IF(PQ_Cleansing!L402="Excellent", P402 * 0.1, IF(PQ_Cleansing!L402="Good", P402 * 0.05, IF(PQ_Cleansing!L402="Average", P402 * 0.02, IF(PQ_Cleansing!L402="Poor", 0, 0))))</f>
        <v>7679.0470000000005</v>
      </c>
      <c r="R402">
        <f>IFERROR(VALUE(SUBSTITUTE(SUBSTITUTE(PQ_Cleansing!I402, "$", ""), ",", "")), "")</f>
        <v>76790.47</v>
      </c>
    </row>
    <row r="403" spans="1:18" x14ac:dyDescent="0.25">
      <c r="A403" t="str">
        <f>PROPER(TRIM(CLEAN(RAW_DATA!A403)))</f>
        <v>Emp1401</v>
      </c>
      <c r="B403" t="str">
        <f>RAW_DATA!B403</f>
        <v>Charlie</v>
      </c>
      <c r="C403" t="str">
        <f>RAW_DATA!C403</f>
        <v>Brown</v>
      </c>
      <c r="D403">
        <f>RAW_DATA!D403</f>
        <v>30</v>
      </c>
      <c r="E403" t="str">
        <f>RAW_DATA!E403</f>
        <v>Cloud Tech-Illinois</v>
      </c>
      <c r="F403" t="str">
        <f t="shared" si="18"/>
        <v>Cloud Tech</v>
      </c>
      <c r="G403" t="str">
        <f t="shared" si="19"/>
        <v>Illinois</v>
      </c>
      <c r="P403">
        <f t="shared" si="20"/>
        <v>92722.35</v>
      </c>
      <c r="Q403">
        <f>IF(PQ_Cleansing!L403="Excellent", P403 * 0.1, IF(PQ_Cleansing!L403="Good", P403 * 0.05, IF(PQ_Cleansing!L403="Average", P403 * 0.02, IF(PQ_Cleansing!L403="Poor", 0, 0))))</f>
        <v>9272.2350000000006</v>
      </c>
      <c r="R403">
        <f>IFERROR(VALUE(SUBSTITUTE(SUBSTITUTE(PQ_Cleansing!I403, "$", ""), ",", "")), "")</f>
        <v>92722.35</v>
      </c>
    </row>
    <row r="404" spans="1:18" x14ac:dyDescent="0.25">
      <c r="A404" t="str">
        <f>PROPER(TRIM(CLEAN(RAW_DATA!A404)))</f>
        <v>Emp1402</v>
      </c>
      <c r="B404" t="str">
        <f>RAW_DATA!B404</f>
        <v>Frank</v>
      </c>
      <c r="C404" t="str">
        <f>RAW_DATA!C404</f>
        <v>Williams</v>
      </c>
      <c r="D404">
        <f>RAW_DATA!D404</f>
        <v>30</v>
      </c>
      <c r="E404" t="str">
        <f>RAW_DATA!E404</f>
        <v>DevOps-Nevada</v>
      </c>
      <c r="F404" t="str">
        <f t="shared" si="18"/>
        <v>DevOps</v>
      </c>
      <c r="G404" t="str">
        <f t="shared" si="19"/>
        <v>Nevada</v>
      </c>
      <c r="P404">
        <f t="shared" si="20"/>
        <v>93125.32</v>
      </c>
      <c r="Q404">
        <f>IF(PQ_Cleansing!L404="Excellent", P404 * 0.1, IF(PQ_Cleansing!L404="Good", P404 * 0.05, IF(PQ_Cleansing!L404="Average", P404 * 0.02, IF(PQ_Cleansing!L404="Poor", 0, 0))))</f>
        <v>1862.5064000000002</v>
      </c>
      <c r="R404">
        <f>IFERROR(VALUE(SUBSTITUTE(SUBSTITUTE(PQ_Cleansing!I404, "$", ""), ",", "")), "")</f>
        <v>93125.32</v>
      </c>
    </row>
    <row r="405" spans="1:18" x14ac:dyDescent="0.25">
      <c r="A405" t="str">
        <f>PROPER(TRIM(CLEAN(RAW_DATA!A405)))</f>
        <v>Emp1403</v>
      </c>
      <c r="B405" t="str">
        <f>RAW_DATA!B405</f>
        <v>David</v>
      </c>
      <c r="C405" t="str">
        <f>RAW_DATA!C405</f>
        <v>Smith</v>
      </c>
      <c r="D405">
        <f>RAW_DATA!D405</f>
        <v>25</v>
      </c>
      <c r="E405" t="str">
        <f>RAW_DATA!E405</f>
        <v>Cloud Tech-New York</v>
      </c>
      <c r="F405" t="str">
        <f t="shared" si="18"/>
        <v>Cloud Tech</v>
      </c>
      <c r="G405" t="str">
        <f t="shared" si="19"/>
        <v>New York</v>
      </c>
      <c r="P405">
        <f t="shared" si="20"/>
        <v>101100.64</v>
      </c>
      <c r="Q405">
        <f>IF(PQ_Cleansing!L405="Excellent", P405 * 0.1, IF(PQ_Cleansing!L405="Good", P405 * 0.05, IF(PQ_Cleansing!L405="Average", P405 * 0.02, IF(PQ_Cleansing!L405="Poor", 0, 0))))</f>
        <v>2022.0128</v>
      </c>
      <c r="R405">
        <f>IFERROR(VALUE(SUBSTITUTE(SUBSTITUTE(PQ_Cleansing!I405, "$", ""), ",", "")), "")</f>
        <v>101100.64</v>
      </c>
    </row>
    <row r="406" spans="1:18" x14ac:dyDescent="0.25">
      <c r="A406" t="str">
        <f>PROPER(TRIM(CLEAN(RAW_DATA!A406)))</f>
        <v>Emp1404</v>
      </c>
      <c r="B406" t="str">
        <f>RAW_DATA!B406</f>
        <v>Grace</v>
      </c>
      <c r="C406" t="str">
        <f>RAW_DATA!C406</f>
        <v>Garcia</v>
      </c>
      <c r="D406">
        <f>RAW_DATA!D406</f>
        <v>35</v>
      </c>
      <c r="E406" t="str">
        <f>RAW_DATA!E406</f>
        <v>Admin-New York</v>
      </c>
      <c r="F406" t="str">
        <f t="shared" si="18"/>
        <v>Admin</v>
      </c>
      <c r="G406" t="str">
        <f t="shared" si="19"/>
        <v>New York</v>
      </c>
      <c r="P406">
        <f t="shared" si="20"/>
        <v>55897.41</v>
      </c>
      <c r="Q406">
        <f>IF(PQ_Cleansing!L406="Excellent", P406 * 0.1, IF(PQ_Cleansing!L406="Good", P406 * 0.05, IF(PQ_Cleansing!L406="Average", P406 * 0.02, IF(PQ_Cleansing!L406="Poor", 0, 0))))</f>
        <v>0</v>
      </c>
      <c r="R406">
        <f>IFERROR(VALUE(SUBSTITUTE(SUBSTITUTE(PQ_Cleansing!I406, "$", ""), ",", "")), "")</f>
        <v>55897.41</v>
      </c>
    </row>
    <row r="407" spans="1:18" x14ac:dyDescent="0.25">
      <c r="A407" t="str">
        <f>PROPER(TRIM(CLEAN(RAW_DATA!A407)))</f>
        <v>Emp1405</v>
      </c>
      <c r="B407" t="str">
        <f>RAW_DATA!B407</f>
        <v>Eva</v>
      </c>
      <c r="C407" t="str">
        <f>RAW_DATA!C407</f>
        <v>Brown</v>
      </c>
      <c r="D407">
        <f>RAW_DATA!D407</f>
        <v>25</v>
      </c>
      <c r="E407" t="str">
        <f>RAW_DATA!E407</f>
        <v>DevOps-California</v>
      </c>
      <c r="F407" t="str">
        <f t="shared" si="18"/>
        <v>DevOps</v>
      </c>
      <c r="G407" t="str">
        <f t="shared" si="19"/>
        <v>California</v>
      </c>
      <c r="P407">
        <f t="shared" si="20"/>
        <v>92484.88</v>
      </c>
      <c r="Q407">
        <f>IF(PQ_Cleansing!L407="Excellent", P407 * 0.1, IF(PQ_Cleansing!L407="Good", P407 * 0.05, IF(PQ_Cleansing!L407="Average", P407 * 0.02, IF(PQ_Cleansing!L407="Poor", 0, 0))))</f>
        <v>4624.2440000000006</v>
      </c>
      <c r="R407">
        <f>IFERROR(VALUE(SUBSTITUTE(SUBSTITUTE(PQ_Cleansing!I407, "$", ""), ",", "")), "")</f>
        <v>92484.88</v>
      </c>
    </row>
    <row r="408" spans="1:18" x14ac:dyDescent="0.25">
      <c r="A408" t="str">
        <f>PROPER(TRIM(CLEAN(RAW_DATA!A408)))</f>
        <v>Emp1406</v>
      </c>
      <c r="B408" t="str">
        <f>RAW_DATA!B408</f>
        <v>Grace</v>
      </c>
      <c r="C408" t="str">
        <f>RAW_DATA!C408</f>
        <v>Miller</v>
      </c>
      <c r="D408">
        <f>RAW_DATA!D408</f>
        <v>35</v>
      </c>
      <c r="E408" t="str">
        <f>RAW_DATA!E408</f>
        <v>DevOps-Texas</v>
      </c>
      <c r="F408" t="str">
        <f t="shared" si="18"/>
        <v>DevOps</v>
      </c>
      <c r="G408" t="str">
        <f t="shared" si="19"/>
        <v>Texas</v>
      </c>
      <c r="P408">
        <f t="shared" si="20"/>
        <v>77011.990000000005</v>
      </c>
      <c r="Q408">
        <f>IF(PQ_Cleansing!L408="Excellent", P408 * 0.1, IF(PQ_Cleansing!L408="Good", P408 * 0.05, IF(PQ_Cleansing!L408="Average", P408 * 0.02, IF(PQ_Cleansing!L408="Poor", 0, 0))))</f>
        <v>1540.2398000000001</v>
      </c>
      <c r="R408">
        <f>IFERROR(VALUE(SUBSTITUTE(SUBSTITUTE(PQ_Cleansing!I408, "$", ""), ",", "")), "")</f>
        <v>77011.990000000005</v>
      </c>
    </row>
    <row r="409" spans="1:18" x14ac:dyDescent="0.25">
      <c r="A409" t="str">
        <f>PROPER(TRIM(CLEAN(RAW_DATA!A409)))</f>
        <v>Emp1407</v>
      </c>
      <c r="B409" t="str">
        <f>RAW_DATA!B409</f>
        <v>Bob</v>
      </c>
      <c r="C409" t="str">
        <f>RAW_DATA!C409</f>
        <v>Garcia</v>
      </c>
      <c r="D409">
        <f>RAW_DATA!D409</f>
        <v>0</v>
      </c>
      <c r="E409" t="str">
        <f>RAW_DATA!E409</f>
        <v>Cloud Tech-California</v>
      </c>
      <c r="F409" t="str">
        <f t="shared" si="18"/>
        <v>Cloud Tech</v>
      </c>
      <c r="G409" t="str">
        <f t="shared" si="19"/>
        <v>California</v>
      </c>
      <c r="P409">
        <f t="shared" si="20"/>
        <v>77078.679999999993</v>
      </c>
      <c r="Q409">
        <f>IF(PQ_Cleansing!L409="Excellent", P409 * 0.1, IF(PQ_Cleansing!L409="Good", P409 * 0.05, IF(PQ_Cleansing!L409="Average", P409 * 0.02, IF(PQ_Cleansing!L409="Poor", 0, 0))))</f>
        <v>1541.5735999999999</v>
      </c>
      <c r="R409">
        <f>IFERROR(VALUE(SUBSTITUTE(SUBSTITUTE(PQ_Cleansing!I409, "$", ""), ",", "")), "")</f>
        <v>77078.679999999993</v>
      </c>
    </row>
    <row r="410" spans="1:18" x14ac:dyDescent="0.25">
      <c r="A410" t="str">
        <f>PROPER(TRIM(CLEAN(RAW_DATA!A410)))</f>
        <v>Emp1408</v>
      </c>
      <c r="B410" t="str">
        <f>RAW_DATA!B410</f>
        <v>Grace</v>
      </c>
      <c r="C410" t="str">
        <f>RAW_DATA!C410</f>
        <v>Brown</v>
      </c>
      <c r="D410">
        <f>RAW_DATA!D410</f>
        <v>35</v>
      </c>
      <c r="E410" t="str">
        <f>RAW_DATA!E410</f>
        <v>Sales-Nevada</v>
      </c>
      <c r="F410" t="str">
        <f t="shared" si="18"/>
        <v>Sales</v>
      </c>
      <c r="G410" t="str">
        <f t="shared" si="19"/>
        <v>Nevada</v>
      </c>
      <c r="P410">
        <f t="shared" si="20"/>
        <v>82971.02</v>
      </c>
      <c r="Q410">
        <f>IF(PQ_Cleansing!L410="Excellent", P410 * 0.1, IF(PQ_Cleansing!L410="Good", P410 * 0.05, IF(PQ_Cleansing!L410="Average", P410 * 0.02, IF(PQ_Cleansing!L410="Poor", 0, 0))))</f>
        <v>4148.5510000000004</v>
      </c>
      <c r="R410">
        <f>IFERROR(VALUE(SUBSTITUTE(SUBSTITUTE(PQ_Cleansing!I410, "$", ""), ",", "")), "")</f>
        <v>82971.02</v>
      </c>
    </row>
    <row r="411" spans="1:18" x14ac:dyDescent="0.25">
      <c r="A411" t="str">
        <f>PROPER(TRIM(CLEAN(RAW_DATA!A411)))</f>
        <v>Emp1409</v>
      </c>
      <c r="B411" t="str">
        <f>RAW_DATA!B411</f>
        <v>Bob</v>
      </c>
      <c r="C411" t="str">
        <f>RAW_DATA!C411</f>
        <v>Miller</v>
      </c>
      <c r="D411">
        <f>RAW_DATA!D411</f>
        <v>25</v>
      </c>
      <c r="E411" t="str">
        <f>RAW_DATA!E411</f>
        <v>Sales-Texas</v>
      </c>
      <c r="F411" t="str">
        <f t="shared" si="18"/>
        <v>Sales</v>
      </c>
      <c r="G411" t="str">
        <f t="shared" si="19"/>
        <v>Texas</v>
      </c>
      <c r="P411">
        <f t="shared" si="20"/>
        <v>65102.01</v>
      </c>
      <c r="Q411">
        <f>IF(PQ_Cleansing!L411="Excellent", P411 * 0.1, IF(PQ_Cleansing!L411="Good", P411 * 0.05, IF(PQ_Cleansing!L411="Average", P411 * 0.02, IF(PQ_Cleansing!L411="Poor", 0, 0))))</f>
        <v>1302.0402000000001</v>
      </c>
      <c r="R411">
        <f>IFERROR(VALUE(SUBSTITUTE(SUBSTITUTE(PQ_Cleansing!I411, "$", ""), ",", "")), "")</f>
        <v>65102.01</v>
      </c>
    </row>
    <row r="412" spans="1:18" x14ac:dyDescent="0.25">
      <c r="A412" t="str">
        <f>PROPER(TRIM(CLEAN(RAW_DATA!A412)))</f>
        <v>Emp1410</v>
      </c>
      <c r="B412" t="str">
        <f>RAW_DATA!B412</f>
        <v>Grace</v>
      </c>
      <c r="C412" t="str">
        <f>RAW_DATA!C412</f>
        <v>Williams</v>
      </c>
      <c r="D412">
        <f>RAW_DATA!D412</f>
        <v>0</v>
      </c>
      <c r="E412" t="str">
        <f>RAW_DATA!E412</f>
        <v>HR-Nevada</v>
      </c>
      <c r="F412" t="str">
        <f t="shared" si="18"/>
        <v>HR</v>
      </c>
      <c r="G412" t="str">
        <f t="shared" si="19"/>
        <v>Nevada</v>
      </c>
      <c r="P412">
        <f t="shared" si="20"/>
        <v>103697.7</v>
      </c>
      <c r="Q412">
        <f>IF(PQ_Cleansing!L412="Excellent", P412 * 0.1, IF(PQ_Cleansing!L412="Good", P412 * 0.05, IF(PQ_Cleansing!L412="Average", P412 * 0.02, IF(PQ_Cleansing!L412="Poor", 0, 0))))</f>
        <v>10369.77</v>
      </c>
      <c r="R412">
        <f>IFERROR(VALUE(SUBSTITUTE(SUBSTITUTE(PQ_Cleansing!I412, "$", ""), ",", "")), "")</f>
        <v>103697.7</v>
      </c>
    </row>
    <row r="413" spans="1:18" x14ac:dyDescent="0.25">
      <c r="A413" t="str">
        <f>PROPER(TRIM(CLEAN(RAW_DATA!A413)))</f>
        <v>Emp1411</v>
      </c>
      <c r="B413" t="str">
        <f>RAW_DATA!B413</f>
        <v>Grace</v>
      </c>
      <c r="C413" t="str">
        <f>RAW_DATA!C413</f>
        <v>Garcia</v>
      </c>
      <c r="D413">
        <f>RAW_DATA!D413</f>
        <v>25</v>
      </c>
      <c r="E413" t="str">
        <f>RAW_DATA!E413</f>
        <v>DevOps-Illinois</v>
      </c>
      <c r="F413" t="str">
        <f t="shared" si="18"/>
        <v>DevOps</v>
      </c>
      <c r="G413" t="str">
        <f t="shared" si="19"/>
        <v>Illinois</v>
      </c>
      <c r="P413">
        <f t="shared" si="20"/>
        <v>60687.63</v>
      </c>
      <c r="Q413">
        <f>IF(PQ_Cleansing!L413="Excellent", P413 * 0.1, IF(PQ_Cleansing!L413="Good", P413 * 0.05, IF(PQ_Cleansing!L413="Average", P413 * 0.02, IF(PQ_Cleansing!L413="Poor", 0, 0))))</f>
        <v>6068.7629999999999</v>
      </c>
      <c r="R413">
        <f>IFERROR(VALUE(SUBSTITUTE(SUBSTITUTE(PQ_Cleansing!I413, "$", ""), ",", "")), "")</f>
        <v>60687.63</v>
      </c>
    </row>
    <row r="414" spans="1:18" x14ac:dyDescent="0.25">
      <c r="A414" t="str">
        <f>PROPER(TRIM(CLEAN(RAW_DATA!A414)))</f>
        <v>Emp1412</v>
      </c>
      <c r="B414" t="str">
        <f>RAW_DATA!B414</f>
        <v>Bob</v>
      </c>
      <c r="C414" t="str">
        <f>RAW_DATA!C414</f>
        <v>Miller</v>
      </c>
      <c r="D414">
        <f>RAW_DATA!D414</f>
        <v>0</v>
      </c>
      <c r="E414" t="str">
        <f>RAW_DATA!E414</f>
        <v>Admin-New York</v>
      </c>
      <c r="F414" t="str">
        <f t="shared" si="18"/>
        <v>Admin</v>
      </c>
      <c r="G414" t="str">
        <f t="shared" si="19"/>
        <v>New York</v>
      </c>
      <c r="P414">
        <f t="shared" si="20"/>
        <v>77351.210000000006</v>
      </c>
      <c r="Q414">
        <f>IF(PQ_Cleansing!L414="Excellent", P414 * 0.1, IF(PQ_Cleansing!L414="Good", P414 * 0.05, IF(PQ_Cleansing!L414="Average", P414 * 0.02, IF(PQ_Cleansing!L414="Poor", 0, 0))))</f>
        <v>3867.5605000000005</v>
      </c>
      <c r="R414">
        <f>IFERROR(VALUE(SUBSTITUTE(SUBSTITUTE(PQ_Cleansing!I414, "$", ""), ",", "")), "")</f>
        <v>77351.210000000006</v>
      </c>
    </row>
    <row r="415" spans="1:18" x14ac:dyDescent="0.25">
      <c r="A415" t="str">
        <f>PROPER(TRIM(CLEAN(RAW_DATA!A415)))</f>
        <v>Emp1413</v>
      </c>
      <c r="B415" t="str">
        <f>RAW_DATA!B415</f>
        <v>Bob</v>
      </c>
      <c r="C415" t="str">
        <f>RAW_DATA!C415</f>
        <v>Smith</v>
      </c>
      <c r="D415">
        <f>RAW_DATA!D415</f>
        <v>35</v>
      </c>
      <c r="E415" t="str">
        <f>RAW_DATA!E415</f>
        <v>DevOps-Florida</v>
      </c>
      <c r="F415" t="str">
        <f t="shared" si="18"/>
        <v>DevOps</v>
      </c>
      <c r="G415" t="str">
        <f t="shared" si="19"/>
        <v>Florida</v>
      </c>
      <c r="P415">
        <f t="shared" si="20"/>
        <v>66704.62</v>
      </c>
      <c r="Q415">
        <f>IF(PQ_Cleansing!L415="Excellent", P415 * 0.1, IF(PQ_Cleansing!L415="Good", P415 * 0.05, IF(PQ_Cleansing!L415="Average", P415 * 0.02, IF(PQ_Cleansing!L415="Poor", 0, 0))))</f>
        <v>0</v>
      </c>
      <c r="R415">
        <f>IFERROR(VALUE(SUBSTITUTE(SUBSTITUTE(PQ_Cleansing!I415, "$", ""), ",", "")), "")</f>
        <v>66704.62</v>
      </c>
    </row>
    <row r="416" spans="1:18" x14ac:dyDescent="0.25">
      <c r="A416" t="str">
        <f>PROPER(TRIM(CLEAN(RAW_DATA!A416)))</f>
        <v>Emp1414</v>
      </c>
      <c r="B416" t="str">
        <f>RAW_DATA!B416</f>
        <v>Grace</v>
      </c>
      <c r="C416" t="str">
        <f>RAW_DATA!C416</f>
        <v>Williams</v>
      </c>
      <c r="D416">
        <f>RAW_DATA!D416</f>
        <v>25</v>
      </c>
      <c r="E416" t="str">
        <f>RAW_DATA!E416</f>
        <v>Finance-Illinois</v>
      </c>
      <c r="F416" t="str">
        <f t="shared" si="18"/>
        <v>Finance</v>
      </c>
      <c r="G416" t="str">
        <f t="shared" si="19"/>
        <v>Illinois</v>
      </c>
      <c r="P416">
        <f t="shared" si="20"/>
        <v>71650.3</v>
      </c>
      <c r="Q416">
        <f>IF(PQ_Cleansing!L416="Excellent", P416 * 0.1, IF(PQ_Cleansing!L416="Good", P416 * 0.05, IF(PQ_Cleansing!L416="Average", P416 * 0.02, IF(PQ_Cleansing!L416="Poor", 0, 0))))</f>
        <v>0</v>
      </c>
      <c r="R416">
        <f>IFERROR(VALUE(SUBSTITUTE(SUBSTITUTE(PQ_Cleansing!I416, "$", ""), ",", "")), "")</f>
        <v>71650.3</v>
      </c>
    </row>
    <row r="417" spans="1:18" x14ac:dyDescent="0.25">
      <c r="A417" t="str">
        <f>PROPER(TRIM(CLEAN(RAW_DATA!A417)))</f>
        <v>Emp1415</v>
      </c>
      <c r="B417" t="str">
        <f>RAW_DATA!B417</f>
        <v>Charlie</v>
      </c>
      <c r="C417" t="str">
        <f>RAW_DATA!C417</f>
        <v>Smith</v>
      </c>
      <c r="D417">
        <f>RAW_DATA!D417</f>
        <v>25</v>
      </c>
      <c r="E417" t="str">
        <f>RAW_DATA!E417</f>
        <v>Cloud Tech-Nevada</v>
      </c>
      <c r="F417" t="str">
        <f t="shared" si="18"/>
        <v>Cloud Tech</v>
      </c>
      <c r="G417" t="str">
        <f t="shared" si="19"/>
        <v>Nevada</v>
      </c>
      <c r="P417">
        <f t="shared" si="20"/>
        <v>50794.54</v>
      </c>
      <c r="Q417">
        <f>IF(PQ_Cleansing!L417="Excellent", P417 * 0.1, IF(PQ_Cleansing!L417="Good", P417 * 0.05, IF(PQ_Cleansing!L417="Average", P417 * 0.02, IF(PQ_Cleansing!L417="Poor", 0, 0))))</f>
        <v>2539.7270000000003</v>
      </c>
      <c r="R417">
        <f>IFERROR(VALUE(SUBSTITUTE(SUBSTITUTE(PQ_Cleansing!I417, "$", ""), ",", "")), "")</f>
        <v>50794.54</v>
      </c>
    </row>
    <row r="418" spans="1:18" x14ac:dyDescent="0.25">
      <c r="A418" t="str">
        <f>PROPER(TRIM(CLEAN(RAW_DATA!A418)))</f>
        <v>Emp1416</v>
      </c>
      <c r="B418" t="str">
        <f>RAW_DATA!B418</f>
        <v>Frank</v>
      </c>
      <c r="C418" t="str">
        <f>RAW_DATA!C418</f>
        <v>Jones</v>
      </c>
      <c r="D418">
        <f>RAW_DATA!D418</f>
        <v>0</v>
      </c>
      <c r="E418" t="str">
        <f>RAW_DATA!E418</f>
        <v>Sales-Nevada</v>
      </c>
      <c r="F418" t="str">
        <f t="shared" si="18"/>
        <v>Sales</v>
      </c>
      <c r="G418" t="str">
        <f t="shared" si="19"/>
        <v>Nevada</v>
      </c>
      <c r="P418">
        <f t="shared" si="20"/>
        <v>76030.86</v>
      </c>
      <c r="Q418">
        <f>IF(PQ_Cleansing!L418="Excellent", P418 * 0.1, IF(PQ_Cleansing!L418="Good", P418 * 0.05, IF(PQ_Cleansing!L418="Average", P418 * 0.02, IF(PQ_Cleansing!L418="Poor", 0, 0))))</f>
        <v>3801.5430000000001</v>
      </c>
      <c r="R418">
        <f>IFERROR(VALUE(SUBSTITUTE(SUBSTITUTE(PQ_Cleansing!I418, "$", ""), ",", "")), "")</f>
        <v>76030.86</v>
      </c>
    </row>
    <row r="419" spans="1:18" x14ac:dyDescent="0.25">
      <c r="A419" t="str">
        <f>PROPER(TRIM(CLEAN(RAW_DATA!A419)))</f>
        <v>Emp1417</v>
      </c>
      <c r="B419" t="str">
        <f>RAW_DATA!B419</f>
        <v>Eva</v>
      </c>
      <c r="C419" t="str">
        <f>RAW_DATA!C419</f>
        <v>Johnson</v>
      </c>
      <c r="D419">
        <f>RAW_DATA!D419</f>
        <v>25</v>
      </c>
      <c r="E419" t="str">
        <f>RAW_DATA!E419</f>
        <v>Cloud Tech-California</v>
      </c>
      <c r="F419" t="str">
        <f t="shared" si="18"/>
        <v>Cloud Tech</v>
      </c>
      <c r="G419" t="str">
        <f t="shared" si="19"/>
        <v>California</v>
      </c>
      <c r="P419">
        <f t="shared" si="20"/>
        <v>86669.79</v>
      </c>
      <c r="Q419">
        <f>IF(PQ_Cleansing!L419="Excellent", P419 * 0.1, IF(PQ_Cleansing!L419="Good", P419 * 0.05, IF(PQ_Cleansing!L419="Average", P419 * 0.02, IF(PQ_Cleansing!L419="Poor", 0, 0))))</f>
        <v>8666.9789999999994</v>
      </c>
      <c r="R419">
        <f>IFERROR(VALUE(SUBSTITUTE(SUBSTITUTE(PQ_Cleansing!I419, "$", ""), ",", "")), "")</f>
        <v>86669.79</v>
      </c>
    </row>
    <row r="420" spans="1:18" x14ac:dyDescent="0.25">
      <c r="A420" t="str">
        <f>PROPER(TRIM(CLEAN(RAW_DATA!A420)))</f>
        <v>Emp1418</v>
      </c>
      <c r="B420" t="str">
        <f>RAW_DATA!B420</f>
        <v>Bob</v>
      </c>
      <c r="C420" t="str">
        <f>RAW_DATA!C420</f>
        <v>Garcia</v>
      </c>
      <c r="D420">
        <f>RAW_DATA!D420</f>
        <v>40</v>
      </c>
      <c r="E420" t="str">
        <f>RAW_DATA!E420</f>
        <v>Finance-Illinois</v>
      </c>
      <c r="F420" t="str">
        <f t="shared" si="18"/>
        <v>Finance</v>
      </c>
      <c r="G420" t="str">
        <f t="shared" si="19"/>
        <v>Illinois</v>
      </c>
      <c r="P420">
        <f t="shared" si="20"/>
        <v>84972.7</v>
      </c>
      <c r="Q420">
        <f>IF(PQ_Cleansing!L420="Excellent", P420 * 0.1, IF(PQ_Cleansing!L420="Good", P420 * 0.05, IF(PQ_Cleansing!L420="Average", P420 * 0.02, IF(PQ_Cleansing!L420="Poor", 0, 0))))</f>
        <v>0</v>
      </c>
      <c r="R420">
        <f>IFERROR(VALUE(SUBSTITUTE(SUBSTITUTE(PQ_Cleansing!I420, "$", ""), ",", "")), "")</f>
        <v>84972.7</v>
      </c>
    </row>
    <row r="421" spans="1:18" x14ac:dyDescent="0.25">
      <c r="A421" t="str">
        <f>PROPER(TRIM(CLEAN(RAW_DATA!A421)))</f>
        <v>Emp1419</v>
      </c>
      <c r="B421" t="str">
        <f>RAW_DATA!B421</f>
        <v>Frank</v>
      </c>
      <c r="C421" t="str">
        <f>RAW_DATA!C421</f>
        <v>Miller</v>
      </c>
      <c r="D421">
        <f>RAW_DATA!D421</f>
        <v>30</v>
      </c>
      <c r="E421" t="str">
        <f>RAW_DATA!E421</f>
        <v>HR-Texas</v>
      </c>
      <c r="F421" t="str">
        <f t="shared" si="18"/>
        <v>HR</v>
      </c>
      <c r="G421" t="str">
        <f t="shared" si="19"/>
        <v>Texas</v>
      </c>
      <c r="P421">
        <f t="shared" si="20"/>
        <v>100594.49</v>
      </c>
      <c r="Q421">
        <f>IF(PQ_Cleansing!L421="Excellent", P421 * 0.1, IF(PQ_Cleansing!L421="Good", P421 * 0.05, IF(PQ_Cleansing!L421="Average", P421 * 0.02, IF(PQ_Cleansing!L421="Poor", 0, 0))))</f>
        <v>2011.8898000000002</v>
      </c>
      <c r="R421">
        <f>IFERROR(VALUE(SUBSTITUTE(SUBSTITUTE(PQ_Cleansing!I421, "$", ""), ",", "")), "")</f>
        <v>100594.49</v>
      </c>
    </row>
    <row r="422" spans="1:18" x14ac:dyDescent="0.25">
      <c r="A422" t="str">
        <f>PROPER(TRIM(CLEAN(RAW_DATA!A422)))</f>
        <v>Emp1420</v>
      </c>
      <c r="B422" t="str">
        <f>RAW_DATA!B422</f>
        <v>Alice</v>
      </c>
      <c r="C422" t="str">
        <f>RAW_DATA!C422</f>
        <v>Johnson</v>
      </c>
      <c r="D422">
        <f>RAW_DATA!D422</f>
        <v>25</v>
      </c>
      <c r="E422" t="str">
        <f>RAW_DATA!E422</f>
        <v>Cloud Tech-New York</v>
      </c>
      <c r="F422" t="str">
        <f t="shared" si="18"/>
        <v>Cloud Tech</v>
      </c>
      <c r="G422" t="str">
        <f t="shared" si="19"/>
        <v>New York</v>
      </c>
      <c r="P422">
        <f t="shared" si="20"/>
        <v>75478.350000000006</v>
      </c>
      <c r="Q422">
        <f>IF(PQ_Cleansing!L422="Excellent", P422 * 0.1, IF(PQ_Cleansing!L422="Good", P422 * 0.05, IF(PQ_Cleansing!L422="Average", P422 * 0.02, IF(PQ_Cleansing!L422="Poor", 0, 0))))</f>
        <v>7547.8350000000009</v>
      </c>
      <c r="R422">
        <f>IFERROR(VALUE(SUBSTITUTE(SUBSTITUTE(PQ_Cleansing!I422, "$", ""), ",", "")), "")</f>
        <v>75478.350000000006</v>
      </c>
    </row>
    <row r="423" spans="1:18" x14ac:dyDescent="0.25">
      <c r="A423" t="str">
        <f>PROPER(TRIM(CLEAN(RAW_DATA!A423)))</f>
        <v>Emp1421</v>
      </c>
      <c r="B423" t="str">
        <f>RAW_DATA!B423</f>
        <v>Charlie</v>
      </c>
      <c r="C423" t="str">
        <f>RAW_DATA!C423</f>
        <v>Johnson</v>
      </c>
      <c r="D423">
        <f>RAW_DATA!D423</f>
        <v>25</v>
      </c>
      <c r="E423" t="str">
        <f>RAW_DATA!E423</f>
        <v>Sales-Nevada</v>
      </c>
      <c r="F423" t="str">
        <f t="shared" si="18"/>
        <v>Sales</v>
      </c>
      <c r="G423" t="str">
        <f t="shared" si="19"/>
        <v>Nevada</v>
      </c>
      <c r="P423">
        <f t="shared" si="20"/>
        <v>79355.850000000006</v>
      </c>
      <c r="Q423">
        <f>IF(PQ_Cleansing!L423="Excellent", P423 * 0.1, IF(PQ_Cleansing!L423="Good", P423 * 0.05, IF(PQ_Cleansing!L423="Average", P423 * 0.02, IF(PQ_Cleansing!L423="Poor", 0, 0))))</f>
        <v>3967.7925000000005</v>
      </c>
      <c r="R423">
        <f>IFERROR(VALUE(SUBSTITUTE(SUBSTITUTE(PQ_Cleansing!I423, "$", ""), ",", "")), "")</f>
        <v>79355.850000000006</v>
      </c>
    </row>
    <row r="424" spans="1:18" x14ac:dyDescent="0.25">
      <c r="A424" t="str">
        <f>PROPER(TRIM(CLEAN(RAW_DATA!A424)))</f>
        <v>Emp1422</v>
      </c>
      <c r="B424" t="str">
        <f>RAW_DATA!B424</f>
        <v>Grace</v>
      </c>
      <c r="C424" t="str">
        <f>RAW_DATA!C424</f>
        <v>Miller</v>
      </c>
      <c r="D424">
        <f>RAW_DATA!D424</f>
        <v>35</v>
      </c>
      <c r="E424" t="str">
        <f>RAW_DATA!E424</f>
        <v>HR-Texas</v>
      </c>
      <c r="F424" t="str">
        <f t="shared" si="18"/>
        <v>HR</v>
      </c>
      <c r="G424" t="str">
        <f t="shared" si="19"/>
        <v>Texas</v>
      </c>
      <c r="P424">
        <f t="shared" si="20"/>
        <v>58358.07</v>
      </c>
      <c r="Q424">
        <f>IF(PQ_Cleansing!L424="Excellent", P424 * 0.1, IF(PQ_Cleansing!L424="Good", P424 * 0.05, IF(PQ_Cleansing!L424="Average", P424 * 0.02, IF(PQ_Cleansing!L424="Poor", 0, 0))))</f>
        <v>0</v>
      </c>
      <c r="R424">
        <f>IFERROR(VALUE(SUBSTITUTE(SUBSTITUTE(PQ_Cleansing!I424, "$", ""), ",", "")), "")</f>
        <v>58358.07</v>
      </c>
    </row>
    <row r="425" spans="1:18" x14ac:dyDescent="0.25">
      <c r="A425" t="str">
        <f>PROPER(TRIM(CLEAN(RAW_DATA!A425)))</f>
        <v>Emp1423</v>
      </c>
      <c r="B425" t="str">
        <f>RAW_DATA!B425</f>
        <v>Alice</v>
      </c>
      <c r="C425" t="str">
        <f>RAW_DATA!C425</f>
        <v>Williams</v>
      </c>
      <c r="D425">
        <f>RAW_DATA!D425</f>
        <v>30</v>
      </c>
      <c r="E425" t="str">
        <f>RAW_DATA!E425</f>
        <v>Admin-Illinois</v>
      </c>
      <c r="F425" t="str">
        <f t="shared" si="18"/>
        <v>Admin</v>
      </c>
      <c r="G425" t="str">
        <f t="shared" si="19"/>
        <v>Illinois</v>
      </c>
      <c r="P425">
        <f t="shared" si="20"/>
        <v>54824.85</v>
      </c>
      <c r="Q425">
        <f>IF(PQ_Cleansing!L425="Excellent", P425 * 0.1, IF(PQ_Cleansing!L425="Good", P425 * 0.05, IF(PQ_Cleansing!L425="Average", P425 * 0.02, IF(PQ_Cleansing!L425="Poor", 0, 0))))</f>
        <v>1096.4970000000001</v>
      </c>
      <c r="R425">
        <f>IFERROR(VALUE(SUBSTITUTE(SUBSTITUTE(PQ_Cleansing!I425, "$", ""), ",", "")), "")</f>
        <v>54824.85</v>
      </c>
    </row>
    <row r="426" spans="1:18" x14ac:dyDescent="0.25">
      <c r="A426" t="str">
        <f>PROPER(TRIM(CLEAN(RAW_DATA!A426)))</f>
        <v>Emp1424</v>
      </c>
      <c r="B426" t="str">
        <f>RAW_DATA!B426</f>
        <v>Eva</v>
      </c>
      <c r="C426" t="str">
        <f>RAW_DATA!C426</f>
        <v>Garcia</v>
      </c>
      <c r="D426">
        <f>RAW_DATA!D426</f>
        <v>35</v>
      </c>
      <c r="E426" t="str">
        <f>RAW_DATA!E426</f>
        <v>HR-Texas</v>
      </c>
      <c r="F426" t="str">
        <f t="shared" si="18"/>
        <v>HR</v>
      </c>
      <c r="G426" t="str">
        <f t="shared" si="19"/>
        <v>Texas</v>
      </c>
      <c r="P426">
        <f t="shared" si="20"/>
        <v>50557.84</v>
      </c>
      <c r="Q426">
        <f>IF(PQ_Cleansing!L426="Excellent", P426 * 0.1, IF(PQ_Cleansing!L426="Good", P426 * 0.05, IF(PQ_Cleansing!L426="Average", P426 * 0.02, IF(PQ_Cleansing!L426="Poor", 0, 0))))</f>
        <v>1011.1568</v>
      </c>
      <c r="R426">
        <f>IFERROR(VALUE(SUBSTITUTE(SUBSTITUTE(PQ_Cleansing!I426, "$", ""), ",", "")), "")</f>
        <v>50557.84</v>
      </c>
    </row>
    <row r="427" spans="1:18" x14ac:dyDescent="0.25">
      <c r="A427" t="str">
        <f>PROPER(TRIM(CLEAN(RAW_DATA!A427)))</f>
        <v>Emp1425</v>
      </c>
      <c r="B427" t="str">
        <f>RAW_DATA!B427</f>
        <v>Eva</v>
      </c>
      <c r="C427" t="str">
        <f>RAW_DATA!C427</f>
        <v>Jones</v>
      </c>
      <c r="D427">
        <f>RAW_DATA!D427</f>
        <v>0</v>
      </c>
      <c r="E427" t="str">
        <f>RAW_DATA!E427</f>
        <v>Admin-Florida</v>
      </c>
      <c r="F427" t="str">
        <f t="shared" si="18"/>
        <v>Admin</v>
      </c>
      <c r="G427" t="str">
        <f t="shared" si="19"/>
        <v>Florida</v>
      </c>
      <c r="P427">
        <f t="shared" si="20"/>
        <v>118030.04</v>
      </c>
      <c r="Q427">
        <f>IF(PQ_Cleansing!L427="Excellent", P427 * 0.1, IF(PQ_Cleansing!L427="Good", P427 * 0.05, IF(PQ_Cleansing!L427="Average", P427 * 0.02, IF(PQ_Cleansing!L427="Poor", 0, 0))))</f>
        <v>11803.004000000001</v>
      </c>
      <c r="R427">
        <f>IFERROR(VALUE(SUBSTITUTE(SUBSTITUTE(PQ_Cleansing!I427, "$", ""), ",", "")), "")</f>
        <v>118030.04</v>
      </c>
    </row>
    <row r="428" spans="1:18" x14ac:dyDescent="0.25">
      <c r="A428" t="str">
        <f>PROPER(TRIM(CLEAN(RAW_DATA!A428)))</f>
        <v>Emp1426</v>
      </c>
      <c r="B428" t="str">
        <f>RAW_DATA!B428</f>
        <v>David</v>
      </c>
      <c r="C428" t="str">
        <f>RAW_DATA!C428</f>
        <v>Smith</v>
      </c>
      <c r="D428">
        <f>RAW_DATA!D428</f>
        <v>0</v>
      </c>
      <c r="E428" t="str">
        <f>RAW_DATA!E428</f>
        <v>Admin-New York</v>
      </c>
      <c r="F428" t="str">
        <f t="shared" si="18"/>
        <v>Admin</v>
      </c>
      <c r="G428" t="str">
        <f t="shared" si="19"/>
        <v>New York</v>
      </c>
      <c r="P428">
        <f t="shared" si="20"/>
        <v>51673.72</v>
      </c>
      <c r="Q428">
        <f>IF(PQ_Cleansing!L428="Excellent", P428 * 0.1, IF(PQ_Cleansing!L428="Good", P428 * 0.05, IF(PQ_Cleansing!L428="Average", P428 * 0.02, IF(PQ_Cleansing!L428="Poor", 0, 0))))</f>
        <v>0</v>
      </c>
      <c r="R428">
        <f>IFERROR(VALUE(SUBSTITUTE(SUBSTITUTE(PQ_Cleansing!I428, "$", ""), ",", "")), "")</f>
        <v>51673.72</v>
      </c>
    </row>
    <row r="429" spans="1:18" x14ac:dyDescent="0.25">
      <c r="A429" t="str">
        <f>PROPER(TRIM(CLEAN(RAW_DATA!A429)))</f>
        <v>Emp1427</v>
      </c>
      <c r="B429" t="str">
        <f>RAW_DATA!B429</f>
        <v>Alice</v>
      </c>
      <c r="C429" t="str">
        <f>RAW_DATA!C429</f>
        <v>Brown</v>
      </c>
      <c r="D429">
        <f>RAW_DATA!D429</f>
        <v>35</v>
      </c>
      <c r="E429" t="str">
        <f>RAW_DATA!E429</f>
        <v>Cloud Tech-Nevada</v>
      </c>
      <c r="F429" t="str">
        <f t="shared" si="18"/>
        <v>Cloud Tech</v>
      </c>
      <c r="G429" t="str">
        <f t="shared" si="19"/>
        <v>Nevada</v>
      </c>
      <c r="P429">
        <f t="shared" si="20"/>
        <v>101665.79</v>
      </c>
      <c r="Q429">
        <f>IF(PQ_Cleansing!L429="Excellent", P429 * 0.1, IF(PQ_Cleansing!L429="Good", P429 * 0.05, IF(PQ_Cleansing!L429="Average", P429 * 0.02, IF(PQ_Cleansing!L429="Poor", 0, 0))))</f>
        <v>0</v>
      </c>
      <c r="R429">
        <f>IFERROR(VALUE(SUBSTITUTE(SUBSTITUTE(PQ_Cleansing!I429, "$", ""), ",", "")), "")</f>
        <v>101665.79</v>
      </c>
    </row>
    <row r="430" spans="1:18" x14ac:dyDescent="0.25">
      <c r="A430" t="str">
        <f>PROPER(TRIM(CLEAN(RAW_DATA!A430)))</f>
        <v>Emp1428</v>
      </c>
      <c r="B430" t="str">
        <f>RAW_DATA!B430</f>
        <v>David</v>
      </c>
      <c r="C430" t="str">
        <f>RAW_DATA!C430</f>
        <v>Smith</v>
      </c>
      <c r="D430">
        <f>RAW_DATA!D430</f>
        <v>0</v>
      </c>
      <c r="E430" t="str">
        <f>RAW_DATA!E430</f>
        <v>Admin-Florida</v>
      </c>
      <c r="F430" t="str">
        <f t="shared" si="18"/>
        <v>Admin</v>
      </c>
      <c r="G430" t="str">
        <f t="shared" si="19"/>
        <v>Florida</v>
      </c>
      <c r="P430">
        <f t="shared" si="20"/>
        <v>118079.15</v>
      </c>
      <c r="Q430">
        <f>IF(PQ_Cleansing!L430="Excellent", P430 * 0.1, IF(PQ_Cleansing!L430="Good", P430 * 0.05, IF(PQ_Cleansing!L430="Average", P430 * 0.02, IF(PQ_Cleansing!L430="Poor", 0, 0))))</f>
        <v>5903.9575000000004</v>
      </c>
      <c r="R430">
        <f>IFERROR(VALUE(SUBSTITUTE(SUBSTITUTE(PQ_Cleansing!I430, "$", ""), ",", "")), "")</f>
        <v>118079.15</v>
      </c>
    </row>
    <row r="431" spans="1:18" x14ac:dyDescent="0.25">
      <c r="A431" t="str">
        <f>PROPER(TRIM(CLEAN(RAW_DATA!A431)))</f>
        <v>Emp1429</v>
      </c>
      <c r="B431" t="str">
        <f>RAW_DATA!B431</f>
        <v>Eva</v>
      </c>
      <c r="C431" t="str">
        <f>RAW_DATA!C431</f>
        <v>Brown</v>
      </c>
      <c r="D431">
        <f>RAW_DATA!D431</f>
        <v>25</v>
      </c>
      <c r="E431" t="str">
        <f>RAW_DATA!E431</f>
        <v>Cloud Tech-New York</v>
      </c>
      <c r="F431" t="str">
        <f t="shared" si="18"/>
        <v>Cloud Tech</v>
      </c>
      <c r="G431" t="str">
        <f t="shared" si="19"/>
        <v>New York</v>
      </c>
      <c r="P431">
        <f t="shared" si="20"/>
        <v>99059.28</v>
      </c>
      <c r="Q431">
        <f>IF(PQ_Cleansing!L431="Excellent", P431 * 0.1, IF(PQ_Cleansing!L431="Good", P431 * 0.05, IF(PQ_Cleansing!L431="Average", P431 * 0.02, IF(PQ_Cleansing!L431="Poor", 0, 0))))</f>
        <v>0</v>
      </c>
      <c r="R431">
        <f>IFERROR(VALUE(SUBSTITUTE(SUBSTITUTE(PQ_Cleansing!I431, "$", ""), ",", "")), "")</f>
        <v>99059.28</v>
      </c>
    </row>
    <row r="432" spans="1:18" x14ac:dyDescent="0.25">
      <c r="A432" t="str">
        <f>PROPER(TRIM(CLEAN(RAW_DATA!A432)))</f>
        <v>Emp1430</v>
      </c>
      <c r="B432" t="str">
        <f>RAW_DATA!B432</f>
        <v>Bob</v>
      </c>
      <c r="C432" t="str">
        <f>RAW_DATA!C432</f>
        <v>Smith</v>
      </c>
      <c r="D432">
        <f>RAW_DATA!D432</f>
        <v>0</v>
      </c>
      <c r="E432" t="str">
        <f>RAW_DATA!E432</f>
        <v>Cloud Tech-Illinois</v>
      </c>
      <c r="F432" t="str">
        <f t="shared" si="18"/>
        <v>Cloud Tech</v>
      </c>
      <c r="G432" t="str">
        <f t="shared" si="19"/>
        <v>Illinois</v>
      </c>
      <c r="P432">
        <f t="shared" si="20"/>
        <v>107397.4</v>
      </c>
      <c r="Q432">
        <f>IF(PQ_Cleansing!L432="Excellent", P432 * 0.1, IF(PQ_Cleansing!L432="Good", P432 * 0.05, IF(PQ_Cleansing!L432="Average", P432 * 0.02, IF(PQ_Cleansing!L432="Poor", 0, 0))))</f>
        <v>0</v>
      </c>
      <c r="R432">
        <f>IFERROR(VALUE(SUBSTITUTE(SUBSTITUTE(PQ_Cleansing!I432, "$", ""), ",", "")), "")</f>
        <v>107397.4</v>
      </c>
    </row>
    <row r="433" spans="1:18" x14ac:dyDescent="0.25">
      <c r="A433" t="str">
        <f>PROPER(TRIM(CLEAN(RAW_DATA!A433)))</f>
        <v>Emp1431</v>
      </c>
      <c r="B433" t="str">
        <f>RAW_DATA!B433</f>
        <v>Alice</v>
      </c>
      <c r="C433" t="str">
        <f>RAW_DATA!C433</f>
        <v>Miller</v>
      </c>
      <c r="D433">
        <f>RAW_DATA!D433</f>
        <v>40</v>
      </c>
      <c r="E433" t="str">
        <f>RAW_DATA!E433</f>
        <v>DevOps-New York</v>
      </c>
      <c r="F433" t="str">
        <f t="shared" si="18"/>
        <v>DevOps</v>
      </c>
      <c r="G433" t="str">
        <f t="shared" si="19"/>
        <v>New York</v>
      </c>
      <c r="P433">
        <f t="shared" si="20"/>
        <v>68269.37</v>
      </c>
      <c r="Q433">
        <f>IF(PQ_Cleansing!L433="Excellent", P433 * 0.1, IF(PQ_Cleansing!L433="Good", P433 * 0.05, IF(PQ_Cleansing!L433="Average", P433 * 0.02, IF(PQ_Cleansing!L433="Poor", 0, 0))))</f>
        <v>6826.9369999999999</v>
      </c>
      <c r="R433">
        <f>IFERROR(VALUE(SUBSTITUTE(SUBSTITUTE(PQ_Cleansing!I433, "$", ""), ",", "")), "")</f>
        <v>68269.37</v>
      </c>
    </row>
    <row r="434" spans="1:18" x14ac:dyDescent="0.25">
      <c r="A434" t="str">
        <f>PROPER(TRIM(CLEAN(RAW_DATA!A434)))</f>
        <v>Emp1432</v>
      </c>
      <c r="B434" t="str">
        <f>RAW_DATA!B434</f>
        <v>Grace</v>
      </c>
      <c r="C434" t="str">
        <f>RAW_DATA!C434</f>
        <v>Jones</v>
      </c>
      <c r="D434">
        <f>RAW_DATA!D434</f>
        <v>35</v>
      </c>
      <c r="E434" t="str">
        <f>RAW_DATA!E434</f>
        <v>HR-Florida</v>
      </c>
      <c r="F434" t="str">
        <f t="shared" si="18"/>
        <v>HR</v>
      </c>
      <c r="G434" t="str">
        <f t="shared" si="19"/>
        <v>Florida</v>
      </c>
      <c r="P434">
        <f t="shared" si="20"/>
        <v>55228.12</v>
      </c>
      <c r="Q434">
        <f>IF(PQ_Cleansing!L434="Excellent", P434 * 0.1, IF(PQ_Cleansing!L434="Good", P434 * 0.05, IF(PQ_Cleansing!L434="Average", P434 * 0.02, IF(PQ_Cleansing!L434="Poor", 0, 0))))</f>
        <v>0</v>
      </c>
      <c r="R434">
        <f>IFERROR(VALUE(SUBSTITUTE(SUBSTITUTE(PQ_Cleansing!I434, "$", ""), ",", "")), "")</f>
        <v>55228.12</v>
      </c>
    </row>
    <row r="435" spans="1:18" x14ac:dyDescent="0.25">
      <c r="A435" t="str">
        <f>PROPER(TRIM(CLEAN(RAW_DATA!A435)))</f>
        <v>Emp1433</v>
      </c>
      <c r="B435" t="str">
        <f>RAW_DATA!B435</f>
        <v>Bob</v>
      </c>
      <c r="C435" t="str">
        <f>RAW_DATA!C435</f>
        <v>Garcia</v>
      </c>
      <c r="D435">
        <f>RAW_DATA!D435</f>
        <v>30</v>
      </c>
      <c r="E435" t="str">
        <f>RAW_DATA!E435</f>
        <v>Cloud Tech-New York</v>
      </c>
      <c r="F435" t="str">
        <f t="shared" si="18"/>
        <v>Cloud Tech</v>
      </c>
      <c r="G435" t="str">
        <f t="shared" si="19"/>
        <v>New York</v>
      </c>
      <c r="P435">
        <f t="shared" si="20"/>
        <v>71982.33</v>
      </c>
      <c r="Q435">
        <f>IF(PQ_Cleansing!L435="Excellent", P435 * 0.1, IF(PQ_Cleansing!L435="Good", P435 * 0.05, IF(PQ_Cleansing!L435="Average", P435 * 0.02, IF(PQ_Cleansing!L435="Poor", 0, 0))))</f>
        <v>1439.6466</v>
      </c>
      <c r="R435">
        <f>IFERROR(VALUE(SUBSTITUTE(SUBSTITUTE(PQ_Cleansing!I435, "$", ""), ",", "")), "")</f>
        <v>71982.33</v>
      </c>
    </row>
    <row r="436" spans="1:18" x14ac:dyDescent="0.25">
      <c r="A436" t="str">
        <f>PROPER(TRIM(CLEAN(RAW_DATA!A436)))</f>
        <v>Emp1434</v>
      </c>
      <c r="B436" t="str">
        <f>RAW_DATA!B436</f>
        <v>Frank</v>
      </c>
      <c r="C436" t="str">
        <f>RAW_DATA!C436</f>
        <v>Brown</v>
      </c>
      <c r="D436">
        <f>RAW_DATA!D436</f>
        <v>30</v>
      </c>
      <c r="E436" t="str">
        <f>RAW_DATA!E436</f>
        <v>Finance-California</v>
      </c>
      <c r="F436" t="str">
        <f t="shared" si="18"/>
        <v>Finance</v>
      </c>
      <c r="G436" t="str">
        <f t="shared" si="19"/>
        <v>California</v>
      </c>
      <c r="P436">
        <f t="shared" si="20"/>
        <v>109673.75</v>
      </c>
      <c r="Q436">
        <f>IF(PQ_Cleansing!L436="Excellent", P436 * 0.1, IF(PQ_Cleansing!L436="Good", P436 * 0.05, IF(PQ_Cleansing!L436="Average", P436 * 0.02, IF(PQ_Cleansing!L436="Poor", 0, 0))))</f>
        <v>10967.375</v>
      </c>
      <c r="R436">
        <f>IFERROR(VALUE(SUBSTITUTE(SUBSTITUTE(PQ_Cleansing!I436, "$", ""), ",", "")), "")</f>
        <v>109673.75</v>
      </c>
    </row>
    <row r="437" spans="1:18" x14ac:dyDescent="0.25">
      <c r="A437" t="str">
        <f>PROPER(TRIM(CLEAN(RAW_DATA!A437)))</f>
        <v>Emp1435</v>
      </c>
      <c r="B437" t="str">
        <f>RAW_DATA!B437</f>
        <v>Eva</v>
      </c>
      <c r="C437" t="str">
        <f>RAW_DATA!C437</f>
        <v>Garcia</v>
      </c>
      <c r="D437">
        <f>RAW_DATA!D437</f>
        <v>0</v>
      </c>
      <c r="E437" t="str">
        <f>RAW_DATA!E437</f>
        <v>Cloud Tech-New York</v>
      </c>
      <c r="F437" t="str">
        <f t="shared" si="18"/>
        <v>Cloud Tech</v>
      </c>
      <c r="G437" t="str">
        <f t="shared" si="19"/>
        <v>New York</v>
      </c>
      <c r="P437">
        <f t="shared" si="20"/>
        <v>56384.9</v>
      </c>
      <c r="Q437">
        <f>IF(PQ_Cleansing!L437="Excellent", P437 * 0.1, IF(PQ_Cleansing!L437="Good", P437 * 0.05, IF(PQ_Cleansing!L437="Average", P437 * 0.02, IF(PQ_Cleansing!L437="Poor", 0, 0))))</f>
        <v>5638.4900000000007</v>
      </c>
      <c r="R437">
        <f>IFERROR(VALUE(SUBSTITUTE(SUBSTITUTE(PQ_Cleansing!I437, "$", ""), ",", "")), "")</f>
        <v>56384.9</v>
      </c>
    </row>
    <row r="438" spans="1:18" x14ac:dyDescent="0.25">
      <c r="A438" t="str">
        <f>PROPER(TRIM(CLEAN(RAW_DATA!A438)))</f>
        <v>Emp1436</v>
      </c>
      <c r="B438" t="str">
        <f>RAW_DATA!B438</f>
        <v>Frank</v>
      </c>
      <c r="C438" t="str">
        <f>RAW_DATA!C438</f>
        <v>Garcia</v>
      </c>
      <c r="D438">
        <f>RAW_DATA!D438</f>
        <v>40</v>
      </c>
      <c r="E438" t="str">
        <f>RAW_DATA!E438</f>
        <v>Sales-Texas</v>
      </c>
      <c r="F438" t="str">
        <f t="shared" si="18"/>
        <v>Sales</v>
      </c>
      <c r="G438" t="str">
        <f t="shared" si="19"/>
        <v>Texas</v>
      </c>
      <c r="P438">
        <f t="shared" si="20"/>
        <v>68211.679999999993</v>
      </c>
      <c r="Q438">
        <f>IF(PQ_Cleansing!L438="Excellent", P438 * 0.1, IF(PQ_Cleansing!L438="Good", P438 * 0.05, IF(PQ_Cleansing!L438="Average", P438 * 0.02, IF(PQ_Cleansing!L438="Poor", 0, 0))))</f>
        <v>3410.5839999999998</v>
      </c>
      <c r="R438">
        <f>IFERROR(VALUE(SUBSTITUTE(SUBSTITUTE(PQ_Cleansing!I438, "$", ""), ",", "")), "")</f>
        <v>68211.679999999993</v>
      </c>
    </row>
    <row r="439" spans="1:18" x14ac:dyDescent="0.25">
      <c r="A439" t="str">
        <f>PROPER(TRIM(CLEAN(RAW_DATA!A439)))</f>
        <v>Emp1437</v>
      </c>
      <c r="B439" t="str">
        <f>RAW_DATA!B439</f>
        <v>Alice</v>
      </c>
      <c r="C439" t="str">
        <f>RAW_DATA!C439</f>
        <v>Garcia</v>
      </c>
      <c r="D439">
        <f>RAW_DATA!D439</f>
        <v>40</v>
      </c>
      <c r="E439" t="str">
        <f>RAW_DATA!E439</f>
        <v>Finance-Illinois</v>
      </c>
      <c r="F439" t="str">
        <f t="shared" si="18"/>
        <v>Finance</v>
      </c>
      <c r="G439" t="str">
        <f t="shared" si="19"/>
        <v>Illinois</v>
      </c>
      <c r="P439">
        <f t="shared" si="20"/>
        <v>67489.679999999993</v>
      </c>
      <c r="Q439">
        <f>IF(PQ_Cleansing!L439="Excellent", P439 * 0.1, IF(PQ_Cleansing!L439="Good", P439 * 0.05, IF(PQ_Cleansing!L439="Average", P439 * 0.02, IF(PQ_Cleansing!L439="Poor", 0, 0))))</f>
        <v>0</v>
      </c>
      <c r="R439">
        <f>IFERROR(VALUE(SUBSTITUTE(SUBSTITUTE(PQ_Cleansing!I439, "$", ""), ",", "")), "")</f>
        <v>67489.679999999993</v>
      </c>
    </row>
    <row r="440" spans="1:18" x14ac:dyDescent="0.25">
      <c r="A440" t="str">
        <f>PROPER(TRIM(CLEAN(RAW_DATA!A440)))</f>
        <v>Emp1438</v>
      </c>
      <c r="B440" t="str">
        <f>RAW_DATA!B440</f>
        <v>Charlie</v>
      </c>
      <c r="C440" t="str">
        <f>RAW_DATA!C440</f>
        <v>Davis</v>
      </c>
      <c r="D440">
        <f>RAW_DATA!D440</f>
        <v>25</v>
      </c>
      <c r="E440" t="str">
        <f>RAW_DATA!E440</f>
        <v>Cloud Tech-Texas</v>
      </c>
      <c r="F440" t="str">
        <f t="shared" si="18"/>
        <v>Cloud Tech</v>
      </c>
      <c r="G440" t="str">
        <f t="shared" si="19"/>
        <v>Texas</v>
      </c>
      <c r="P440">
        <f t="shared" si="20"/>
        <v>63869.31</v>
      </c>
      <c r="Q440">
        <f>IF(PQ_Cleansing!L440="Excellent", P440 * 0.1, IF(PQ_Cleansing!L440="Good", P440 * 0.05, IF(PQ_Cleansing!L440="Average", P440 * 0.02, IF(PQ_Cleansing!L440="Poor", 0, 0))))</f>
        <v>3193.4655000000002</v>
      </c>
      <c r="R440">
        <f>IFERROR(VALUE(SUBSTITUTE(SUBSTITUTE(PQ_Cleansing!I440, "$", ""), ",", "")), "")</f>
        <v>63869.31</v>
      </c>
    </row>
    <row r="441" spans="1:18" x14ac:dyDescent="0.25">
      <c r="A441" t="str">
        <f>PROPER(TRIM(CLEAN(RAW_DATA!A441)))</f>
        <v>Emp1439</v>
      </c>
      <c r="B441" t="str">
        <f>RAW_DATA!B441</f>
        <v>Bob</v>
      </c>
      <c r="C441" t="str">
        <f>RAW_DATA!C441</f>
        <v>Williams</v>
      </c>
      <c r="D441">
        <f>RAW_DATA!D441</f>
        <v>0</v>
      </c>
      <c r="E441" t="str">
        <f>RAW_DATA!E441</f>
        <v>Sales-California</v>
      </c>
      <c r="F441" t="str">
        <f t="shared" si="18"/>
        <v>Sales</v>
      </c>
      <c r="G441" t="str">
        <f t="shared" si="19"/>
        <v>California</v>
      </c>
      <c r="P441">
        <f t="shared" si="20"/>
        <v>119801.3</v>
      </c>
      <c r="Q441">
        <f>IF(PQ_Cleansing!L441="Excellent", P441 * 0.1, IF(PQ_Cleansing!L441="Good", P441 * 0.05, IF(PQ_Cleansing!L441="Average", P441 * 0.02, IF(PQ_Cleansing!L441="Poor", 0, 0))))</f>
        <v>2396.0260000000003</v>
      </c>
      <c r="R441">
        <f>IFERROR(VALUE(SUBSTITUTE(SUBSTITUTE(PQ_Cleansing!I441, "$", ""), ",", "")), "")</f>
        <v>119801.3</v>
      </c>
    </row>
    <row r="442" spans="1:18" x14ac:dyDescent="0.25">
      <c r="A442" t="str">
        <f>PROPER(TRIM(CLEAN(RAW_DATA!A442)))</f>
        <v>Emp1440</v>
      </c>
      <c r="B442" t="str">
        <f>RAW_DATA!B442</f>
        <v>Heidi</v>
      </c>
      <c r="C442" t="str">
        <f>RAW_DATA!C442</f>
        <v>Smith</v>
      </c>
      <c r="D442">
        <f>RAW_DATA!D442</f>
        <v>30</v>
      </c>
      <c r="E442" t="str">
        <f>RAW_DATA!E442</f>
        <v>Cloud Tech-California</v>
      </c>
      <c r="F442" t="str">
        <f t="shared" si="18"/>
        <v>Cloud Tech</v>
      </c>
      <c r="G442" t="str">
        <f t="shared" si="19"/>
        <v>California</v>
      </c>
      <c r="P442">
        <f t="shared" si="20"/>
        <v>115959.65</v>
      </c>
      <c r="Q442">
        <f>IF(PQ_Cleansing!L442="Excellent", P442 * 0.1, IF(PQ_Cleansing!L442="Good", P442 * 0.05, IF(PQ_Cleansing!L442="Average", P442 * 0.02, IF(PQ_Cleansing!L442="Poor", 0, 0))))</f>
        <v>11595.965</v>
      </c>
      <c r="R442">
        <f>IFERROR(VALUE(SUBSTITUTE(SUBSTITUTE(PQ_Cleansing!I442, "$", ""), ",", "")), "")</f>
        <v>115959.65</v>
      </c>
    </row>
    <row r="443" spans="1:18" x14ac:dyDescent="0.25">
      <c r="A443" t="str">
        <f>PROPER(TRIM(CLEAN(RAW_DATA!A443)))</f>
        <v>Emp1441</v>
      </c>
      <c r="B443" t="str">
        <f>RAW_DATA!B443</f>
        <v>Grace</v>
      </c>
      <c r="C443" t="str">
        <f>RAW_DATA!C443</f>
        <v>Garcia</v>
      </c>
      <c r="D443">
        <f>RAW_DATA!D443</f>
        <v>40</v>
      </c>
      <c r="E443" t="str">
        <f>RAW_DATA!E443</f>
        <v>Finance-Texas</v>
      </c>
      <c r="F443" t="str">
        <f t="shared" si="18"/>
        <v>Finance</v>
      </c>
      <c r="G443" t="str">
        <f t="shared" si="19"/>
        <v>Texas</v>
      </c>
      <c r="P443">
        <f t="shared" si="20"/>
        <v>79866.48</v>
      </c>
      <c r="Q443">
        <f>IF(PQ_Cleansing!L443="Excellent", P443 * 0.1, IF(PQ_Cleansing!L443="Good", P443 * 0.05, IF(PQ_Cleansing!L443="Average", P443 * 0.02, IF(PQ_Cleansing!L443="Poor", 0, 0))))</f>
        <v>7986.6480000000001</v>
      </c>
      <c r="R443">
        <f>IFERROR(VALUE(SUBSTITUTE(SUBSTITUTE(PQ_Cleansing!I443, "$", ""), ",", "")), "")</f>
        <v>79866.48</v>
      </c>
    </row>
    <row r="444" spans="1:18" x14ac:dyDescent="0.25">
      <c r="A444" t="str">
        <f>PROPER(TRIM(CLEAN(RAW_DATA!A444)))</f>
        <v>Emp1442</v>
      </c>
      <c r="B444" t="str">
        <f>RAW_DATA!B444</f>
        <v>Charlie</v>
      </c>
      <c r="C444" t="str">
        <f>RAW_DATA!C444</f>
        <v>Smith</v>
      </c>
      <c r="D444">
        <f>RAW_DATA!D444</f>
        <v>35</v>
      </c>
      <c r="E444" t="str">
        <f>RAW_DATA!E444</f>
        <v>HR-Florida</v>
      </c>
      <c r="F444" t="str">
        <f t="shared" si="18"/>
        <v>HR</v>
      </c>
      <c r="G444" t="str">
        <f t="shared" si="19"/>
        <v>Florida</v>
      </c>
      <c r="P444">
        <f t="shared" si="20"/>
        <v>92987.46</v>
      </c>
      <c r="Q444">
        <f>IF(PQ_Cleansing!L444="Excellent", P444 * 0.1, IF(PQ_Cleansing!L444="Good", P444 * 0.05, IF(PQ_Cleansing!L444="Average", P444 * 0.02, IF(PQ_Cleansing!L444="Poor", 0, 0))))</f>
        <v>9298.746000000001</v>
      </c>
      <c r="R444">
        <f>IFERROR(VALUE(SUBSTITUTE(SUBSTITUTE(PQ_Cleansing!I444, "$", ""), ",", "")), "")</f>
        <v>92987.46</v>
      </c>
    </row>
    <row r="445" spans="1:18" x14ac:dyDescent="0.25">
      <c r="A445" t="str">
        <f>PROPER(TRIM(CLEAN(RAW_DATA!A445)))</f>
        <v>Emp1443</v>
      </c>
      <c r="B445" t="str">
        <f>RAW_DATA!B445</f>
        <v>Eva</v>
      </c>
      <c r="C445" t="str">
        <f>RAW_DATA!C445</f>
        <v>Garcia</v>
      </c>
      <c r="D445">
        <f>RAW_DATA!D445</f>
        <v>40</v>
      </c>
      <c r="E445" t="str">
        <f>RAW_DATA!E445</f>
        <v>Finance-Illinois</v>
      </c>
      <c r="F445" t="str">
        <f t="shared" si="18"/>
        <v>Finance</v>
      </c>
      <c r="G445" t="str">
        <f t="shared" si="19"/>
        <v>Illinois</v>
      </c>
      <c r="P445">
        <f t="shared" si="20"/>
        <v>56140.51</v>
      </c>
      <c r="Q445">
        <f>IF(PQ_Cleansing!L445="Excellent", P445 * 0.1, IF(PQ_Cleansing!L445="Good", P445 * 0.05, IF(PQ_Cleansing!L445="Average", P445 * 0.02, IF(PQ_Cleansing!L445="Poor", 0, 0))))</f>
        <v>1122.8102000000001</v>
      </c>
      <c r="R445">
        <f>IFERROR(VALUE(SUBSTITUTE(SUBSTITUTE(PQ_Cleansing!I445, "$", ""), ",", "")), "")</f>
        <v>56140.51</v>
      </c>
    </row>
    <row r="446" spans="1:18" x14ac:dyDescent="0.25">
      <c r="A446" t="str">
        <f>PROPER(TRIM(CLEAN(RAW_DATA!A446)))</f>
        <v>Emp1444</v>
      </c>
      <c r="B446" t="str">
        <f>RAW_DATA!B446</f>
        <v>Grace</v>
      </c>
      <c r="C446" t="str">
        <f>RAW_DATA!C446</f>
        <v>Brown</v>
      </c>
      <c r="D446">
        <f>RAW_DATA!D446</f>
        <v>30</v>
      </c>
      <c r="E446" t="str">
        <f>RAW_DATA!E446</f>
        <v>DevOps-Illinois</v>
      </c>
      <c r="F446" t="str">
        <f t="shared" si="18"/>
        <v>DevOps</v>
      </c>
      <c r="G446" t="str">
        <f t="shared" si="19"/>
        <v>Illinois</v>
      </c>
      <c r="P446">
        <f t="shared" si="20"/>
        <v>119586.11</v>
      </c>
      <c r="Q446">
        <f>IF(PQ_Cleansing!L446="Excellent", P446 * 0.1, IF(PQ_Cleansing!L446="Good", P446 * 0.05, IF(PQ_Cleansing!L446="Average", P446 * 0.02, IF(PQ_Cleansing!L446="Poor", 0, 0))))</f>
        <v>2391.7222000000002</v>
      </c>
      <c r="R446">
        <f>IFERROR(VALUE(SUBSTITUTE(SUBSTITUTE(PQ_Cleansing!I446, "$", ""), ",", "")), "")</f>
        <v>119586.11</v>
      </c>
    </row>
    <row r="447" spans="1:18" x14ac:dyDescent="0.25">
      <c r="A447" t="str">
        <f>PROPER(TRIM(CLEAN(RAW_DATA!A447)))</f>
        <v>Emp1445</v>
      </c>
      <c r="B447" t="str">
        <f>RAW_DATA!B447</f>
        <v>Alice</v>
      </c>
      <c r="C447" t="str">
        <f>RAW_DATA!C447</f>
        <v>Williams</v>
      </c>
      <c r="D447">
        <f>RAW_DATA!D447</f>
        <v>40</v>
      </c>
      <c r="E447" t="str">
        <f>RAW_DATA!E447</f>
        <v>DevOps-California</v>
      </c>
      <c r="F447" t="str">
        <f t="shared" si="18"/>
        <v>DevOps</v>
      </c>
      <c r="G447" t="str">
        <f t="shared" si="19"/>
        <v>California</v>
      </c>
      <c r="P447">
        <f t="shared" si="20"/>
        <v>104700.46</v>
      </c>
      <c r="Q447">
        <f>IF(PQ_Cleansing!L447="Excellent", P447 * 0.1, IF(PQ_Cleansing!L447="Good", P447 * 0.05, IF(PQ_Cleansing!L447="Average", P447 * 0.02, IF(PQ_Cleansing!L447="Poor", 0, 0))))</f>
        <v>5235.023000000001</v>
      </c>
      <c r="R447">
        <f>IFERROR(VALUE(SUBSTITUTE(SUBSTITUTE(PQ_Cleansing!I447, "$", ""), ",", "")), "")</f>
        <v>104700.46</v>
      </c>
    </row>
    <row r="448" spans="1:18" x14ac:dyDescent="0.25">
      <c r="A448" t="str">
        <f>PROPER(TRIM(CLEAN(RAW_DATA!A448)))</f>
        <v>Emp1446</v>
      </c>
      <c r="B448" t="str">
        <f>RAW_DATA!B448</f>
        <v>Frank</v>
      </c>
      <c r="C448" t="str">
        <f>RAW_DATA!C448</f>
        <v>Williams</v>
      </c>
      <c r="D448">
        <f>RAW_DATA!D448</f>
        <v>40</v>
      </c>
      <c r="E448" t="str">
        <f>RAW_DATA!E448</f>
        <v>HR-New York</v>
      </c>
      <c r="F448" t="str">
        <f t="shared" si="18"/>
        <v>HR</v>
      </c>
      <c r="G448" t="str">
        <f t="shared" si="19"/>
        <v>New York</v>
      </c>
      <c r="P448">
        <f t="shared" si="20"/>
        <v>91798.14</v>
      </c>
      <c r="Q448">
        <f>IF(PQ_Cleansing!L448="Excellent", P448 * 0.1, IF(PQ_Cleansing!L448="Good", P448 * 0.05, IF(PQ_Cleansing!L448="Average", P448 * 0.02, IF(PQ_Cleansing!L448="Poor", 0, 0))))</f>
        <v>4589.9070000000002</v>
      </c>
      <c r="R448">
        <f>IFERROR(VALUE(SUBSTITUTE(SUBSTITUTE(PQ_Cleansing!I448, "$", ""), ",", "")), "")</f>
        <v>91798.14</v>
      </c>
    </row>
    <row r="449" spans="1:18" x14ac:dyDescent="0.25">
      <c r="A449" t="str">
        <f>PROPER(TRIM(CLEAN(RAW_DATA!A449)))</f>
        <v>Emp1447</v>
      </c>
      <c r="B449" t="str">
        <f>RAW_DATA!B449</f>
        <v>Eva</v>
      </c>
      <c r="C449" t="str">
        <f>RAW_DATA!C449</f>
        <v>Miller</v>
      </c>
      <c r="D449">
        <f>RAW_DATA!D449</f>
        <v>25</v>
      </c>
      <c r="E449" t="str">
        <f>RAW_DATA!E449</f>
        <v>Finance-Illinois</v>
      </c>
      <c r="F449" t="str">
        <f t="shared" si="18"/>
        <v>Finance</v>
      </c>
      <c r="G449" t="str">
        <f t="shared" si="19"/>
        <v>Illinois</v>
      </c>
      <c r="P449">
        <f t="shared" si="20"/>
        <v>90879.22</v>
      </c>
      <c r="Q449">
        <f>IF(PQ_Cleansing!L449="Excellent", P449 * 0.1, IF(PQ_Cleansing!L449="Good", P449 * 0.05, IF(PQ_Cleansing!L449="Average", P449 * 0.02, IF(PQ_Cleansing!L449="Poor", 0, 0))))</f>
        <v>4543.9610000000002</v>
      </c>
      <c r="R449">
        <f>IFERROR(VALUE(SUBSTITUTE(SUBSTITUTE(PQ_Cleansing!I449, "$", ""), ",", "")), "")</f>
        <v>90879.22</v>
      </c>
    </row>
    <row r="450" spans="1:18" x14ac:dyDescent="0.25">
      <c r="A450" t="str">
        <f>PROPER(TRIM(CLEAN(RAW_DATA!A450)))</f>
        <v>Emp1448</v>
      </c>
      <c r="B450" t="str">
        <f>RAW_DATA!B450</f>
        <v>Charlie</v>
      </c>
      <c r="C450" t="str">
        <f>RAW_DATA!C450</f>
        <v>Davis</v>
      </c>
      <c r="D450">
        <f>RAW_DATA!D450</f>
        <v>25</v>
      </c>
      <c r="E450" t="str">
        <f>RAW_DATA!E450</f>
        <v>Admin-Nevada</v>
      </c>
      <c r="F450" t="str">
        <f t="shared" si="18"/>
        <v>Admin</v>
      </c>
      <c r="G450" t="str">
        <f t="shared" si="19"/>
        <v>Nevada</v>
      </c>
      <c r="P450">
        <f t="shared" si="20"/>
        <v>87358.27</v>
      </c>
      <c r="Q450">
        <f>IF(PQ_Cleansing!L450="Excellent", P450 * 0.1, IF(PQ_Cleansing!L450="Good", P450 * 0.05, IF(PQ_Cleansing!L450="Average", P450 * 0.02, IF(PQ_Cleansing!L450="Poor", 0, 0))))</f>
        <v>0</v>
      </c>
      <c r="R450">
        <f>IFERROR(VALUE(SUBSTITUTE(SUBSTITUTE(PQ_Cleansing!I450, "$", ""), ",", "")), "")</f>
        <v>87358.27</v>
      </c>
    </row>
    <row r="451" spans="1:18" x14ac:dyDescent="0.25">
      <c r="A451" t="str">
        <f>PROPER(TRIM(CLEAN(RAW_DATA!A451)))</f>
        <v>Emp1449</v>
      </c>
      <c r="B451" t="str">
        <f>RAW_DATA!B451</f>
        <v>Alice</v>
      </c>
      <c r="C451" t="str">
        <f>RAW_DATA!C451</f>
        <v>Miller</v>
      </c>
      <c r="D451">
        <f>RAW_DATA!D451</f>
        <v>30</v>
      </c>
      <c r="E451" t="str">
        <f>RAW_DATA!E451</f>
        <v>Sales-Florida</v>
      </c>
      <c r="F451" t="str">
        <f t="shared" ref="F451:F514" si="21">LEFT(E451, FIND("-", E451) - 1)</f>
        <v>Sales</v>
      </c>
      <c r="G451" t="str">
        <f t="shared" ref="G451:G514" si="22">RIGHT(E451, LEN(E451) - FIND("-",E451))</f>
        <v>Florida</v>
      </c>
      <c r="P451">
        <f t="shared" ref="P451:P514" si="23">IF(ISNUMBER(R451), R451, AVERAGEIF($R$2:$R$1000, "&gt;0"))</f>
        <v>119407.93</v>
      </c>
      <c r="Q451">
        <f>IF(PQ_Cleansing!L451="Excellent", P451 * 0.1, IF(PQ_Cleansing!L451="Good", P451 * 0.05, IF(PQ_Cleansing!L451="Average", P451 * 0.02, IF(PQ_Cleansing!L451="Poor", 0, 0))))</f>
        <v>11940.793</v>
      </c>
      <c r="R451">
        <f>IFERROR(VALUE(SUBSTITUTE(SUBSTITUTE(PQ_Cleansing!I451, "$", ""), ",", "")), "")</f>
        <v>119407.93</v>
      </c>
    </row>
    <row r="452" spans="1:18" x14ac:dyDescent="0.25">
      <c r="A452" t="str">
        <f>PROPER(TRIM(CLEAN(RAW_DATA!A452)))</f>
        <v>Emp1450</v>
      </c>
      <c r="B452" t="str">
        <f>RAW_DATA!B452</f>
        <v>David</v>
      </c>
      <c r="C452" t="str">
        <f>RAW_DATA!C452</f>
        <v>Miller</v>
      </c>
      <c r="D452">
        <f>RAW_DATA!D452</f>
        <v>0</v>
      </c>
      <c r="E452" t="str">
        <f>RAW_DATA!E452</f>
        <v>HR-Nevada</v>
      </c>
      <c r="F452" t="str">
        <f t="shared" si="21"/>
        <v>HR</v>
      </c>
      <c r="G452" t="str">
        <f t="shared" si="22"/>
        <v>Nevada</v>
      </c>
      <c r="P452">
        <f t="shared" si="23"/>
        <v>113978.6</v>
      </c>
      <c r="Q452">
        <f>IF(PQ_Cleansing!L452="Excellent", P452 * 0.1, IF(PQ_Cleansing!L452="Good", P452 * 0.05, IF(PQ_Cleansing!L452="Average", P452 * 0.02, IF(PQ_Cleansing!L452="Poor", 0, 0))))</f>
        <v>11397.86</v>
      </c>
      <c r="R452">
        <f>IFERROR(VALUE(SUBSTITUTE(SUBSTITUTE(PQ_Cleansing!I452, "$", ""), ",", "")), "")</f>
        <v>113978.6</v>
      </c>
    </row>
    <row r="453" spans="1:18" x14ac:dyDescent="0.25">
      <c r="A453" t="str">
        <f>PROPER(TRIM(CLEAN(RAW_DATA!A453)))</f>
        <v>Emp1451</v>
      </c>
      <c r="B453" t="str">
        <f>RAW_DATA!B453</f>
        <v>Frank</v>
      </c>
      <c r="C453" t="str">
        <f>RAW_DATA!C453</f>
        <v>Miller</v>
      </c>
      <c r="D453">
        <f>RAW_DATA!D453</f>
        <v>0</v>
      </c>
      <c r="E453" t="str">
        <f>RAW_DATA!E453</f>
        <v>Sales-New York</v>
      </c>
      <c r="F453" t="str">
        <f t="shared" si="21"/>
        <v>Sales</v>
      </c>
      <c r="G453" t="str">
        <f t="shared" si="22"/>
        <v>New York</v>
      </c>
      <c r="P453">
        <f t="shared" si="23"/>
        <v>108568.78</v>
      </c>
      <c r="Q453">
        <f>IF(PQ_Cleansing!L453="Excellent", P453 * 0.1, IF(PQ_Cleansing!L453="Good", P453 * 0.05, IF(PQ_Cleansing!L453="Average", P453 * 0.02, IF(PQ_Cleansing!L453="Poor", 0, 0))))</f>
        <v>5428.4390000000003</v>
      </c>
      <c r="R453">
        <f>IFERROR(VALUE(SUBSTITUTE(SUBSTITUTE(PQ_Cleansing!I453, "$", ""), ",", "")), "")</f>
        <v>108568.78</v>
      </c>
    </row>
    <row r="454" spans="1:18" x14ac:dyDescent="0.25">
      <c r="A454" t="str">
        <f>PROPER(TRIM(CLEAN(RAW_DATA!A454)))</f>
        <v>Emp1452</v>
      </c>
      <c r="B454" t="str">
        <f>RAW_DATA!B454</f>
        <v>Heidi</v>
      </c>
      <c r="C454" t="str">
        <f>RAW_DATA!C454</f>
        <v>Miller</v>
      </c>
      <c r="D454">
        <f>RAW_DATA!D454</f>
        <v>0</v>
      </c>
      <c r="E454" t="str">
        <f>RAW_DATA!E454</f>
        <v>HR-New York</v>
      </c>
      <c r="F454" t="str">
        <f t="shared" si="21"/>
        <v>HR</v>
      </c>
      <c r="G454" t="str">
        <f t="shared" si="22"/>
        <v>New York</v>
      </c>
      <c r="P454">
        <f t="shared" si="23"/>
        <v>56318.02</v>
      </c>
      <c r="Q454">
        <f>IF(PQ_Cleansing!L454="Excellent", P454 * 0.1, IF(PQ_Cleansing!L454="Good", P454 * 0.05, IF(PQ_Cleansing!L454="Average", P454 * 0.02, IF(PQ_Cleansing!L454="Poor", 0, 0))))</f>
        <v>5631.8019999999997</v>
      </c>
      <c r="R454">
        <f>IFERROR(VALUE(SUBSTITUTE(SUBSTITUTE(PQ_Cleansing!I454, "$", ""), ",", "")), "")</f>
        <v>56318.02</v>
      </c>
    </row>
    <row r="455" spans="1:18" x14ac:dyDescent="0.25">
      <c r="A455" t="str">
        <f>PROPER(TRIM(CLEAN(RAW_DATA!A455)))</f>
        <v>Emp1453</v>
      </c>
      <c r="B455" t="str">
        <f>RAW_DATA!B455</f>
        <v>David</v>
      </c>
      <c r="C455" t="str">
        <f>RAW_DATA!C455</f>
        <v>Miller</v>
      </c>
      <c r="D455">
        <f>RAW_DATA!D455</f>
        <v>25</v>
      </c>
      <c r="E455" t="str">
        <f>RAW_DATA!E455</f>
        <v>Sales-Florida</v>
      </c>
      <c r="F455" t="str">
        <f t="shared" si="21"/>
        <v>Sales</v>
      </c>
      <c r="G455" t="str">
        <f t="shared" si="22"/>
        <v>Florida</v>
      </c>
      <c r="P455">
        <f t="shared" si="23"/>
        <v>114252.73</v>
      </c>
      <c r="Q455">
        <f>IF(PQ_Cleansing!L455="Excellent", P455 * 0.1, IF(PQ_Cleansing!L455="Good", P455 * 0.05, IF(PQ_Cleansing!L455="Average", P455 * 0.02, IF(PQ_Cleansing!L455="Poor", 0, 0))))</f>
        <v>5712.6365000000005</v>
      </c>
      <c r="R455">
        <f>IFERROR(VALUE(SUBSTITUTE(SUBSTITUTE(PQ_Cleansing!I455, "$", ""), ",", "")), "")</f>
        <v>114252.73</v>
      </c>
    </row>
    <row r="456" spans="1:18" x14ac:dyDescent="0.25">
      <c r="A456" t="str">
        <f>PROPER(TRIM(CLEAN(RAW_DATA!A456)))</f>
        <v>Emp1454</v>
      </c>
      <c r="B456" t="str">
        <f>RAW_DATA!B456</f>
        <v>Charlie</v>
      </c>
      <c r="C456" t="str">
        <f>RAW_DATA!C456</f>
        <v>Jones</v>
      </c>
      <c r="D456">
        <f>RAW_DATA!D456</f>
        <v>35</v>
      </c>
      <c r="E456" t="str">
        <f>RAW_DATA!E456</f>
        <v>DevOps-New York</v>
      </c>
      <c r="F456" t="str">
        <f t="shared" si="21"/>
        <v>DevOps</v>
      </c>
      <c r="G456" t="str">
        <f t="shared" si="22"/>
        <v>New York</v>
      </c>
      <c r="P456">
        <f t="shared" si="23"/>
        <v>51533.9</v>
      </c>
      <c r="Q456">
        <f>IF(PQ_Cleansing!L456="Excellent", P456 * 0.1, IF(PQ_Cleansing!L456="Good", P456 * 0.05, IF(PQ_Cleansing!L456="Average", P456 * 0.02, IF(PQ_Cleansing!L456="Poor", 0, 0))))</f>
        <v>0</v>
      </c>
      <c r="R456">
        <f>IFERROR(VALUE(SUBSTITUTE(SUBSTITUTE(PQ_Cleansing!I456, "$", ""), ",", "")), "")</f>
        <v>51533.9</v>
      </c>
    </row>
    <row r="457" spans="1:18" x14ac:dyDescent="0.25">
      <c r="A457" t="str">
        <f>PROPER(TRIM(CLEAN(RAW_DATA!A457)))</f>
        <v>Emp1455</v>
      </c>
      <c r="B457" t="str">
        <f>RAW_DATA!B457</f>
        <v>Charlie</v>
      </c>
      <c r="C457" t="str">
        <f>RAW_DATA!C457</f>
        <v>Williams</v>
      </c>
      <c r="D457">
        <f>RAW_DATA!D457</f>
        <v>25</v>
      </c>
      <c r="E457" t="str">
        <f>RAW_DATA!E457</f>
        <v>Sales-California</v>
      </c>
      <c r="F457" t="str">
        <f t="shared" si="21"/>
        <v>Sales</v>
      </c>
      <c r="G457" t="str">
        <f t="shared" si="22"/>
        <v>California</v>
      </c>
      <c r="P457">
        <f t="shared" si="23"/>
        <v>99317.66</v>
      </c>
      <c r="Q457">
        <f>IF(PQ_Cleansing!L457="Excellent", P457 * 0.1, IF(PQ_Cleansing!L457="Good", P457 * 0.05, IF(PQ_Cleansing!L457="Average", P457 * 0.02, IF(PQ_Cleansing!L457="Poor", 0, 0))))</f>
        <v>0</v>
      </c>
      <c r="R457">
        <f>IFERROR(VALUE(SUBSTITUTE(SUBSTITUTE(PQ_Cleansing!I457, "$", ""), ",", "")), "")</f>
        <v>99317.66</v>
      </c>
    </row>
    <row r="458" spans="1:18" x14ac:dyDescent="0.25">
      <c r="A458" t="str">
        <f>PROPER(TRIM(CLEAN(RAW_DATA!A458)))</f>
        <v>Emp1456</v>
      </c>
      <c r="B458" t="str">
        <f>RAW_DATA!B458</f>
        <v>Bob</v>
      </c>
      <c r="C458" t="str">
        <f>RAW_DATA!C458</f>
        <v>Miller</v>
      </c>
      <c r="D458">
        <f>RAW_DATA!D458</f>
        <v>35</v>
      </c>
      <c r="E458" t="str">
        <f>RAW_DATA!E458</f>
        <v>HR-California</v>
      </c>
      <c r="F458" t="str">
        <f t="shared" si="21"/>
        <v>HR</v>
      </c>
      <c r="G458" t="str">
        <f t="shared" si="22"/>
        <v>California</v>
      </c>
      <c r="P458">
        <f t="shared" si="23"/>
        <v>101264.64</v>
      </c>
      <c r="Q458">
        <f>IF(PQ_Cleansing!L458="Excellent", P458 * 0.1, IF(PQ_Cleansing!L458="Good", P458 * 0.05, IF(PQ_Cleansing!L458="Average", P458 * 0.02, IF(PQ_Cleansing!L458="Poor", 0, 0))))</f>
        <v>2025.2927999999999</v>
      </c>
      <c r="R458">
        <f>IFERROR(VALUE(SUBSTITUTE(SUBSTITUTE(PQ_Cleansing!I458, "$", ""), ",", "")), "")</f>
        <v>101264.64</v>
      </c>
    </row>
    <row r="459" spans="1:18" x14ac:dyDescent="0.25">
      <c r="A459" t="str">
        <f>PROPER(TRIM(CLEAN(RAW_DATA!A459)))</f>
        <v>Emp1457</v>
      </c>
      <c r="B459" t="str">
        <f>RAW_DATA!B459</f>
        <v>Heidi</v>
      </c>
      <c r="C459" t="str">
        <f>RAW_DATA!C459</f>
        <v>Garcia</v>
      </c>
      <c r="D459">
        <f>RAW_DATA!D459</f>
        <v>35</v>
      </c>
      <c r="E459" t="str">
        <f>RAW_DATA!E459</f>
        <v>Admin-Nevada</v>
      </c>
      <c r="F459" t="str">
        <f t="shared" si="21"/>
        <v>Admin</v>
      </c>
      <c r="G459" t="str">
        <f t="shared" si="22"/>
        <v>Nevada</v>
      </c>
      <c r="P459">
        <f t="shared" si="23"/>
        <v>112272.02</v>
      </c>
      <c r="Q459">
        <f>IF(PQ_Cleansing!L459="Excellent", P459 * 0.1, IF(PQ_Cleansing!L459="Good", P459 * 0.05, IF(PQ_Cleansing!L459="Average", P459 * 0.02, IF(PQ_Cleansing!L459="Poor", 0, 0))))</f>
        <v>0</v>
      </c>
      <c r="R459">
        <f>IFERROR(VALUE(SUBSTITUTE(SUBSTITUTE(PQ_Cleansing!I459, "$", ""), ",", "")), "")</f>
        <v>112272.02</v>
      </c>
    </row>
    <row r="460" spans="1:18" x14ac:dyDescent="0.25">
      <c r="A460" t="str">
        <f>PROPER(TRIM(CLEAN(RAW_DATA!A460)))</f>
        <v>Emp1458</v>
      </c>
      <c r="B460" t="str">
        <f>RAW_DATA!B460</f>
        <v>Frank</v>
      </c>
      <c r="C460" t="str">
        <f>RAW_DATA!C460</f>
        <v>Williams</v>
      </c>
      <c r="D460">
        <f>RAW_DATA!D460</f>
        <v>30</v>
      </c>
      <c r="E460" t="str">
        <f>RAW_DATA!E460</f>
        <v>DevOps-Illinois</v>
      </c>
      <c r="F460" t="str">
        <f t="shared" si="21"/>
        <v>DevOps</v>
      </c>
      <c r="G460" t="str">
        <f t="shared" si="22"/>
        <v>Illinois</v>
      </c>
      <c r="P460">
        <f t="shared" si="23"/>
        <v>71477.63</v>
      </c>
      <c r="Q460">
        <f>IF(PQ_Cleansing!L460="Excellent", P460 * 0.1, IF(PQ_Cleansing!L460="Good", P460 * 0.05, IF(PQ_Cleansing!L460="Average", P460 * 0.02, IF(PQ_Cleansing!L460="Poor", 0, 0))))</f>
        <v>3573.8815000000004</v>
      </c>
      <c r="R460">
        <f>IFERROR(VALUE(SUBSTITUTE(SUBSTITUTE(PQ_Cleansing!I460, "$", ""), ",", "")), "")</f>
        <v>71477.63</v>
      </c>
    </row>
    <row r="461" spans="1:18" x14ac:dyDescent="0.25">
      <c r="A461" t="str">
        <f>PROPER(TRIM(CLEAN(RAW_DATA!A461)))</f>
        <v>Emp1459</v>
      </c>
      <c r="B461" t="str">
        <f>RAW_DATA!B461</f>
        <v>Charlie</v>
      </c>
      <c r="C461" t="str">
        <f>RAW_DATA!C461</f>
        <v>Williams</v>
      </c>
      <c r="D461">
        <f>RAW_DATA!D461</f>
        <v>30</v>
      </c>
      <c r="E461" t="str">
        <f>RAW_DATA!E461</f>
        <v>DevOps-Texas</v>
      </c>
      <c r="F461" t="str">
        <f t="shared" si="21"/>
        <v>DevOps</v>
      </c>
      <c r="G461" t="str">
        <f t="shared" si="22"/>
        <v>Texas</v>
      </c>
      <c r="P461">
        <f t="shared" si="23"/>
        <v>77412.100000000006</v>
      </c>
      <c r="Q461">
        <f>IF(PQ_Cleansing!L461="Excellent", P461 * 0.1, IF(PQ_Cleansing!L461="Good", P461 * 0.05, IF(PQ_Cleansing!L461="Average", P461 * 0.02, IF(PQ_Cleansing!L461="Poor", 0, 0))))</f>
        <v>0</v>
      </c>
      <c r="R461">
        <f>IFERROR(VALUE(SUBSTITUTE(SUBSTITUTE(PQ_Cleansing!I461, "$", ""), ",", "")), "")</f>
        <v>77412.100000000006</v>
      </c>
    </row>
    <row r="462" spans="1:18" x14ac:dyDescent="0.25">
      <c r="A462" t="str">
        <f>PROPER(TRIM(CLEAN(RAW_DATA!A462)))</f>
        <v>Emp1460</v>
      </c>
      <c r="B462" t="str">
        <f>RAW_DATA!B462</f>
        <v>Alice</v>
      </c>
      <c r="C462" t="str">
        <f>RAW_DATA!C462</f>
        <v>Johnson</v>
      </c>
      <c r="D462">
        <f>RAW_DATA!D462</f>
        <v>30</v>
      </c>
      <c r="E462" t="str">
        <f>RAW_DATA!E462</f>
        <v>Sales-California</v>
      </c>
      <c r="F462" t="str">
        <f t="shared" si="21"/>
        <v>Sales</v>
      </c>
      <c r="G462" t="str">
        <f t="shared" si="22"/>
        <v>California</v>
      </c>
      <c r="P462">
        <f t="shared" si="23"/>
        <v>94775.27</v>
      </c>
      <c r="Q462">
        <f>IF(PQ_Cleansing!L462="Excellent", P462 * 0.1, IF(PQ_Cleansing!L462="Good", P462 * 0.05, IF(PQ_Cleansing!L462="Average", P462 * 0.02, IF(PQ_Cleansing!L462="Poor", 0, 0))))</f>
        <v>1895.5054</v>
      </c>
      <c r="R462">
        <f>IFERROR(VALUE(SUBSTITUTE(SUBSTITUTE(PQ_Cleansing!I462, "$", ""), ",", "")), "")</f>
        <v>94775.27</v>
      </c>
    </row>
    <row r="463" spans="1:18" x14ac:dyDescent="0.25">
      <c r="A463" t="str">
        <f>PROPER(TRIM(CLEAN(RAW_DATA!A463)))</f>
        <v>Emp1461</v>
      </c>
      <c r="B463" t="str">
        <f>RAW_DATA!B463</f>
        <v>Heidi</v>
      </c>
      <c r="C463" t="str">
        <f>RAW_DATA!C463</f>
        <v>Jones</v>
      </c>
      <c r="D463">
        <f>RAW_DATA!D463</f>
        <v>30</v>
      </c>
      <c r="E463" t="str">
        <f>RAW_DATA!E463</f>
        <v>HR-Nevada</v>
      </c>
      <c r="F463" t="str">
        <f t="shared" si="21"/>
        <v>HR</v>
      </c>
      <c r="G463" t="str">
        <f t="shared" si="22"/>
        <v>Nevada</v>
      </c>
      <c r="P463">
        <f t="shared" si="23"/>
        <v>74276.710000000006</v>
      </c>
      <c r="Q463">
        <f>IF(PQ_Cleansing!L463="Excellent", P463 * 0.1, IF(PQ_Cleansing!L463="Good", P463 * 0.05, IF(PQ_Cleansing!L463="Average", P463 * 0.02, IF(PQ_Cleansing!L463="Poor", 0, 0))))</f>
        <v>7427.6710000000012</v>
      </c>
      <c r="R463">
        <f>IFERROR(VALUE(SUBSTITUTE(SUBSTITUTE(PQ_Cleansing!I463, "$", ""), ",", "")), "")</f>
        <v>74276.710000000006</v>
      </c>
    </row>
    <row r="464" spans="1:18" x14ac:dyDescent="0.25">
      <c r="A464" t="str">
        <f>PROPER(TRIM(CLEAN(RAW_DATA!A464)))</f>
        <v>Emp1462</v>
      </c>
      <c r="B464" t="str">
        <f>RAW_DATA!B464</f>
        <v>Bob</v>
      </c>
      <c r="C464" t="str">
        <f>RAW_DATA!C464</f>
        <v>Miller</v>
      </c>
      <c r="D464">
        <f>RAW_DATA!D464</f>
        <v>35</v>
      </c>
      <c r="E464" t="str">
        <f>RAW_DATA!E464</f>
        <v>Finance-Texas</v>
      </c>
      <c r="F464" t="str">
        <f t="shared" si="21"/>
        <v>Finance</v>
      </c>
      <c r="G464" t="str">
        <f t="shared" si="22"/>
        <v>Texas</v>
      </c>
      <c r="P464">
        <f t="shared" si="23"/>
        <v>67467.86</v>
      </c>
      <c r="Q464">
        <f>IF(PQ_Cleansing!L464="Excellent", P464 * 0.1, IF(PQ_Cleansing!L464="Good", P464 * 0.05, IF(PQ_Cleansing!L464="Average", P464 * 0.02, IF(PQ_Cleansing!L464="Poor", 0, 0))))</f>
        <v>3373.393</v>
      </c>
      <c r="R464">
        <f>IFERROR(VALUE(SUBSTITUTE(SUBSTITUTE(PQ_Cleansing!I464, "$", ""), ",", "")), "")</f>
        <v>67467.86</v>
      </c>
    </row>
    <row r="465" spans="1:18" x14ac:dyDescent="0.25">
      <c r="A465" t="str">
        <f>PROPER(TRIM(CLEAN(RAW_DATA!A465)))</f>
        <v>Emp1463</v>
      </c>
      <c r="B465" t="str">
        <f>RAW_DATA!B465</f>
        <v>Eva</v>
      </c>
      <c r="C465" t="str">
        <f>RAW_DATA!C465</f>
        <v>Smith</v>
      </c>
      <c r="D465">
        <f>RAW_DATA!D465</f>
        <v>25</v>
      </c>
      <c r="E465" t="str">
        <f>RAW_DATA!E465</f>
        <v>DevOps-Texas</v>
      </c>
      <c r="F465" t="str">
        <f t="shared" si="21"/>
        <v>DevOps</v>
      </c>
      <c r="G465" t="str">
        <f t="shared" si="22"/>
        <v>Texas</v>
      </c>
      <c r="P465">
        <f t="shared" si="23"/>
        <v>80675.41</v>
      </c>
      <c r="Q465">
        <f>IF(PQ_Cleansing!L465="Excellent", P465 * 0.1, IF(PQ_Cleansing!L465="Good", P465 * 0.05, IF(PQ_Cleansing!L465="Average", P465 * 0.02, IF(PQ_Cleansing!L465="Poor", 0, 0))))</f>
        <v>8067.5410000000011</v>
      </c>
      <c r="R465">
        <f>IFERROR(VALUE(SUBSTITUTE(SUBSTITUTE(PQ_Cleansing!I465, "$", ""), ",", "")), "")</f>
        <v>80675.41</v>
      </c>
    </row>
    <row r="466" spans="1:18" x14ac:dyDescent="0.25">
      <c r="A466" t="str">
        <f>PROPER(TRIM(CLEAN(RAW_DATA!A466)))</f>
        <v>Emp1464</v>
      </c>
      <c r="B466" t="str">
        <f>RAW_DATA!B466</f>
        <v>Charlie</v>
      </c>
      <c r="C466" t="str">
        <f>RAW_DATA!C466</f>
        <v>Brown</v>
      </c>
      <c r="D466">
        <f>RAW_DATA!D466</f>
        <v>40</v>
      </c>
      <c r="E466" t="str">
        <f>RAW_DATA!E466</f>
        <v>Finance-Florida</v>
      </c>
      <c r="F466" t="str">
        <f t="shared" si="21"/>
        <v>Finance</v>
      </c>
      <c r="G466" t="str">
        <f t="shared" si="22"/>
        <v>Florida</v>
      </c>
      <c r="P466">
        <f t="shared" si="23"/>
        <v>76274.33</v>
      </c>
      <c r="Q466">
        <f>IF(PQ_Cleansing!L466="Excellent", P466 * 0.1, IF(PQ_Cleansing!L466="Good", P466 * 0.05, IF(PQ_Cleansing!L466="Average", P466 * 0.02, IF(PQ_Cleansing!L466="Poor", 0, 0))))</f>
        <v>1525.4866</v>
      </c>
      <c r="R466">
        <f>IFERROR(VALUE(SUBSTITUTE(SUBSTITUTE(PQ_Cleansing!I466, "$", ""), ",", "")), "")</f>
        <v>76274.33</v>
      </c>
    </row>
    <row r="467" spans="1:18" x14ac:dyDescent="0.25">
      <c r="A467" t="str">
        <f>PROPER(TRIM(CLEAN(RAW_DATA!A467)))</f>
        <v>Emp1465</v>
      </c>
      <c r="B467" t="str">
        <f>RAW_DATA!B467</f>
        <v>David</v>
      </c>
      <c r="C467" t="str">
        <f>RAW_DATA!C467</f>
        <v>Davis</v>
      </c>
      <c r="D467">
        <f>RAW_DATA!D467</f>
        <v>30</v>
      </c>
      <c r="E467" t="str">
        <f>RAW_DATA!E467</f>
        <v>Finance-Texas</v>
      </c>
      <c r="F467" t="str">
        <f t="shared" si="21"/>
        <v>Finance</v>
      </c>
      <c r="G467" t="str">
        <f t="shared" si="22"/>
        <v>Texas</v>
      </c>
      <c r="P467">
        <f t="shared" si="23"/>
        <v>51405.46</v>
      </c>
      <c r="Q467">
        <f>IF(PQ_Cleansing!L467="Excellent", P467 * 0.1, IF(PQ_Cleansing!L467="Good", P467 * 0.05, IF(PQ_Cleansing!L467="Average", P467 * 0.02, IF(PQ_Cleansing!L467="Poor", 0, 0))))</f>
        <v>1028.1092000000001</v>
      </c>
      <c r="R467">
        <f>IFERROR(VALUE(SUBSTITUTE(SUBSTITUTE(PQ_Cleansing!I467, "$", ""), ",", "")), "")</f>
        <v>51405.46</v>
      </c>
    </row>
    <row r="468" spans="1:18" x14ac:dyDescent="0.25">
      <c r="A468" t="str">
        <f>PROPER(TRIM(CLEAN(RAW_DATA!A468)))</f>
        <v>Emp1466</v>
      </c>
      <c r="B468" t="str">
        <f>RAW_DATA!B468</f>
        <v>Bob</v>
      </c>
      <c r="C468" t="str">
        <f>RAW_DATA!C468</f>
        <v>Garcia</v>
      </c>
      <c r="D468">
        <f>RAW_DATA!D468</f>
        <v>25</v>
      </c>
      <c r="E468" t="str">
        <f>RAW_DATA!E468</f>
        <v>HR-New York</v>
      </c>
      <c r="F468" t="str">
        <f t="shared" si="21"/>
        <v>HR</v>
      </c>
      <c r="G468" t="str">
        <f t="shared" si="22"/>
        <v>New York</v>
      </c>
      <c r="P468">
        <f t="shared" si="23"/>
        <v>101238.96</v>
      </c>
      <c r="Q468">
        <f>IF(PQ_Cleansing!L468="Excellent", P468 * 0.1, IF(PQ_Cleansing!L468="Good", P468 * 0.05, IF(PQ_Cleansing!L468="Average", P468 * 0.02, IF(PQ_Cleansing!L468="Poor", 0, 0))))</f>
        <v>2024.7792000000002</v>
      </c>
      <c r="R468">
        <f>IFERROR(VALUE(SUBSTITUTE(SUBSTITUTE(PQ_Cleansing!I468, "$", ""), ",", "")), "")</f>
        <v>101238.96</v>
      </c>
    </row>
    <row r="469" spans="1:18" x14ac:dyDescent="0.25">
      <c r="A469" t="str">
        <f>PROPER(TRIM(CLEAN(RAW_DATA!A469)))</f>
        <v>Emp1467</v>
      </c>
      <c r="B469" t="str">
        <f>RAW_DATA!B469</f>
        <v>Bob</v>
      </c>
      <c r="C469" t="str">
        <f>RAW_DATA!C469</f>
        <v>Smith</v>
      </c>
      <c r="D469">
        <f>RAW_DATA!D469</f>
        <v>35</v>
      </c>
      <c r="E469" t="str">
        <f>RAW_DATA!E469</f>
        <v>Sales-Illinois</v>
      </c>
      <c r="F469" t="str">
        <f t="shared" si="21"/>
        <v>Sales</v>
      </c>
      <c r="G469" t="str">
        <f t="shared" si="22"/>
        <v>Illinois</v>
      </c>
      <c r="P469">
        <f t="shared" si="23"/>
        <v>52169.52</v>
      </c>
      <c r="Q469">
        <f>IF(PQ_Cleansing!L469="Excellent", P469 * 0.1, IF(PQ_Cleansing!L469="Good", P469 * 0.05, IF(PQ_Cleansing!L469="Average", P469 * 0.02, IF(PQ_Cleansing!L469="Poor", 0, 0))))</f>
        <v>5216.9520000000002</v>
      </c>
      <c r="R469">
        <f>IFERROR(VALUE(SUBSTITUTE(SUBSTITUTE(PQ_Cleansing!I469, "$", ""), ",", "")), "")</f>
        <v>52169.52</v>
      </c>
    </row>
    <row r="470" spans="1:18" x14ac:dyDescent="0.25">
      <c r="A470" t="str">
        <f>PROPER(TRIM(CLEAN(RAW_DATA!A470)))</f>
        <v>Emp1468</v>
      </c>
      <c r="B470" t="str">
        <f>RAW_DATA!B470</f>
        <v>Charlie</v>
      </c>
      <c r="C470" t="str">
        <f>RAW_DATA!C470</f>
        <v>Jones</v>
      </c>
      <c r="D470">
        <f>RAW_DATA!D470</f>
        <v>0</v>
      </c>
      <c r="E470" t="str">
        <f>RAW_DATA!E470</f>
        <v>Finance-New York</v>
      </c>
      <c r="F470" t="str">
        <f t="shared" si="21"/>
        <v>Finance</v>
      </c>
      <c r="G470" t="str">
        <f t="shared" si="22"/>
        <v>New York</v>
      </c>
      <c r="P470">
        <f t="shared" si="23"/>
        <v>73176.62</v>
      </c>
      <c r="Q470">
        <f>IF(PQ_Cleansing!L470="Excellent", P470 * 0.1, IF(PQ_Cleansing!L470="Good", P470 * 0.05, IF(PQ_Cleansing!L470="Average", P470 * 0.02, IF(PQ_Cleansing!L470="Poor", 0, 0))))</f>
        <v>7317.6620000000003</v>
      </c>
      <c r="R470">
        <f>IFERROR(VALUE(SUBSTITUTE(SUBSTITUTE(PQ_Cleansing!I470, "$", ""), ",", "")), "")</f>
        <v>73176.62</v>
      </c>
    </row>
    <row r="471" spans="1:18" x14ac:dyDescent="0.25">
      <c r="A471" t="str">
        <f>PROPER(TRIM(CLEAN(RAW_DATA!A471)))</f>
        <v>Emp1469</v>
      </c>
      <c r="B471" t="str">
        <f>RAW_DATA!B471</f>
        <v>Grace</v>
      </c>
      <c r="C471" t="str">
        <f>RAW_DATA!C471</f>
        <v>Brown</v>
      </c>
      <c r="D471">
        <f>RAW_DATA!D471</f>
        <v>0</v>
      </c>
      <c r="E471" t="str">
        <f>RAW_DATA!E471</f>
        <v>DevOps-Nevada</v>
      </c>
      <c r="F471" t="str">
        <f t="shared" si="21"/>
        <v>DevOps</v>
      </c>
      <c r="G471" t="str">
        <f t="shared" si="22"/>
        <v>Nevada</v>
      </c>
      <c r="P471">
        <f t="shared" si="23"/>
        <v>96241.85</v>
      </c>
      <c r="Q471">
        <f>IF(PQ_Cleansing!L471="Excellent", P471 * 0.1, IF(PQ_Cleansing!L471="Good", P471 * 0.05, IF(PQ_Cleansing!L471="Average", P471 * 0.02, IF(PQ_Cleansing!L471="Poor", 0, 0))))</f>
        <v>9624.1850000000013</v>
      </c>
      <c r="R471">
        <f>IFERROR(VALUE(SUBSTITUTE(SUBSTITUTE(PQ_Cleansing!I471, "$", ""), ",", "")), "")</f>
        <v>96241.85</v>
      </c>
    </row>
    <row r="472" spans="1:18" x14ac:dyDescent="0.25">
      <c r="A472" t="str">
        <f>PROPER(TRIM(CLEAN(RAW_DATA!A472)))</f>
        <v>Emp1470</v>
      </c>
      <c r="B472" t="str">
        <f>RAW_DATA!B472</f>
        <v>Bob</v>
      </c>
      <c r="C472" t="str">
        <f>RAW_DATA!C472</f>
        <v>Jones</v>
      </c>
      <c r="D472">
        <f>RAW_DATA!D472</f>
        <v>25</v>
      </c>
      <c r="E472" t="str">
        <f>RAW_DATA!E472</f>
        <v>Finance-Illinois</v>
      </c>
      <c r="F472" t="str">
        <f t="shared" si="21"/>
        <v>Finance</v>
      </c>
      <c r="G472" t="str">
        <f t="shared" si="22"/>
        <v>Illinois</v>
      </c>
      <c r="P472">
        <f t="shared" si="23"/>
        <v>84366.38</v>
      </c>
      <c r="Q472">
        <f>IF(PQ_Cleansing!L472="Excellent", P472 * 0.1, IF(PQ_Cleansing!L472="Good", P472 * 0.05, IF(PQ_Cleansing!L472="Average", P472 * 0.02, IF(PQ_Cleansing!L472="Poor", 0, 0))))</f>
        <v>8436.6380000000008</v>
      </c>
      <c r="R472">
        <f>IFERROR(VALUE(SUBSTITUTE(SUBSTITUTE(PQ_Cleansing!I472, "$", ""), ",", "")), "")</f>
        <v>84366.38</v>
      </c>
    </row>
    <row r="473" spans="1:18" x14ac:dyDescent="0.25">
      <c r="A473" t="str">
        <f>PROPER(TRIM(CLEAN(RAW_DATA!A473)))</f>
        <v>Emp1471</v>
      </c>
      <c r="B473" t="str">
        <f>RAW_DATA!B473</f>
        <v>Alice</v>
      </c>
      <c r="C473" t="str">
        <f>RAW_DATA!C473</f>
        <v>Garcia</v>
      </c>
      <c r="D473">
        <f>RAW_DATA!D473</f>
        <v>40</v>
      </c>
      <c r="E473" t="str">
        <f>RAW_DATA!E473</f>
        <v>Cloud Tech-California</v>
      </c>
      <c r="F473" t="str">
        <f t="shared" si="21"/>
        <v>Cloud Tech</v>
      </c>
      <c r="G473" t="str">
        <f t="shared" si="22"/>
        <v>California</v>
      </c>
      <c r="P473">
        <f t="shared" si="23"/>
        <v>92015.09</v>
      </c>
      <c r="Q473">
        <f>IF(PQ_Cleansing!L473="Excellent", P473 * 0.1, IF(PQ_Cleansing!L473="Good", P473 * 0.05, IF(PQ_Cleansing!L473="Average", P473 * 0.02, IF(PQ_Cleansing!L473="Poor", 0, 0))))</f>
        <v>1840.3018</v>
      </c>
      <c r="R473">
        <f>IFERROR(VALUE(SUBSTITUTE(SUBSTITUTE(PQ_Cleansing!I473, "$", ""), ",", "")), "")</f>
        <v>92015.09</v>
      </c>
    </row>
    <row r="474" spans="1:18" x14ac:dyDescent="0.25">
      <c r="A474" t="str">
        <f>PROPER(TRIM(CLEAN(RAW_DATA!A474)))</f>
        <v>Emp1472</v>
      </c>
      <c r="B474" t="str">
        <f>RAW_DATA!B474</f>
        <v>Alice</v>
      </c>
      <c r="C474" t="str">
        <f>RAW_DATA!C474</f>
        <v>Williams</v>
      </c>
      <c r="D474">
        <f>RAW_DATA!D474</f>
        <v>30</v>
      </c>
      <c r="E474" t="str">
        <f>RAW_DATA!E474</f>
        <v>Admin-Nevada</v>
      </c>
      <c r="F474" t="str">
        <f t="shared" si="21"/>
        <v>Admin</v>
      </c>
      <c r="G474" t="str">
        <f t="shared" si="22"/>
        <v>Nevada</v>
      </c>
      <c r="P474">
        <f t="shared" si="23"/>
        <v>83149.95</v>
      </c>
      <c r="Q474">
        <f>IF(PQ_Cleansing!L474="Excellent", P474 * 0.1, IF(PQ_Cleansing!L474="Good", P474 * 0.05, IF(PQ_Cleansing!L474="Average", P474 * 0.02, IF(PQ_Cleansing!L474="Poor", 0, 0))))</f>
        <v>1662.999</v>
      </c>
      <c r="R474">
        <f>IFERROR(VALUE(SUBSTITUTE(SUBSTITUTE(PQ_Cleansing!I474, "$", ""), ",", "")), "")</f>
        <v>83149.95</v>
      </c>
    </row>
    <row r="475" spans="1:18" x14ac:dyDescent="0.25">
      <c r="A475" t="str">
        <f>PROPER(TRIM(CLEAN(RAW_DATA!A475)))</f>
        <v>Emp1473</v>
      </c>
      <c r="B475" t="str">
        <f>RAW_DATA!B475</f>
        <v>Grace</v>
      </c>
      <c r="C475" t="str">
        <f>RAW_DATA!C475</f>
        <v>Brown</v>
      </c>
      <c r="D475">
        <f>RAW_DATA!D475</f>
        <v>40</v>
      </c>
      <c r="E475" t="str">
        <f>RAW_DATA!E475</f>
        <v>Finance-Nevada</v>
      </c>
      <c r="F475" t="str">
        <f t="shared" si="21"/>
        <v>Finance</v>
      </c>
      <c r="G475" t="str">
        <f t="shared" si="22"/>
        <v>Nevada</v>
      </c>
      <c r="P475">
        <f t="shared" si="23"/>
        <v>94930.65</v>
      </c>
      <c r="Q475">
        <f>IF(PQ_Cleansing!L475="Excellent", P475 * 0.1, IF(PQ_Cleansing!L475="Good", P475 * 0.05, IF(PQ_Cleansing!L475="Average", P475 * 0.02, IF(PQ_Cleansing!L475="Poor", 0, 0))))</f>
        <v>4746.5325000000003</v>
      </c>
      <c r="R475">
        <f>IFERROR(VALUE(SUBSTITUTE(SUBSTITUTE(PQ_Cleansing!I475, "$", ""), ",", "")), "")</f>
        <v>94930.65</v>
      </c>
    </row>
    <row r="476" spans="1:18" x14ac:dyDescent="0.25">
      <c r="A476" t="str">
        <f>PROPER(TRIM(CLEAN(RAW_DATA!A476)))</f>
        <v>Emp1474</v>
      </c>
      <c r="B476" t="str">
        <f>RAW_DATA!B476</f>
        <v>Frank</v>
      </c>
      <c r="C476" t="str">
        <f>RAW_DATA!C476</f>
        <v>Williams</v>
      </c>
      <c r="D476">
        <f>RAW_DATA!D476</f>
        <v>40</v>
      </c>
      <c r="E476" t="str">
        <f>RAW_DATA!E476</f>
        <v>HR-New York</v>
      </c>
      <c r="F476" t="str">
        <f t="shared" si="21"/>
        <v>HR</v>
      </c>
      <c r="G476" t="str">
        <f t="shared" si="22"/>
        <v>New York</v>
      </c>
      <c r="P476">
        <f t="shared" si="23"/>
        <v>68430.720000000001</v>
      </c>
      <c r="Q476">
        <f>IF(PQ_Cleansing!L476="Excellent", P476 * 0.1, IF(PQ_Cleansing!L476="Good", P476 * 0.05, IF(PQ_Cleansing!L476="Average", P476 * 0.02, IF(PQ_Cleansing!L476="Poor", 0, 0))))</f>
        <v>3421.5360000000001</v>
      </c>
      <c r="R476">
        <f>IFERROR(VALUE(SUBSTITUTE(SUBSTITUTE(PQ_Cleansing!I476, "$", ""), ",", "")), "")</f>
        <v>68430.720000000001</v>
      </c>
    </row>
    <row r="477" spans="1:18" x14ac:dyDescent="0.25">
      <c r="A477" t="str">
        <f>PROPER(TRIM(CLEAN(RAW_DATA!A477)))</f>
        <v>Emp1475</v>
      </c>
      <c r="B477" t="str">
        <f>RAW_DATA!B477</f>
        <v>David</v>
      </c>
      <c r="C477" t="str">
        <f>RAW_DATA!C477</f>
        <v>Garcia</v>
      </c>
      <c r="D477">
        <f>RAW_DATA!D477</f>
        <v>35</v>
      </c>
      <c r="E477" t="str">
        <f>RAW_DATA!E477</f>
        <v>Sales-Texas</v>
      </c>
      <c r="F477" t="str">
        <f t="shared" si="21"/>
        <v>Sales</v>
      </c>
      <c r="G477" t="str">
        <f t="shared" si="22"/>
        <v>Texas</v>
      </c>
      <c r="P477">
        <f t="shared" si="23"/>
        <v>98752.97</v>
      </c>
      <c r="Q477">
        <f>IF(PQ_Cleansing!L477="Excellent", P477 * 0.1, IF(PQ_Cleansing!L477="Good", P477 * 0.05, IF(PQ_Cleansing!L477="Average", P477 * 0.02, IF(PQ_Cleansing!L477="Poor", 0, 0))))</f>
        <v>9875.2970000000005</v>
      </c>
      <c r="R477">
        <f>IFERROR(VALUE(SUBSTITUTE(SUBSTITUTE(PQ_Cleansing!I477, "$", ""), ",", "")), "")</f>
        <v>98752.97</v>
      </c>
    </row>
    <row r="478" spans="1:18" x14ac:dyDescent="0.25">
      <c r="A478" t="str">
        <f>PROPER(TRIM(CLEAN(RAW_DATA!A478)))</f>
        <v>Emp1476</v>
      </c>
      <c r="B478" t="str">
        <f>RAW_DATA!B478</f>
        <v>Frank</v>
      </c>
      <c r="C478" t="str">
        <f>RAW_DATA!C478</f>
        <v>Smith</v>
      </c>
      <c r="D478">
        <f>RAW_DATA!D478</f>
        <v>0</v>
      </c>
      <c r="E478" t="str">
        <f>RAW_DATA!E478</f>
        <v>Finance-Illinois</v>
      </c>
      <c r="F478" t="str">
        <f t="shared" si="21"/>
        <v>Finance</v>
      </c>
      <c r="G478" t="str">
        <f t="shared" si="22"/>
        <v>Illinois</v>
      </c>
      <c r="P478">
        <f t="shared" si="23"/>
        <v>54268.86</v>
      </c>
      <c r="Q478">
        <f>IF(PQ_Cleansing!L478="Excellent", P478 * 0.1, IF(PQ_Cleansing!L478="Good", P478 * 0.05, IF(PQ_Cleansing!L478="Average", P478 * 0.02, IF(PQ_Cleansing!L478="Poor", 0, 0))))</f>
        <v>0</v>
      </c>
      <c r="R478">
        <f>IFERROR(VALUE(SUBSTITUTE(SUBSTITUTE(PQ_Cleansing!I478, "$", ""), ",", "")), "")</f>
        <v>54268.86</v>
      </c>
    </row>
    <row r="479" spans="1:18" x14ac:dyDescent="0.25">
      <c r="A479" t="str">
        <f>PROPER(TRIM(CLEAN(RAW_DATA!A479)))</f>
        <v>Emp1477</v>
      </c>
      <c r="B479" t="str">
        <f>RAW_DATA!B479</f>
        <v>Grace</v>
      </c>
      <c r="C479" t="str">
        <f>RAW_DATA!C479</f>
        <v>Garcia</v>
      </c>
      <c r="D479">
        <f>RAW_DATA!D479</f>
        <v>0</v>
      </c>
      <c r="E479" t="str">
        <f>RAW_DATA!E479</f>
        <v>DevOps-Florida</v>
      </c>
      <c r="F479" t="str">
        <f t="shared" si="21"/>
        <v>DevOps</v>
      </c>
      <c r="G479" t="str">
        <f t="shared" si="22"/>
        <v>Florida</v>
      </c>
      <c r="P479">
        <f t="shared" si="23"/>
        <v>66494.94</v>
      </c>
      <c r="Q479">
        <f>IF(PQ_Cleansing!L479="Excellent", P479 * 0.1, IF(PQ_Cleansing!L479="Good", P479 * 0.05, IF(PQ_Cleansing!L479="Average", P479 * 0.02, IF(PQ_Cleansing!L479="Poor", 0, 0))))</f>
        <v>0</v>
      </c>
      <c r="R479">
        <f>IFERROR(VALUE(SUBSTITUTE(SUBSTITUTE(PQ_Cleansing!I479, "$", ""), ",", "")), "")</f>
        <v>66494.94</v>
      </c>
    </row>
    <row r="480" spans="1:18" x14ac:dyDescent="0.25">
      <c r="A480" t="str">
        <f>PROPER(TRIM(CLEAN(RAW_DATA!A480)))</f>
        <v>Emp1478</v>
      </c>
      <c r="B480" t="str">
        <f>RAW_DATA!B480</f>
        <v>Grace</v>
      </c>
      <c r="C480" t="str">
        <f>RAW_DATA!C480</f>
        <v>Smith</v>
      </c>
      <c r="D480">
        <f>RAW_DATA!D480</f>
        <v>25</v>
      </c>
      <c r="E480" t="str">
        <f>RAW_DATA!E480</f>
        <v>Sales-Illinois</v>
      </c>
      <c r="F480" t="str">
        <f t="shared" si="21"/>
        <v>Sales</v>
      </c>
      <c r="G480" t="str">
        <f t="shared" si="22"/>
        <v>Illinois</v>
      </c>
      <c r="P480">
        <f t="shared" si="23"/>
        <v>90003.98</v>
      </c>
      <c r="Q480">
        <f>IF(PQ_Cleansing!L480="Excellent", P480 * 0.1, IF(PQ_Cleansing!L480="Good", P480 * 0.05, IF(PQ_Cleansing!L480="Average", P480 * 0.02, IF(PQ_Cleansing!L480="Poor", 0, 0))))</f>
        <v>1800.0796</v>
      </c>
      <c r="R480">
        <f>IFERROR(VALUE(SUBSTITUTE(SUBSTITUTE(PQ_Cleansing!I480, "$", ""), ",", "")), "")</f>
        <v>90003.98</v>
      </c>
    </row>
    <row r="481" spans="1:18" x14ac:dyDescent="0.25">
      <c r="A481" t="str">
        <f>PROPER(TRIM(CLEAN(RAW_DATA!A481)))</f>
        <v>Emp1479</v>
      </c>
      <c r="B481" t="str">
        <f>RAW_DATA!B481</f>
        <v>Charlie</v>
      </c>
      <c r="C481" t="str">
        <f>RAW_DATA!C481</f>
        <v>Brown</v>
      </c>
      <c r="D481">
        <f>RAW_DATA!D481</f>
        <v>25</v>
      </c>
      <c r="E481" t="str">
        <f>RAW_DATA!E481</f>
        <v>Finance-New York</v>
      </c>
      <c r="F481" t="str">
        <f t="shared" si="21"/>
        <v>Finance</v>
      </c>
      <c r="G481" t="str">
        <f t="shared" si="22"/>
        <v>New York</v>
      </c>
      <c r="P481">
        <f t="shared" si="23"/>
        <v>106592.25</v>
      </c>
      <c r="Q481">
        <f>IF(PQ_Cleansing!L481="Excellent", P481 * 0.1, IF(PQ_Cleansing!L481="Good", P481 * 0.05, IF(PQ_Cleansing!L481="Average", P481 * 0.02, IF(PQ_Cleansing!L481="Poor", 0, 0))))</f>
        <v>2131.8450000000003</v>
      </c>
      <c r="R481">
        <f>IFERROR(VALUE(SUBSTITUTE(SUBSTITUTE(PQ_Cleansing!I481, "$", ""), ",", "")), "")</f>
        <v>106592.25</v>
      </c>
    </row>
    <row r="482" spans="1:18" x14ac:dyDescent="0.25">
      <c r="A482" t="str">
        <f>PROPER(TRIM(CLEAN(RAW_DATA!A482)))</f>
        <v>Emp1480</v>
      </c>
      <c r="B482" t="str">
        <f>RAW_DATA!B482</f>
        <v>Grace</v>
      </c>
      <c r="C482" t="str">
        <f>RAW_DATA!C482</f>
        <v>Brown</v>
      </c>
      <c r="D482">
        <f>RAW_DATA!D482</f>
        <v>25</v>
      </c>
      <c r="E482" t="str">
        <f>RAW_DATA!E482</f>
        <v>DevOps-Florida</v>
      </c>
      <c r="F482" t="str">
        <f t="shared" si="21"/>
        <v>DevOps</v>
      </c>
      <c r="G482" t="str">
        <f t="shared" si="22"/>
        <v>Florida</v>
      </c>
      <c r="P482">
        <f t="shared" si="23"/>
        <v>93905.83</v>
      </c>
      <c r="Q482">
        <f>IF(PQ_Cleansing!L482="Excellent", P482 * 0.1, IF(PQ_Cleansing!L482="Good", P482 * 0.05, IF(PQ_Cleansing!L482="Average", P482 * 0.02, IF(PQ_Cleansing!L482="Poor", 0, 0))))</f>
        <v>1878.1166000000001</v>
      </c>
      <c r="R482">
        <f>IFERROR(VALUE(SUBSTITUTE(SUBSTITUTE(PQ_Cleansing!I482, "$", ""), ",", "")), "")</f>
        <v>93905.83</v>
      </c>
    </row>
    <row r="483" spans="1:18" x14ac:dyDescent="0.25">
      <c r="A483" t="str">
        <f>PROPER(TRIM(CLEAN(RAW_DATA!A483)))</f>
        <v>Emp1481</v>
      </c>
      <c r="B483" t="str">
        <f>RAW_DATA!B483</f>
        <v>Eva</v>
      </c>
      <c r="C483" t="str">
        <f>RAW_DATA!C483</f>
        <v>Miller</v>
      </c>
      <c r="D483">
        <f>RAW_DATA!D483</f>
        <v>35</v>
      </c>
      <c r="E483" t="str">
        <f>RAW_DATA!E483</f>
        <v>DevOps-Texas</v>
      </c>
      <c r="F483" t="str">
        <f t="shared" si="21"/>
        <v>DevOps</v>
      </c>
      <c r="G483" t="str">
        <f t="shared" si="22"/>
        <v>Texas</v>
      </c>
      <c r="P483">
        <f t="shared" si="23"/>
        <v>88945.49</v>
      </c>
      <c r="Q483">
        <f>IF(PQ_Cleansing!L483="Excellent", P483 * 0.1, IF(PQ_Cleansing!L483="Good", P483 * 0.05, IF(PQ_Cleansing!L483="Average", P483 * 0.02, IF(PQ_Cleansing!L483="Poor", 0, 0))))</f>
        <v>4447.2745000000004</v>
      </c>
      <c r="R483">
        <f>IFERROR(VALUE(SUBSTITUTE(SUBSTITUTE(PQ_Cleansing!I483, "$", ""), ",", "")), "")</f>
        <v>88945.49</v>
      </c>
    </row>
    <row r="484" spans="1:18" x14ac:dyDescent="0.25">
      <c r="A484" t="str">
        <f>PROPER(TRIM(CLEAN(RAW_DATA!A484)))</f>
        <v>Emp1482</v>
      </c>
      <c r="B484" t="str">
        <f>RAW_DATA!B484</f>
        <v>Eva</v>
      </c>
      <c r="C484" t="str">
        <f>RAW_DATA!C484</f>
        <v>Jones</v>
      </c>
      <c r="D484">
        <f>RAW_DATA!D484</f>
        <v>0</v>
      </c>
      <c r="E484" t="str">
        <f>RAW_DATA!E484</f>
        <v>Finance-Texas</v>
      </c>
      <c r="F484" t="str">
        <f t="shared" si="21"/>
        <v>Finance</v>
      </c>
      <c r="G484" t="str">
        <f t="shared" si="22"/>
        <v>Texas</v>
      </c>
      <c r="P484">
        <f t="shared" si="23"/>
        <v>91130.33</v>
      </c>
      <c r="Q484">
        <f>IF(PQ_Cleansing!L484="Excellent", P484 * 0.1, IF(PQ_Cleansing!L484="Good", P484 * 0.05, IF(PQ_Cleansing!L484="Average", P484 * 0.02, IF(PQ_Cleansing!L484="Poor", 0, 0))))</f>
        <v>4556.5165000000006</v>
      </c>
      <c r="R484">
        <f>IFERROR(VALUE(SUBSTITUTE(SUBSTITUTE(PQ_Cleansing!I484, "$", ""), ",", "")), "")</f>
        <v>91130.33</v>
      </c>
    </row>
    <row r="485" spans="1:18" x14ac:dyDescent="0.25">
      <c r="A485" t="str">
        <f>PROPER(TRIM(CLEAN(RAW_DATA!A485)))</f>
        <v>Emp1483</v>
      </c>
      <c r="B485" t="str">
        <f>RAW_DATA!B485</f>
        <v>Bob</v>
      </c>
      <c r="C485" t="str">
        <f>RAW_DATA!C485</f>
        <v>Miller</v>
      </c>
      <c r="D485">
        <f>RAW_DATA!D485</f>
        <v>40</v>
      </c>
      <c r="E485" t="str">
        <f>RAW_DATA!E485</f>
        <v>Admin-New York</v>
      </c>
      <c r="F485" t="str">
        <f t="shared" si="21"/>
        <v>Admin</v>
      </c>
      <c r="G485" t="str">
        <f t="shared" si="22"/>
        <v>New York</v>
      </c>
      <c r="P485">
        <f t="shared" si="23"/>
        <v>90787.4</v>
      </c>
      <c r="Q485">
        <f>IF(PQ_Cleansing!L485="Excellent", P485 * 0.1, IF(PQ_Cleansing!L485="Good", P485 * 0.05, IF(PQ_Cleansing!L485="Average", P485 * 0.02, IF(PQ_Cleansing!L485="Poor", 0, 0))))</f>
        <v>1815.7479999999998</v>
      </c>
      <c r="R485">
        <f>IFERROR(VALUE(SUBSTITUTE(SUBSTITUTE(PQ_Cleansing!I485, "$", ""), ",", "")), "")</f>
        <v>90787.4</v>
      </c>
    </row>
    <row r="486" spans="1:18" x14ac:dyDescent="0.25">
      <c r="A486" t="str">
        <f>PROPER(TRIM(CLEAN(RAW_DATA!A486)))</f>
        <v>Emp1484</v>
      </c>
      <c r="B486" t="str">
        <f>RAW_DATA!B486</f>
        <v>Bob</v>
      </c>
      <c r="C486" t="str">
        <f>RAW_DATA!C486</f>
        <v>Jones</v>
      </c>
      <c r="D486">
        <f>RAW_DATA!D486</f>
        <v>25</v>
      </c>
      <c r="E486" t="str">
        <f>RAW_DATA!E486</f>
        <v>Sales-Texas</v>
      </c>
      <c r="F486" t="str">
        <f t="shared" si="21"/>
        <v>Sales</v>
      </c>
      <c r="G486" t="str">
        <f t="shared" si="22"/>
        <v>Texas</v>
      </c>
      <c r="P486">
        <f t="shared" si="23"/>
        <v>87494.34</v>
      </c>
      <c r="Q486">
        <f>IF(PQ_Cleansing!L486="Excellent", P486 * 0.1, IF(PQ_Cleansing!L486="Good", P486 * 0.05, IF(PQ_Cleansing!L486="Average", P486 * 0.02, IF(PQ_Cleansing!L486="Poor", 0, 0))))</f>
        <v>1749.8868</v>
      </c>
      <c r="R486">
        <f>IFERROR(VALUE(SUBSTITUTE(SUBSTITUTE(PQ_Cleansing!I486, "$", ""), ",", "")), "")</f>
        <v>87494.34</v>
      </c>
    </row>
    <row r="487" spans="1:18" x14ac:dyDescent="0.25">
      <c r="A487" t="str">
        <f>PROPER(TRIM(CLEAN(RAW_DATA!A487)))</f>
        <v>Emp1485</v>
      </c>
      <c r="B487" t="str">
        <f>RAW_DATA!B487</f>
        <v>Grace</v>
      </c>
      <c r="C487" t="str">
        <f>RAW_DATA!C487</f>
        <v>Miller</v>
      </c>
      <c r="D487">
        <f>RAW_DATA!D487</f>
        <v>35</v>
      </c>
      <c r="E487" t="str">
        <f>RAW_DATA!E487</f>
        <v>Finance-Nevada</v>
      </c>
      <c r="F487" t="str">
        <f t="shared" si="21"/>
        <v>Finance</v>
      </c>
      <c r="G487" t="str">
        <f t="shared" si="22"/>
        <v>Nevada</v>
      </c>
      <c r="P487">
        <f t="shared" si="23"/>
        <v>92627.35</v>
      </c>
      <c r="Q487">
        <f>IF(PQ_Cleansing!L487="Excellent", P487 * 0.1, IF(PQ_Cleansing!L487="Good", P487 * 0.05, IF(PQ_Cleansing!L487="Average", P487 * 0.02, IF(PQ_Cleansing!L487="Poor", 0, 0))))</f>
        <v>1852.5470000000003</v>
      </c>
      <c r="R487">
        <f>IFERROR(VALUE(SUBSTITUTE(SUBSTITUTE(PQ_Cleansing!I487, "$", ""), ",", "")), "")</f>
        <v>92627.35</v>
      </c>
    </row>
    <row r="488" spans="1:18" x14ac:dyDescent="0.25">
      <c r="A488" t="str">
        <f>PROPER(TRIM(CLEAN(RAW_DATA!A488)))</f>
        <v>Emp1486</v>
      </c>
      <c r="B488" t="str">
        <f>RAW_DATA!B488</f>
        <v>Eva</v>
      </c>
      <c r="C488" t="str">
        <f>RAW_DATA!C488</f>
        <v>Williams</v>
      </c>
      <c r="D488">
        <f>RAW_DATA!D488</f>
        <v>40</v>
      </c>
      <c r="E488" t="str">
        <f>RAW_DATA!E488</f>
        <v>Admin-Illinois</v>
      </c>
      <c r="F488" t="str">
        <f t="shared" si="21"/>
        <v>Admin</v>
      </c>
      <c r="G488" t="str">
        <f t="shared" si="22"/>
        <v>Illinois</v>
      </c>
      <c r="P488">
        <f t="shared" si="23"/>
        <v>98556.29</v>
      </c>
      <c r="Q488">
        <f>IF(PQ_Cleansing!L488="Excellent", P488 * 0.1, IF(PQ_Cleansing!L488="Good", P488 * 0.05, IF(PQ_Cleansing!L488="Average", P488 * 0.02, IF(PQ_Cleansing!L488="Poor", 0, 0))))</f>
        <v>0</v>
      </c>
      <c r="R488">
        <f>IFERROR(VALUE(SUBSTITUTE(SUBSTITUTE(PQ_Cleansing!I488, "$", ""), ",", "")), "")</f>
        <v>98556.29</v>
      </c>
    </row>
    <row r="489" spans="1:18" x14ac:dyDescent="0.25">
      <c r="A489" t="str">
        <f>PROPER(TRIM(CLEAN(RAW_DATA!A489)))</f>
        <v>Emp1487</v>
      </c>
      <c r="B489" t="str">
        <f>RAW_DATA!B489</f>
        <v>Frank</v>
      </c>
      <c r="C489" t="str">
        <f>RAW_DATA!C489</f>
        <v>Brown</v>
      </c>
      <c r="D489">
        <f>RAW_DATA!D489</f>
        <v>30</v>
      </c>
      <c r="E489" t="str">
        <f>RAW_DATA!E489</f>
        <v>Cloud Tech-Nevada</v>
      </c>
      <c r="F489" t="str">
        <f t="shared" si="21"/>
        <v>Cloud Tech</v>
      </c>
      <c r="G489" t="str">
        <f t="shared" si="22"/>
        <v>Nevada</v>
      </c>
      <c r="P489">
        <f t="shared" si="23"/>
        <v>112792.2</v>
      </c>
      <c r="Q489">
        <f>IF(PQ_Cleansing!L489="Excellent", P489 * 0.1, IF(PQ_Cleansing!L489="Good", P489 * 0.05, IF(PQ_Cleansing!L489="Average", P489 * 0.02, IF(PQ_Cleansing!L489="Poor", 0, 0))))</f>
        <v>5639.6100000000006</v>
      </c>
      <c r="R489">
        <f>IFERROR(VALUE(SUBSTITUTE(SUBSTITUTE(PQ_Cleansing!I489, "$", ""), ",", "")), "")</f>
        <v>112792.2</v>
      </c>
    </row>
    <row r="490" spans="1:18" x14ac:dyDescent="0.25">
      <c r="A490" t="str">
        <f>PROPER(TRIM(CLEAN(RAW_DATA!A490)))</f>
        <v>Emp1488</v>
      </c>
      <c r="B490" t="str">
        <f>RAW_DATA!B490</f>
        <v>Eva</v>
      </c>
      <c r="C490" t="str">
        <f>RAW_DATA!C490</f>
        <v>Smith</v>
      </c>
      <c r="D490">
        <f>RAW_DATA!D490</f>
        <v>35</v>
      </c>
      <c r="E490" t="str">
        <f>RAW_DATA!E490</f>
        <v>HR-Florida</v>
      </c>
      <c r="F490" t="str">
        <f t="shared" si="21"/>
        <v>HR</v>
      </c>
      <c r="G490" t="str">
        <f t="shared" si="22"/>
        <v>Florida</v>
      </c>
      <c r="P490">
        <f t="shared" si="23"/>
        <v>56875.22</v>
      </c>
      <c r="Q490">
        <f>IF(PQ_Cleansing!L490="Excellent", P490 * 0.1, IF(PQ_Cleansing!L490="Good", P490 * 0.05, IF(PQ_Cleansing!L490="Average", P490 * 0.02, IF(PQ_Cleansing!L490="Poor", 0, 0))))</f>
        <v>0</v>
      </c>
      <c r="R490">
        <f>IFERROR(VALUE(SUBSTITUTE(SUBSTITUTE(PQ_Cleansing!I490, "$", ""), ",", "")), "")</f>
        <v>56875.22</v>
      </c>
    </row>
    <row r="491" spans="1:18" x14ac:dyDescent="0.25">
      <c r="A491" t="str">
        <f>PROPER(TRIM(CLEAN(RAW_DATA!A491)))</f>
        <v>Emp1489</v>
      </c>
      <c r="B491" t="str">
        <f>RAW_DATA!B491</f>
        <v>Charlie</v>
      </c>
      <c r="C491" t="str">
        <f>RAW_DATA!C491</f>
        <v>Jones</v>
      </c>
      <c r="D491">
        <f>RAW_DATA!D491</f>
        <v>35</v>
      </c>
      <c r="E491" t="str">
        <f>RAW_DATA!E491</f>
        <v>DevOps-Florida</v>
      </c>
      <c r="F491" t="str">
        <f t="shared" si="21"/>
        <v>DevOps</v>
      </c>
      <c r="G491" t="str">
        <f t="shared" si="22"/>
        <v>Florida</v>
      </c>
      <c r="P491">
        <f t="shared" si="23"/>
        <v>101015.96</v>
      </c>
      <c r="Q491">
        <f>IF(PQ_Cleansing!L491="Excellent", P491 * 0.1, IF(PQ_Cleansing!L491="Good", P491 * 0.05, IF(PQ_Cleansing!L491="Average", P491 * 0.02, IF(PQ_Cleansing!L491="Poor", 0, 0))))</f>
        <v>0</v>
      </c>
      <c r="R491">
        <f>IFERROR(VALUE(SUBSTITUTE(SUBSTITUTE(PQ_Cleansing!I491, "$", ""), ",", "")), "")</f>
        <v>101015.96</v>
      </c>
    </row>
    <row r="492" spans="1:18" x14ac:dyDescent="0.25">
      <c r="A492" t="str">
        <f>PROPER(TRIM(CLEAN(RAW_DATA!A492)))</f>
        <v>Emp1490</v>
      </c>
      <c r="B492" t="str">
        <f>RAW_DATA!B492</f>
        <v>Bob</v>
      </c>
      <c r="C492" t="str">
        <f>RAW_DATA!C492</f>
        <v>Garcia</v>
      </c>
      <c r="D492">
        <f>RAW_DATA!D492</f>
        <v>30</v>
      </c>
      <c r="E492" t="str">
        <f>RAW_DATA!E492</f>
        <v>Finance-New York</v>
      </c>
      <c r="F492" t="str">
        <f t="shared" si="21"/>
        <v>Finance</v>
      </c>
      <c r="G492" t="str">
        <f t="shared" si="22"/>
        <v>New York</v>
      </c>
      <c r="P492">
        <f t="shared" si="23"/>
        <v>83912.22</v>
      </c>
      <c r="Q492">
        <f>IF(PQ_Cleansing!L492="Excellent", P492 * 0.1, IF(PQ_Cleansing!L492="Good", P492 * 0.05, IF(PQ_Cleansing!L492="Average", P492 * 0.02, IF(PQ_Cleansing!L492="Poor", 0, 0))))</f>
        <v>1678.2444</v>
      </c>
      <c r="R492">
        <f>IFERROR(VALUE(SUBSTITUTE(SUBSTITUTE(PQ_Cleansing!I492, "$", ""), ",", "")), "")</f>
        <v>83912.22</v>
      </c>
    </row>
    <row r="493" spans="1:18" x14ac:dyDescent="0.25">
      <c r="A493" t="str">
        <f>PROPER(TRIM(CLEAN(RAW_DATA!A493)))</f>
        <v>Emp1491</v>
      </c>
      <c r="B493" t="str">
        <f>RAW_DATA!B493</f>
        <v>Frank</v>
      </c>
      <c r="C493" t="str">
        <f>RAW_DATA!C493</f>
        <v>Jones</v>
      </c>
      <c r="D493">
        <f>RAW_DATA!D493</f>
        <v>25</v>
      </c>
      <c r="E493" t="str">
        <f>RAW_DATA!E493</f>
        <v>Sales-New York</v>
      </c>
      <c r="F493" t="str">
        <f t="shared" si="21"/>
        <v>Sales</v>
      </c>
      <c r="G493" t="str">
        <f t="shared" si="22"/>
        <v>New York</v>
      </c>
      <c r="P493">
        <f t="shared" si="23"/>
        <v>99669.86</v>
      </c>
      <c r="Q493">
        <f>IF(PQ_Cleansing!L493="Excellent", P493 * 0.1, IF(PQ_Cleansing!L493="Good", P493 * 0.05, IF(PQ_Cleansing!L493="Average", P493 * 0.02, IF(PQ_Cleansing!L493="Poor", 0, 0))))</f>
        <v>1993.3972000000001</v>
      </c>
      <c r="R493">
        <f>IFERROR(VALUE(SUBSTITUTE(SUBSTITUTE(PQ_Cleansing!I493, "$", ""), ",", "")), "")</f>
        <v>99669.86</v>
      </c>
    </row>
    <row r="494" spans="1:18" x14ac:dyDescent="0.25">
      <c r="A494" t="str">
        <f>PROPER(TRIM(CLEAN(RAW_DATA!A494)))</f>
        <v>Emp1492</v>
      </c>
      <c r="B494" t="str">
        <f>RAW_DATA!B494</f>
        <v>Alice</v>
      </c>
      <c r="C494" t="str">
        <f>RAW_DATA!C494</f>
        <v>Smith</v>
      </c>
      <c r="D494">
        <f>RAW_DATA!D494</f>
        <v>30</v>
      </c>
      <c r="E494" t="str">
        <f>RAW_DATA!E494</f>
        <v>Admin-New York</v>
      </c>
      <c r="F494" t="str">
        <f t="shared" si="21"/>
        <v>Admin</v>
      </c>
      <c r="G494" t="str">
        <f t="shared" si="22"/>
        <v>New York</v>
      </c>
      <c r="P494">
        <f t="shared" si="23"/>
        <v>52314.97</v>
      </c>
      <c r="Q494">
        <f>IF(PQ_Cleansing!L494="Excellent", P494 * 0.1, IF(PQ_Cleansing!L494="Good", P494 * 0.05, IF(PQ_Cleansing!L494="Average", P494 * 0.02, IF(PQ_Cleansing!L494="Poor", 0, 0))))</f>
        <v>5231.4970000000003</v>
      </c>
      <c r="R494">
        <f>IFERROR(VALUE(SUBSTITUTE(SUBSTITUTE(PQ_Cleansing!I494, "$", ""), ",", "")), "")</f>
        <v>52314.97</v>
      </c>
    </row>
    <row r="495" spans="1:18" x14ac:dyDescent="0.25">
      <c r="A495" t="str">
        <f>PROPER(TRIM(CLEAN(RAW_DATA!A495)))</f>
        <v>Emp1493</v>
      </c>
      <c r="B495" t="str">
        <f>RAW_DATA!B495</f>
        <v>Frank</v>
      </c>
      <c r="C495" t="str">
        <f>RAW_DATA!C495</f>
        <v>Miller</v>
      </c>
      <c r="D495">
        <f>RAW_DATA!D495</f>
        <v>30</v>
      </c>
      <c r="E495" t="str">
        <f>RAW_DATA!E495</f>
        <v>HR-California</v>
      </c>
      <c r="F495" t="str">
        <f t="shared" si="21"/>
        <v>HR</v>
      </c>
      <c r="G495" t="str">
        <f t="shared" si="22"/>
        <v>California</v>
      </c>
      <c r="P495">
        <f t="shared" si="23"/>
        <v>77785.960000000006</v>
      </c>
      <c r="Q495">
        <f>IF(PQ_Cleansing!L495="Excellent", P495 * 0.1, IF(PQ_Cleansing!L495="Good", P495 * 0.05, IF(PQ_Cleansing!L495="Average", P495 * 0.02, IF(PQ_Cleansing!L495="Poor", 0, 0))))</f>
        <v>7778.5960000000014</v>
      </c>
      <c r="R495">
        <f>IFERROR(VALUE(SUBSTITUTE(SUBSTITUTE(PQ_Cleansing!I495, "$", ""), ",", "")), "")</f>
        <v>77785.960000000006</v>
      </c>
    </row>
    <row r="496" spans="1:18" x14ac:dyDescent="0.25">
      <c r="A496" t="str">
        <f>PROPER(TRIM(CLEAN(RAW_DATA!A496)))</f>
        <v>Emp1494</v>
      </c>
      <c r="B496" t="str">
        <f>RAW_DATA!B496</f>
        <v>Alice</v>
      </c>
      <c r="C496" t="str">
        <f>RAW_DATA!C496</f>
        <v>Jones</v>
      </c>
      <c r="D496">
        <f>RAW_DATA!D496</f>
        <v>30</v>
      </c>
      <c r="E496" t="str">
        <f>RAW_DATA!E496</f>
        <v>HR-Florida</v>
      </c>
      <c r="F496" t="str">
        <f t="shared" si="21"/>
        <v>HR</v>
      </c>
      <c r="G496" t="str">
        <f t="shared" si="22"/>
        <v>Florida</v>
      </c>
      <c r="P496">
        <f t="shared" si="23"/>
        <v>62430.86</v>
      </c>
      <c r="Q496">
        <f>IF(PQ_Cleansing!L496="Excellent", P496 * 0.1, IF(PQ_Cleansing!L496="Good", P496 * 0.05, IF(PQ_Cleansing!L496="Average", P496 * 0.02, IF(PQ_Cleansing!L496="Poor", 0, 0))))</f>
        <v>0</v>
      </c>
      <c r="R496">
        <f>IFERROR(VALUE(SUBSTITUTE(SUBSTITUTE(PQ_Cleansing!I496, "$", ""), ",", "")), "")</f>
        <v>62430.86</v>
      </c>
    </row>
    <row r="497" spans="1:18" x14ac:dyDescent="0.25">
      <c r="A497" t="str">
        <f>PROPER(TRIM(CLEAN(RAW_DATA!A497)))</f>
        <v>Emp1495</v>
      </c>
      <c r="B497" t="str">
        <f>RAW_DATA!B497</f>
        <v>Frank</v>
      </c>
      <c r="C497" t="str">
        <f>RAW_DATA!C497</f>
        <v>Davis</v>
      </c>
      <c r="D497">
        <f>RAW_DATA!D497</f>
        <v>35</v>
      </c>
      <c r="E497" t="str">
        <f>RAW_DATA!E497</f>
        <v>Admin-California</v>
      </c>
      <c r="F497" t="str">
        <f t="shared" si="21"/>
        <v>Admin</v>
      </c>
      <c r="G497" t="str">
        <f t="shared" si="22"/>
        <v>California</v>
      </c>
      <c r="P497">
        <f t="shared" si="23"/>
        <v>98219.54</v>
      </c>
      <c r="Q497">
        <f>IF(PQ_Cleansing!L497="Excellent", P497 * 0.1, IF(PQ_Cleansing!L497="Good", P497 * 0.05, IF(PQ_Cleansing!L497="Average", P497 * 0.02, IF(PQ_Cleansing!L497="Poor", 0, 0))))</f>
        <v>4910.9769999999999</v>
      </c>
      <c r="R497">
        <f>IFERROR(VALUE(SUBSTITUTE(SUBSTITUTE(PQ_Cleansing!I497, "$", ""), ",", "")), "")</f>
        <v>98219.54</v>
      </c>
    </row>
    <row r="498" spans="1:18" x14ac:dyDescent="0.25">
      <c r="A498" t="str">
        <f>PROPER(TRIM(CLEAN(RAW_DATA!A498)))</f>
        <v>Emp1496</v>
      </c>
      <c r="B498" t="str">
        <f>RAW_DATA!B498</f>
        <v>Grace</v>
      </c>
      <c r="C498" t="str">
        <f>RAW_DATA!C498</f>
        <v>Williams</v>
      </c>
      <c r="D498">
        <f>RAW_DATA!D498</f>
        <v>25</v>
      </c>
      <c r="E498" t="str">
        <f>RAW_DATA!E498</f>
        <v>Admin-Illinois</v>
      </c>
      <c r="F498" t="str">
        <f t="shared" si="21"/>
        <v>Admin</v>
      </c>
      <c r="G498" t="str">
        <f t="shared" si="22"/>
        <v>Illinois</v>
      </c>
      <c r="P498">
        <f t="shared" si="23"/>
        <v>65494.58</v>
      </c>
      <c r="Q498">
        <f>IF(PQ_Cleansing!L498="Excellent", P498 * 0.1, IF(PQ_Cleansing!L498="Good", P498 * 0.05, IF(PQ_Cleansing!L498="Average", P498 * 0.02, IF(PQ_Cleansing!L498="Poor", 0, 0))))</f>
        <v>1309.8916000000002</v>
      </c>
      <c r="R498">
        <f>IFERROR(VALUE(SUBSTITUTE(SUBSTITUTE(PQ_Cleansing!I498, "$", ""), ",", "")), "")</f>
        <v>65494.58</v>
      </c>
    </row>
    <row r="499" spans="1:18" x14ac:dyDescent="0.25">
      <c r="A499" t="str">
        <f>PROPER(TRIM(CLEAN(RAW_DATA!A499)))</f>
        <v>Emp1497</v>
      </c>
      <c r="B499" t="str">
        <f>RAW_DATA!B499</f>
        <v>David</v>
      </c>
      <c r="C499" t="str">
        <f>RAW_DATA!C499</f>
        <v>Brown</v>
      </c>
      <c r="D499">
        <f>RAW_DATA!D499</f>
        <v>35</v>
      </c>
      <c r="E499" t="str">
        <f>RAW_DATA!E499</f>
        <v>DevOps-Florida</v>
      </c>
      <c r="F499" t="str">
        <f t="shared" si="21"/>
        <v>DevOps</v>
      </c>
      <c r="G499" t="str">
        <f t="shared" si="22"/>
        <v>Florida</v>
      </c>
      <c r="P499">
        <f t="shared" si="23"/>
        <v>110524.1</v>
      </c>
      <c r="Q499">
        <f>IF(PQ_Cleansing!L499="Excellent", P499 * 0.1, IF(PQ_Cleansing!L499="Good", P499 * 0.05, IF(PQ_Cleansing!L499="Average", P499 * 0.02, IF(PQ_Cleansing!L499="Poor", 0, 0))))</f>
        <v>2210.482</v>
      </c>
      <c r="R499">
        <f>IFERROR(VALUE(SUBSTITUTE(SUBSTITUTE(PQ_Cleansing!I499, "$", ""), ",", "")), "")</f>
        <v>110524.1</v>
      </c>
    </row>
    <row r="500" spans="1:18" x14ac:dyDescent="0.25">
      <c r="A500" t="str">
        <f>PROPER(TRIM(CLEAN(RAW_DATA!A500)))</f>
        <v>Emp1498</v>
      </c>
      <c r="B500" t="str">
        <f>RAW_DATA!B500</f>
        <v>Alice</v>
      </c>
      <c r="C500" t="str">
        <f>RAW_DATA!C500</f>
        <v>Smith</v>
      </c>
      <c r="D500">
        <f>RAW_DATA!D500</f>
        <v>40</v>
      </c>
      <c r="E500" t="str">
        <f>RAW_DATA!E500</f>
        <v>Admin-Nevada</v>
      </c>
      <c r="F500" t="str">
        <f t="shared" si="21"/>
        <v>Admin</v>
      </c>
      <c r="G500" t="str">
        <f t="shared" si="22"/>
        <v>Nevada</v>
      </c>
      <c r="P500">
        <f t="shared" si="23"/>
        <v>106060.54</v>
      </c>
      <c r="Q500">
        <f>IF(PQ_Cleansing!L500="Excellent", P500 * 0.1, IF(PQ_Cleansing!L500="Good", P500 * 0.05, IF(PQ_Cleansing!L500="Average", P500 * 0.02, IF(PQ_Cleansing!L500="Poor", 0, 0))))</f>
        <v>0</v>
      </c>
      <c r="R500">
        <f>IFERROR(VALUE(SUBSTITUTE(SUBSTITUTE(PQ_Cleansing!I500, "$", ""), ",", "")), "")</f>
        <v>106060.54</v>
      </c>
    </row>
    <row r="501" spans="1:18" x14ac:dyDescent="0.25">
      <c r="A501" t="str">
        <f>PROPER(TRIM(CLEAN(RAW_DATA!A501)))</f>
        <v>Emp1499</v>
      </c>
      <c r="B501" t="str">
        <f>RAW_DATA!B501</f>
        <v>Eva</v>
      </c>
      <c r="C501" t="str">
        <f>RAW_DATA!C501</f>
        <v>Brown</v>
      </c>
      <c r="D501">
        <f>RAW_DATA!D501</f>
        <v>35</v>
      </c>
      <c r="E501" t="str">
        <f>RAW_DATA!E501</f>
        <v>Finance-Florida</v>
      </c>
      <c r="F501" t="str">
        <f t="shared" si="21"/>
        <v>Finance</v>
      </c>
      <c r="G501" t="str">
        <f t="shared" si="22"/>
        <v>Florida</v>
      </c>
      <c r="P501">
        <f t="shared" si="23"/>
        <v>67639.91</v>
      </c>
      <c r="Q501">
        <f>IF(PQ_Cleansing!L501="Excellent", P501 * 0.1, IF(PQ_Cleansing!L501="Good", P501 * 0.05, IF(PQ_Cleansing!L501="Average", P501 * 0.02, IF(PQ_Cleansing!L501="Poor", 0, 0))))</f>
        <v>6763.9910000000009</v>
      </c>
      <c r="R501">
        <f>IFERROR(VALUE(SUBSTITUTE(SUBSTITUTE(PQ_Cleansing!I501, "$", ""), ",", "")), "")</f>
        <v>67639.91</v>
      </c>
    </row>
    <row r="502" spans="1:18" x14ac:dyDescent="0.25">
      <c r="A502" t="str">
        <f>PROPER(TRIM(CLEAN(RAW_DATA!A502)))</f>
        <v>Emp1500</v>
      </c>
      <c r="B502" t="str">
        <f>RAW_DATA!B502</f>
        <v>Grace</v>
      </c>
      <c r="C502" t="str">
        <f>RAW_DATA!C502</f>
        <v>Davis</v>
      </c>
      <c r="D502">
        <f>RAW_DATA!D502</f>
        <v>0</v>
      </c>
      <c r="E502" t="str">
        <f>RAW_DATA!E502</f>
        <v>Cloud Tech-Texas</v>
      </c>
      <c r="F502" t="str">
        <f t="shared" si="21"/>
        <v>Cloud Tech</v>
      </c>
      <c r="G502" t="str">
        <f t="shared" si="22"/>
        <v>Texas</v>
      </c>
      <c r="P502">
        <f t="shared" si="23"/>
        <v>117653.98</v>
      </c>
      <c r="Q502">
        <f>IF(PQ_Cleansing!L502="Excellent", P502 * 0.1, IF(PQ_Cleansing!L502="Good", P502 * 0.05, IF(PQ_Cleansing!L502="Average", P502 * 0.02, IF(PQ_Cleansing!L502="Poor", 0, 0))))</f>
        <v>5882.6990000000005</v>
      </c>
      <c r="R502">
        <f>IFERROR(VALUE(SUBSTITUTE(SUBSTITUTE(PQ_Cleansing!I502, "$", ""), ",", "")), "")</f>
        <v>117653.98</v>
      </c>
    </row>
    <row r="503" spans="1:18" x14ac:dyDescent="0.25">
      <c r="A503" t="str">
        <f>PROPER(TRIM(CLEAN(RAW_DATA!A503)))</f>
        <v>Emp1501</v>
      </c>
      <c r="B503" t="str">
        <f>RAW_DATA!B503</f>
        <v>Eva</v>
      </c>
      <c r="C503" t="str">
        <f>RAW_DATA!C503</f>
        <v>Jones</v>
      </c>
      <c r="D503">
        <f>RAW_DATA!D503</f>
        <v>35</v>
      </c>
      <c r="E503" t="str">
        <f>RAW_DATA!E503</f>
        <v>DevOps-Texas</v>
      </c>
      <c r="F503" t="str">
        <f t="shared" si="21"/>
        <v>DevOps</v>
      </c>
      <c r="G503" t="str">
        <f t="shared" si="22"/>
        <v>Texas</v>
      </c>
      <c r="P503">
        <f t="shared" si="23"/>
        <v>73539.86</v>
      </c>
      <c r="Q503">
        <f>IF(PQ_Cleansing!L503="Excellent", P503 * 0.1, IF(PQ_Cleansing!L503="Good", P503 * 0.05, IF(PQ_Cleansing!L503="Average", P503 * 0.02, IF(PQ_Cleansing!L503="Poor", 0, 0))))</f>
        <v>7353.9860000000008</v>
      </c>
      <c r="R503">
        <f>IFERROR(VALUE(SUBSTITUTE(SUBSTITUTE(PQ_Cleansing!I503, "$", ""), ",", "")), "")</f>
        <v>73539.86</v>
      </c>
    </row>
    <row r="504" spans="1:18" x14ac:dyDescent="0.25">
      <c r="A504" t="str">
        <f>PROPER(TRIM(CLEAN(RAW_DATA!A504)))</f>
        <v>Emp1502</v>
      </c>
      <c r="B504" t="str">
        <f>RAW_DATA!B504</f>
        <v>Frank</v>
      </c>
      <c r="C504" t="str">
        <f>RAW_DATA!C504</f>
        <v>Jones</v>
      </c>
      <c r="D504">
        <f>RAW_DATA!D504</f>
        <v>35</v>
      </c>
      <c r="E504" t="str">
        <f>RAW_DATA!E504</f>
        <v>HR-Nevada</v>
      </c>
      <c r="F504" t="str">
        <f t="shared" si="21"/>
        <v>HR</v>
      </c>
      <c r="G504" t="str">
        <f t="shared" si="22"/>
        <v>Nevada</v>
      </c>
      <c r="P504">
        <f t="shared" si="23"/>
        <v>70915.38</v>
      </c>
      <c r="Q504">
        <f>IF(PQ_Cleansing!L504="Excellent", P504 * 0.1, IF(PQ_Cleansing!L504="Good", P504 * 0.05, IF(PQ_Cleansing!L504="Average", P504 * 0.02, IF(PQ_Cleansing!L504="Poor", 0, 0))))</f>
        <v>7091.5380000000005</v>
      </c>
      <c r="R504">
        <f>IFERROR(VALUE(SUBSTITUTE(SUBSTITUTE(PQ_Cleansing!I504, "$", ""), ",", "")), "")</f>
        <v>70915.38</v>
      </c>
    </row>
    <row r="505" spans="1:18" x14ac:dyDescent="0.25">
      <c r="A505" t="str">
        <f>PROPER(TRIM(CLEAN(RAW_DATA!A505)))</f>
        <v>Emp1503</v>
      </c>
      <c r="B505" t="str">
        <f>RAW_DATA!B505</f>
        <v>David</v>
      </c>
      <c r="C505" t="str">
        <f>RAW_DATA!C505</f>
        <v>Garcia</v>
      </c>
      <c r="D505">
        <f>RAW_DATA!D505</f>
        <v>25</v>
      </c>
      <c r="E505" t="str">
        <f>RAW_DATA!E505</f>
        <v>Sales-Florida</v>
      </c>
      <c r="F505" t="str">
        <f t="shared" si="21"/>
        <v>Sales</v>
      </c>
      <c r="G505" t="str">
        <f t="shared" si="22"/>
        <v>Florida</v>
      </c>
      <c r="P505">
        <f t="shared" si="23"/>
        <v>97652.9</v>
      </c>
      <c r="Q505">
        <f>IF(PQ_Cleansing!L505="Excellent", P505 * 0.1, IF(PQ_Cleansing!L505="Good", P505 * 0.05, IF(PQ_Cleansing!L505="Average", P505 * 0.02, IF(PQ_Cleansing!L505="Poor", 0, 0))))</f>
        <v>9765.2899999999991</v>
      </c>
      <c r="R505">
        <f>IFERROR(VALUE(SUBSTITUTE(SUBSTITUTE(PQ_Cleansing!I505, "$", ""), ",", "")), "")</f>
        <v>97652.9</v>
      </c>
    </row>
    <row r="506" spans="1:18" x14ac:dyDescent="0.25">
      <c r="A506" t="str">
        <f>PROPER(TRIM(CLEAN(RAW_DATA!A506)))</f>
        <v>Emp1504</v>
      </c>
      <c r="B506" t="str">
        <f>RAW_DATA!B506</f>
        <v>Heidi</v>
      </c>
      <c r="C506" t="str">
        <f>RAW_DATA!C506</f>
        <v>Davis</v>
      </c>
      <c r="D506">
        <f>RAW_DATA!D506</f>
        <v>35</v>
      </c>
      <c r="E506" t="str">
        <f>RAW_DATA!E506</f>
        <v>HR-Florida</v>
      </c>
      <c r="F506" t="str">
        <f t="shared" si="21"/>
        <v>HR</v>
      </c>
      <c r="G506" t="str">
        <f t="shared" si="22"/>
        <v>Florida</v>
      </c>
      <c r="P506">
        <f t="shared" si="23"/>
        <v>101571.25</v>
      </c>
      <c r="Q506">
        <f>IF(PQ_Cleansing!L506="Excellent", P506 * 0.1, IF(PQ_Cleansing!L506="Good", P506 * 0.05, IF(PQ_Cleansing!L506="Average", P506 * 0.02, IF(PQ_Cleansing!L506="Poor", 0, 0))))</f>
        <v>10157.125</v>
      </c>
      <c r="R506">
        <f>IFERROR(VALUE(SUBSTITUTE(SUBSTITUTE(PQ_Cleansing!I506, "$", ""), ",", "")), "")</f>
        <v>101571.25</v>
      </c>
    </row>
    <row r="507" spans="1:18" x14ac:dyDescent="0.25">
      <c r="A507" t="str">
        <f>PROPER(TRIM(CLEAN(RAW_DATA!A507)))</f>
        <v>Emp1505</v>
      </c>
      <c r="B507" t="str">
        <f>RAW_DATA!B507</f>
        <v>David</v>
      </c>
      <c r="C507" t="str">
        <f>RAW_DATA!C507</f>
        <v>Smith</v>
      </c>
      <c r="D507">
        <f>RAW_DATA!D507</f>
        <v>35</v>
      </c>
      <c r="E507" t="str">
        <f>RAW_DATA!E507</f>
        <v>DevOps-Nevada</v>
      </c>
      <c r="F507" t="str">
        <f t="shared" si="21"/>
        <v>DevOps</v>
      </c>
      <c r="G507" t="str">
        <f t="shared" si="22"/>
        <v>Nevada</v>
      </c>
      <c r="P507">
        <f t="shared" si="23"/>
        <v>87424.46</v>
      </c>
      <c r="Q507">
        <f>IF(PQ_Cleansing!L507="Excellent", P507 * 0.1, IF(PQ_Cleansing!L507="Good", P507 * 0.05, IF(PQ_Cleansing!L507="Average", P507 * 0.02, IF(PQ_Cleansing!L507="Poor", 0, 0))))</f>
        <v>1748.4892000000002</v>
      </c>
      <c r="R507">
        <f>IFERROR(VALUE(SUBSTITUTE(SUBSTITUTE(PQ_Cleansing!I507, "$", ""), ",", "")), "")</f>
        <v>87424.46</v>
      </c>
    </row>
    <row r="508" spans="1:18" x14ac:dyDescent="0.25">
      <c r="A508" t="str">
        <f>PROPER(TRIM(CLEAN(RAW_DATA!A508)))</f>
        <v>Emp1506</v>
      </c>
      <c r="B508" t="str">
        <f>RAW_DATA!B508</f>
        <v>Frank</v>
      </c>
      <c r="C508" t="str">
        <f>RAW_DATA!C508</f>
        <v>Garcia</v>
      </c>
      <c r="D508">
        <f>RAW_DATA!D508</f>
        <v>0</v>
      </c>
      <c r="E508" t="str">
        <f>RAW_DATA!E508</f>
        <v>HR-New York</v>
      </c>
      <c r="F508" t="str">
        <f t="shared" si="21"/>
        <v>HR</v>
      </c>
      <c r="G508" t="str">
        <f t="shared" si="22"/>
        <v>New York</v>
      </c>
      <c r="P508">
        <f t="shared" si="23"/>
        <v>89077.36</v>
      </c>
      <c r="Q508">
        <f>IF(PQ_Cleansing!L508="Excellent", P508 * 0.1, IF(PQ_Cleansing!L508="Good", P508 * 0.05, IF(PQ_Cleansing!L508="Average", P508 * 0.02, IF(PQ_Cleansing!L508="Poor", 0, 0))))</f>
        <v>1781.5472</v>
      </c>
      <c r="R508">
        <f>IFERROR(VALUE(SUBSTITUTE(SUBSTITUTE(PQ_Cleansing!I508, "$", ""), ",", "")), "")</f>
        <v>89077.36</v>
      </c>
    </row>
    <row r="509" spans="1:18" x14ac:dyDescent="0.25">
      <c r="A509" t="str">
        <f>PROPER(TRIM(CLEAN(RAW_DATA!A509)))</f>
        <v>Emp1507</v>
      </c>
      <c r="B509" t="str">
        <f>RAW_DATA!B509</f>
        <v>Heidi</v>
      </c>
      <c r="C509" t="str">
        <f>RAW_DATA!C509</f>
        <v>Williams</v>
      </c>
      <c r="D509">
        <f>RAW_DATA!D509</f>
        <v>30</v>
      </c>
      <c r="E509" t="str">
        <f>RAW_DATA!E509</f>
        <v>DevOps-California</v>
      </c>
      <c r="F509" t="str">
        <f t="shared" si="21"/>
        <v>DevOps</v>
      </c>
      <c r="G509" t="str">
        <f t="shared" si="22"/>
        <v>California</v>
      </c>
      <c r="P509">
        <f t="shared" si="23"/>
        <v>89132.22</v>
      </c>
      <c r="Q509">
        <f>IF(PQ_Cleansing!L509="Excellent", P509 * 0.1, IF(PQ_Cleansing!L509="Good", P509 * 0.05, IF(PQ_Cleansing!L509="Average", P509 * 0.02, IF(PQ_Cleansing!L509="Poor", 0, 0))))</f>
        <v>8913.2219999999998</v>
      </c>
      <c r="R509">
        <f>IFERROR(VALUE(SUBSTITUTE(SUBSTITUTE(PQ_Cleansing!I509, "$", ""), ",", "")), "")</f>
        <v>89132.22</v>
      </c>
    </row>
    <row r="510" spans="1:18" x14ac:dyDescent="0.25">
      <c r="A510" t="str">
        <f>PROPER(TRIM(CLEAN(RAW_DATA!A510)))</f>
        <v>Emp1508</v>
      </c>
      <c r="B510" t="str">
        <f>RAW_DATA!B510</f>
        <v>Frank</v>
      </c>
      <c r="C510" t="str">
        <f>RAW_DATA!C510</f>
        <v>Garcia</v>
      </c>
      <c r="D510">
        <f>RAW_DATA!D510</f>
        <v>25</v>
      </c>
      <c r="E510" t="str">
        <f>RAW_DATA!E510</f>
        <v>Admin-California</v>
      </c>
      <c r="F510" t="str">
        <f t="shared" si="21"/>
        <v>Admin</v>
      </c>
      <c r="G510" t="str">
        <f t="shared" si="22"/>
        <v>California</v>
      </c>
      <c r="P510">
        <f t="shared" si="23"/>
        <v>111000.26</v>
      </c>
      <c r="Q510">
        <f>IF(PQ_Cleansing!L510="Excellent", P510 * 0.1, IF(PQ_Cleansing!L510="Good", P510 * 0.05, IF(PQ_Cleansing!L510="Average", P510 * 0.02, IF(PQ_Cleansing!L510="Poor", 0, 0))))</f>
        <v>5550.0129999999999</v>
      </c>
      <c r="R510">
        <f>IFERROR(VALUE(SUBSTITUTE(SUBSTITUTE(PQ_Cleansing!I510, "$", ""), ",", "")), "")</f>
        <v>111000.26</v>
      </c>
    </row>
    <row r="511" spans="1:18" x14ac:dyDescent="0.25">
      <c r="A511" t="str">
        <f>PROPER(TRIM(CLEAN(RAW_DATA!A511)))</f>
        <v>Emp1509</v>
      </c>
      <c r="B511" t="str">
        <f>RAW_DATA!B511</f>
        <v>Frank</v>
      </c>
      <c r="C511" t="str">
        <f>RAW_DATA!C511</f>
        <v>Johnson</v>
      </c>
      <c r="D511">
        <f>RAW_DATA!D511</f>
        <v>35</v>
      </c>
      <c r="E511" t="str">
        <f>RAW_DATA!E511</f>
        <v>HR-Illinois</v>
      </c>
      <c r="F511" t="str">
        <f t="shared" si="21"/>
        <v>HR</v>
      </c>
      <c r="G511" t="str">
        <f t="shared" si="22"/>
        <v>Illinois</v>
      </c>
      <c r="P511">
        <f t="shared" si="23"/>
        <v>109584.97</v>
      </c>
      <c r="Q511">
        <f>IF(PQ_Cleansing!L511="Excellent", P511 * 0.1, IF(PQ_Cleansing!L511="Good", P511 * 0.05, IF(PQ_Cleansing!L511="Average", P511 * 0.02, IF(PQ_Cleansing!L511="Poor", 0, 0))))</f>
        <v>0</v>
      </c>
      <c r="R511">
        <f>IFERROR(VALUE(SUBSTITUTE(SUBSTITUTE(PQ_Cleansing!I511, "$", ""), ",", "")), "")</f>
        <v>109584.97</v>
      </c>
    </row>
    <row r="512" spans="1:18" x14ac:dyDescent="0.25">
      <c r="A512" t="str">
        <f>PROPER(TRIM(CLEAN(RAW_DATA!A512)))</f>
        <v>Emp1510</v>
      </c>
      <c r="B512" t="str">
        <f>RAW_DATA!B512</f>
        <v>Bob</v>
      </c>
      <c r="C512" t="str">
        <f>RAW_DATA!C512</f>
        <v>Smith</v>
      </c>
      <c r="D512">
        <f>RAW_DATA!D512</f>
        <v>40</v>
      </c>
      <c r="E512" t="str">
        <f>RAW_DATA!E512</f>
        <v>Admin-Illinois</v>
      </c>
      <c r="F512" t="str">
        <f t="shared" si="21"/>
        <v>Admin</v>
      </c>
      <c r="G512" t="str">
        <f t="shared" si="22"/>
        <v>Illinois</v>
      </c>
      <c r="P512">
        <f t="shared" si="23"/>
        <v>97648.84</v>
      </c>
      <c r="Q512">
        <f>IF(PQ_Cleansing!L512="Excellent", P512 * 0.1, IF(PQ_Cleansing!L512="Good", P512 * 0.05, IF(PQ_Cleansing!L512="Average", P512 * 0.02, IF(PQ_Cleansing!L512="Poor", 0, 0))))</f>
        <v>4882.442</v>
      </c>
      <c r="R512">
        <f>IFERROR(VALUE(SUBSTITUTE(SUBSTITUTE(PQ_Cleansing!I512, "$", ""), ",", "")), "")</f>
        <v>97648.84</v>
      </c>
    </row>
    <row r="513" spans="1:18" x14ac:dyDescent="0.25">
      <c r="A513" t="str">
        <f>PROPER(TRIM(CLEAN(RAW_DATA!A513)))</f>
        <v>Emp1511</v>
      </c>
      <c r="B513" t="str">
        <f>RAW_DATA!B513</f>
        <v>Grace</v>
      </c>
      <c r="C513" t="str">
        <f>RAW_DATA!C513</f>
        <v>Johnson</v>
      </c>
      <c r="D513">
        <f>RAW_DATA!D513</f>
        <v>25</v>
      </c>
      <c r="E513" t="str">
        <f>RAW_DATA!E513</f>
        <v>Admin-New York</v>
      </c>
      <c r="F513" t="str">
        <f t="shared" si="21"/>
        <v>Admin</v>
      </c>
      <c r="G513" t="str">
        <f t="shared" si="22"/>
        <v>New York</v>
      </c>
      <c r="P513">
        <f t="shared" si="23"/>
        <v>78643.429999999993</v>
      </c>
      <c r="Q513">
        <f>IF(PQ_Cleansing!L513="Excellent", P513 * 0.1, IF(PQ_Cleansing!L513="Good", P513 * 0.05, IF(PQ_Cleansing!L513="Average", P513 * 0.02, IF(PQ_Cleansing!L513="Poor", 0, 0))))</f>
        <v>3932.1714999999999</v>
      </c>
      <c r="R513">
        <f>IFERROR(VALUE(SUBSTITUTE(SUBSTITUTE(PQ_Cleansing!I513, "$", ""), ",", "")), "")</f>
        <v>78643.429999999993</v>
      </c>
    </row>
    <row r="514" spans="1:18" x14ac:dyDescent="0.25">
      <c r="A514" t="str">
        <f>PROPER(TRIM(CLEAN(RAW_DATA!A514)))</f>
        <v>Emp1512</v>
      </c>
      <c r="B514" t="str">
        <f>RAW_DATA!B514</f>
        <v>Heidi</v>
      </c>
      <c r="C514" t="str">
        <f>RAW_DATA!C514</f>
        <v>Davis</v>
      </c>
      <c r="D514">
        <f>RAW_DATA!D514</f>
        <v>30</v>
      </c>
      <c r="E514" t="str">
        <f>RAW_DATA!E514</f>
        <v>HR-Nevada</v>
      </c>
      <c r="F514" t="str">
        <f t="shared" si="21"/>
        <v>HR</v>
      </c>
      <c r="G514" t="str">
        <f t="shared" si="22"/>
        <v>Nevada</v>
      </c>
      <c r="P514">
        <f t="shared" si="23"/>
        <v>55656.800000000003</v>
      </c>
      <c r="Q514">
        <f>IF(PQ_Cleansing!L514="Excellent", P514 * 0.1, IF(PQ_Cleansing!L514="Good", P514 * 0.05, IF(PQ_Cleansing!L514="Average", P514 * 0.02, IF(PQ_Cleansing!L514="Poor", 0, 0))))</f>
        <v>2782.84</v>
      </c>
      <c r="R514">
        <f>IFERROR(VALUE(SUBSTITUTE(SUBSTITUTE(PQ_Cleansing!I514, "$", ""), ",", "")), "")</f>
        <v>55656.800000000003</v>
      </c>
    </row>
    <row r="515" spans="1:18" x14ac:dyDescent="0.25">
      <c r="A515" t="str">
        <f>PROPER(TRIM(CLEAN(RAW_DATA!A515)))</f>
        <v>Emp1513</v>
      </c>
      <c r="B515" t="str">
        <f>RAW_DATA!B515</f>
        <v>Charlie</v>
      </c>
      <c r="C515" t="str">
        <f>RAW_DATA!C515</f>
        <v>Miller</v>
      </c>
      <c r="D515">
        <f>RAW_DATA!D515</f>
        <v>35</v>
      </c>
      <c r="E515" t="str">
        <f>RAW_DATA!E515</f>
        <v>DevOps-Texas</v>
      </c>
      <c r="F515" t="str">
        <f t="shared" ref="F515:F578" si="24">LEFT(E515, FIND("-", E515) - 1)</f>
        <v>DevOps</v>
      </c>
      <c r="G515" t="str">
        <f t="shared" ref="G515:G578" si="25">RIGHT(E515, LEN(E515) - FIND("-",E515))</f>
        <v>Texas</v>
      </c>
      <c r="P515">
        <f t="shared" ref="P515:P578" si="26">IF(ISNUMBER(R515), R515, AVERAGEIF($R$2:$R$1000, "&gt;0"))</f>
        <v>69146.95</v>
      </c>
      <c r="Q515">
        <f>IF(PQ_Cleansing!L515="Excellent", P515 * 0.1, IF(PQ_Cleansing!L515="Good", P515 * 0.05, IF(PQ_Cleansing!L515="Average", P515 * 0.02, IF(PQ_Cleansing!L515="Poor", 0, 0))))</f>
        <v>6914.6949999999997</v>
      </c>
      <c r="R515">
        <f>IFERROR(VALUE(SUBSTITUTE(SUBSTITUTE(PQ_Cleansing!I515, "$", ""), ",", "")), "")</f>
        <v>69146.95</v>
      </c>
    </row>
    <row r="516" spans="1:18" x14ac:dyDescent="0.25">
      <c r="A516" t="str">
        <f>PROPER(TRIM(CLEAN(RAW_DATA!A516)))</f>
        <v>Emp1514</v>
      </c>
      <c r="B516" t="str">
        <f>RAW_DATA!B516</f>
        <v>Charlie</v>
      </c>
      <c r="C516" t="str">
        <f>RAW_DATA!C516</f>
        <v>Johnson</v>
      </c>
      <c r="D516">
        <f>RAW_DATA!D516</f>
        <v>0</v>
      </c>
      <c r="E516" t="str">
        <f>RAW_DATA!E516</f>
        <v>Admin-Florida</v>
      </c>
      <c r="F516" t="str">
        <f t="shared" si="24"/>
        <v>Admin</v>
      </c>
      <c r="G516" t="str">
        <f t="shared" si="25"/>
        <v>Florida</v>
      </c>
      <c r="P516">
        <f t="shared" si="26"/>
        <v>93013.58</v>
      </c>
      <c r="Q516">
        <f>IF(PQ_Cleansing!L516="Excellent", P516 * 0.1, IF(PQ_Cleansing!L516="Good", P516 * 0.05, IF(PQ_Cleansing!L516="Average", P516 * 0.02, IF(PQ_Cleansing!L516="Poor", 0, 0))))</f>
        <v>1860.2716</v>
      </c>
      <c r="R516">
        <f>IFERROR(VALUE(SUBSTITUTE(SUBSTITUTE(PQ_Cleansing!I516, "$", ""), ",", "")), "")</f>
        <v>93013.58</v>
      </c>
    </row>
    <row r="517" spans="1:18" x14ac:dyDescent="0.25">
      <c r="A517" t="str">
        <f>PROPER(TRIM(CLEAN(RAW_DATA!A517)))</f>
        <v>Emp1515</v>
      </c>
      <c r="B517" t="str">
        <f>RAW_DATA!B517</f>
        <v>Grace</v>
      </c>
      <c r="C517" t="str">
        <f>RAW_DATA!C517</f>
        <v>Williams</v>
      </c>
      <c r="D517">
        <f>RAW_DATA!D517</f>
        <v>40</v>
      </c>
      <c r="E517" t="str">
        <f>RAW_DATA!E517</f>
        <v>Finance-Florida</v>
      </c>
      <c r="F517" t="str">
        <f t="shared" si="24"/>
        <v>Finance</v>
      </c>
      <c r="G517" t="str">
        <f t="shared" si="25"/>
        <v>Florida</v>
      </c>
      <c r="P517">
        <f t="shared" si="26"/>
        <v>87364.78</v>
      </c>
      <c r="Q517">
        <f>IF(PQ_Cleansing!L517="Excellent", P517 * 0.1, IF(PQ_Cleansing!L517="Good", P517 * 0.05, IF(PQ_Cleansing!L517="Average", P517 * 0.02, IF(PQ_Cleansing!L517="Poor", 0, 0))))</f>
        <v>4368.2390000000005</v>
      </c>
      <c r="R517">
        <f>IFERROR(VALUE(SUBSTITUTE(SUBSTITUTE(PQ_Cleansing!I517, "$", ""), ",", "")), "")</f>
        <v>87364.78</v>
      </c>
    </row>
    <row r="518" spans="1:18" x14ac:dyDescent="0.25">
      <c r="A518" t="str">
        <f>PROPER(TRIM(CLEAN(RAW_DATA!A518)))</f>
        <v>Emp1516</v>
      </c>
      <c r="B518" t="str">
        <f>RAW_DATA!B518</f>
        <v>Alice</v>
      </c>
      <c r="C518" t="str">
        <f>RAW_DATA!C518</f>
        <v>Garcia</v>
      </c>
      <c r="D518">
        <f>RAW_DATA!D518</f>
        <v>35</v>
      </c>
      <c r="E518" t="str">
        <f>RAW_DATA!E518</f>
        <v>Sales-New York</v>
      </c>
      <c r="F518" t="str">
        <f t="shared" si="24"/>
        <v>Sales</v>
      </c>
      <c r="G518" t="str">
        <f t="shared" si="25"/>
        <v>New York</v>
      </c>
      <c r="P518">
        <f t="shared" si="26"/>
        <v>50288.67</v>
      </c>
      <c r="Q518">
        <f>IF(PQ_Cleansing!L518="Excellent", P518 * 0.1, IF(PQ_Cleansing!L518="Good", P518 * 0.05, IF(PQ_Cleansing!L518="Average", P518 * 0.02, IF(PQ_Cleansing!L518="Poor", 0, 0))))</f>
        <v>5028.8670000000002</v>
      </c>
      <c r="R518">
        <f>IFERROR(VALUE(SUBSTITUTE(SUBSTITUTE(PQ_Cleansing!I518, "$", ""), ",", "")), "")</f>
        <v>50288.67</v>
      </c>
    </row>
    <row r="519" spans="1:18" x14ac:dyDescent="0.25">
      <c r="A519" t="str">
        <f>PROPER(TRIM(CLEAN(RAW_DATA!A519)))</f>
        <v>Emp1517</v>
      </c>
      <c r="B519" t="str">
        <f>RAW_DATA!B519</f>
        <v>David</v>
      </c>
      <c r="C519" t="str">
        <f>RAW_DATA!C519</f>
        <v>Miller</v>
      </c>
      <c r="D519">
        <f>RAW_DATA!D519</f>
        <v>35</v>
      </c>
      <c r="E519" t="str">
        <f>RAW_DATA!E519</f>
        <v>HR-New York</v>
      </c>
      <c r="F519" t="str">
        <f t="shared" si="24"/>
        <v>HR</v>
      </c>
      <c r="G519" t="str">
        <f t="shared" si="25"/>
        <v>New York</v>
      </c>
      <c r="P519">
        <f t="shared" si="26"/>
        <v>85233.55</v>
      </c>
      <c r="Q519">
        <f>IF(PQ_Cleansing!L519="Excellent", P519 * 0.1, IF(PQ_Cleansing!L519="Good", P519 * 0.05, IF(PQ_Cleansing!L519="Average", P519 * 0.02, IF(PQ_Cleansing!L519="Poor", 0, 0))))</f>
        <v>4261.6775000000007</v>
      </c>
      <c r="R519">
        <f>IFERROR(VALUE(SUBSTITUTE(SUBSTITUTE(PQ_Cleansing!I519, "$", ""), ",", "")), "")</f>
        <v>85233.55</v>
      </c>
    </row>
    <row r="520" spans="1:18" x14ac:dyDescent="0.25">
      <c r="A520" t="str">
        <f>PROPER(TRIM(CLEAN(RAW_DATA!A520)))</f>
        <v>Emp1518</v>
      </c>
      <c r="B520" t="str">
        <f>RAW_DATA!B520</f>
        <v>Bob</v>
      </c>
      <c r="C520" t="str">
        <f>RAW_DATA!C520</f>
        <v>Garcia</v>
      </c>
      <c r="D520">
        <f>RAW_DATA!D520</f>
        <v>25</v>
      </c>
      <c r="E520" t="str">
        <f>RAW_DATA!E520</f>
        <v>HR-California</v>
      </c>
      <c r="F520" t="str">
        <f t="shared" si="24"/>
        <v>HR</v>
      </c>
      <c r="G520" t="str">
        <f t="shared" si="25"/>
        <v>California</v>
      </c>
      <c r="P520">
        <f t="shared" si="26"/>
        <v>86420.19</v>
      </c>
      <c r="Q520">
        <f>IF(PQ_Cleansing!L520="Excellent", P520 * 0.1, IF(PQ_Cleansing!L520="Good", P520 * 0.05, IF(PQ_Cleansing!L520="Average", P520 * 0.02, IF(PQ_Cleansing!L520="Poor", 0, 0))))</f>
        <v>4321.0095000000001</v>
      </c>
      <c r="R520">
        <f>IFERROR(VALUE(SUBSTITUTE(SUBSTITUTE(PQ_Cleansing!I520, "$", ""), ",", "")), "")</f>
        <v>86420.19</v>
      </c>
    </row>
    <row r="521" spans="1:18" x14ac:dyDescent="0.25">
      <c r="A521" t="str">
        <f>PROPER(TRIM(CLEAN(RAW_DATA!A521)))</f>
        <v>Emp1519</v>
      </c>
      <c r="B521" t="str">
        <f>RAW_DATA!B521</f>
        <v>Grace</v>
      </c>
      <c r="C521" t="str">
        <f>RAW_DATA!C521</f>
        <v>Johnson</v>
      </c>
      <c r="D521">
        <f>RAW_DATA!D521</f>
        <v>30</v>
      </c>
      <c r="E521" t="str">
        <f>RAW_DATA!E521</f>
        <v>HR-Florida</v>
      </c>
      <c r="F521" t="str">
        <f t="shared" si="24"/>
        <v>HR</v>
      </c>
      <c r="G521" t="str">
        <f t="shared" si="25"/>
        <v>Florida</v>
      </c>
      <c r="P521">
        <f t="shared" si="26"/>
        <v>63189.82</v>
      </c>
      <c r="Q521">
        <f>IF(PQ_Cleansing!L521="Excellent", P521 * 0.1, IF(PQ_Cleansing!L521="Good", P521 * 0.05, IF(PQ_Cleansing!L521="Average", P521 * 0.02, IF(PQ_Cleansing!L521="Poor", 0, 0))))</f>
        <v>6318.982</v>
      </c>
      <c r="R521">
        <f>IFERROR(VALUE(SUBSTITUTE(SUBSTITUTE(PQ_Cleansing!I521, "$", ""), ",", "")), "")</f>
        <v>63189.82</v>
      </c>
    </row>
    <row r="522" spans="1:18" x14ac:dyDescent="0.25">
      <c r="A522" t="str">
        <f>PROPER(TRIM(CLEAN(RAW_DATA!A522)))</f>
        <v>Emp1520</v>
      </c>
      <c r="B522" t="str">
        <f>RAW_DATA!B522</f>
        <v>Grace</v>
      </c>
      <c r="C522" t="str">
        <f>RAW_DATA!C522</f>
        <v>Garcia</v>
      </c>
      <c r="D522">
        <f>RAW_DATA!D522</f>
        <v>25</v>
      </c>
      <c r="E522" t="str">
        <f>RAW_DATA!E522</f>
        <v>Admin-New York</v>
      </c>
      <c r="F522" t="str">
        <f t="shared" si="24"/>
        <v>Admin</v>
      </c>
      <c r="G522" t="str">
        <f t="shared" si="25"/>
        <v>New York</v>
      </c>
      <c r="P522">
        <f t="shared" si="26"/>
        <v>64783.32</v>
      </c>
      <c r="Q522">
        <f>IF(PQ_Cleansing!L522="Excellent", P522 * 0.1, IF(PQ_Cleansing!L522="Good", P522 * 0.05, IF(PQ_Cleansing!L522="Average", P522 * 0.02, IF(PQ_Cleansing!L522="Poor", 0, 0))))</f>
        <v>1295.6664000000001</v>
      </c>
      <c r="R522">
        <f>IFERROR(VALUE(SUBSTITUTE(SUBSTITUTE(PQ_Cleansing!I522, "$", ""), ",", "")), "")</f>
        <v>64783.32</v>
      </c>
    </row>
    <row r="523" spans="1:18" x14ac:dyDescent="0.25">
      <c r="A523" t="str">
        <f>PROPER(TRIM(CLEAN(RAW_DATA!A523)))</f>
        <v>Emp1521</v>
      </c>
      <c r="B523" t="str">
        <f>RAW_DATA!B523</f>
        <v>Charlie</v>
      </c>
      <c r="C523" t="str">
        <f>RAW_DATA!C523</f>
        <v>Davis</v>
      </c>
      <c r="D523">
        <f>RAW_DATA!D523</f>
        <v>25</v>
      </c>
      <c r="E523" t="str">
        <f>RAW_DATA!E523</f>
        <v>HR-Nevada</v>
      </c>
      <c r="F523" t="str">
        <f t="shared" si="24"/>
        <v>HR</v>
      </c>
      <c r="G523" t="str">
        <f t="shared" si="25"/>
        <v>Nevada</v>
      </c>
      <c r="P523">
        <f t="shared" si="26"/>
        <v>52615.44</v>
      </c>
      <c r="Q523">
        <f>IF(PQ_Cleansing!L523="Excellent", P523 * 0.1, IF(PQ_Cleansing!L523="Good", P523 * 0.05, IF(PQ_Cleansing!L523="Average", P523 * 0.02, IF(PQ_Cleansing!L523="Poor", 0, 0))))</f>
        <v>1052.3088</v>
      </c>
      <c r="R523">
        <f>IFERROR(VALUE(SUBSTITUTE(SUBSTITUTE(PQ_Cleansing!I523, "$", ""), ",", "")), "")</f>
        <v>52615.44</v>
      </c>
    </row>
    <row r="524" spans="1:18" x14ac:dyDescent="0.25">
      <c r="A524" t="str">
        <f>PROPER(TRIM(CLEAN(RAW_DATA!A524)))</f>
        <v>Emp1522</v>
      </c>
      <c r="B524" t="str">
        <f>RAW_DATA!B524</f>
        <v>Eva</v>
      </c>
      <c r="C524" t="str">
        <f>RAW_DATA!C524</f>
        <v>Miller</v>
      </c>
      <c r="D524">
        <f>RAW_DATA!D524</f>
        <v>0</v>
      </c>
      <c r="E524" t="str">
        <f>RAW_DATA!E524</f>
        <v>Sales-Texas</v>
      </c>
      <c r="F524" t="str">
        <f t="shared" si="24"/>
        <v>Sales</v>
      </c>
      <c r="G524" t="str">
        <f t="shared" si="25"/>
        <v>Texas</v>
      </c>
      <c r="P524">
        <f t="shared" si="26"/>
        <v>96337.89</v>
      </c>
      <c r="Q524">
        <f>IF(PQ_Cleansing!L524="Excellent", P524 * 0.1, IF(PQ_Cleansing!L524="Good", P524 * 0.05, IF(PQ_Cleansing!L524="Average", P524 * 0.02, IF(PQ_Cleansing!L524="Poor", 0, 0))))</f>
        <v>0</v>
      </c>
      <c r="R524">
        <f>IFERROR(VALUE(SUBSTITUTE(SUBSTITUTE(PQ_Cleansing!I524, "$", ""), ",", "")), "")</f>
        <v>96337.89</v>
      </c>
    </row>
    <row r="525" spans="1:18" x14ac:dyDescent="0.25">
      <c r="A525" t="str">
        <f>PROPER(TRIM(CLEAN(RAW_DATA!A525)))</f>
        <v>Emp1523</v>
      </c>
      <c r="B525" t="str">
        <f>RAW_DATA!B525</f>
        <v>Alice</v>
      </c>
      <c r="C525" t="str">
        <f>RAW_DATA!C525</f>
        <v>Davis</v>
      </c>
      <c r="D525">
        <f>RAW_DATA!D525</f>
        <v>25</v>
      </c>
      <c r="E525" t="str">
        <f>RAW_DATA!E525</f>
        <v>DevOps-Texas</v>
      </c>
      <c r="F525" t="str">
        <f t="shared" si="24"/>
        <v>DevOps</v>
      </c>
      <c r="G525" t="str">
        <f t="shared" si="25"/>
        <v>Texas</v>
      </c>
      <c r="P525">
        <f t="shared" si="26"/>
        <v>76617.759999999995</v>
      </c>
      <c r="Q525">
        <f>IF(PQ_Cleansing!L525="Excellent", P525 * 0.1, IF(PQ_Cleansing!L525="Good", P525 * 0.05, IF(PQ_Cleansing!L525="Average", P525 * 0.02, IF(PQ_Cleansing!L525="Poor", 0, 0))))</f>
        <v>7661.7759999999998</v>
      </c>
      <c r="R525">
        <f>IFERROR(VALUE(SUBSTITUTE(SUBSTITUTE(PQ_Cleansing!I525, "$", ""), ",", "")), "")</f>
        <v>76617.759999999995</v>
      </c>
    </row>
    <row r="526" spans="1:18" x14ac:dyDescent="0.25">
      <c r="A526" t="str">
        <f>PROPER(TRIM(CLEAN(RAW_DATA!A526)))</f>
        <v>Emp1524</v>
      </c>
      <c r="B526" t="str">
        <f>RAW_DATA!B526</f>
        <v>Heidi</v>
      </c>
      <c r="C526" t="str">
        <f>RAW_DATA!C526</f>
        <v>Johnson</v>
      </c>
      <c r="D526">
        <f>RAW_DATA!D526</f>
        <v>30</v>
      </c>
      <c r="E526" t="str">
        <f>RAW_DATA!E526</f>
        <v>Admin-Nevada</v>
      </c>
      <c r="F526" t="str">
        <f t="shared" si="24"/>
        <v>Admin</v>
      </c>
      <c r="G526" t="str">
        <f t="shared" si="25"/>
        <v>Nevada</v>
      </c>
      <c r="P526">
        <f t="shared" si="26"/>
        <v>50651.32</v>
      </c>
      <c r="Q526">
        <f>IF(PQ_Cleansing!L526="Excellent", P526 * 0.1, IF(PQ_Cleansing!L526="Good", P526 * 0.05, IF(PQ_Cleansing!L526="Average", P526 * 0.02, IF(PQ_Cleansing!L526="Poor", 0, 0))))</f>
        <v>0</v>
      </c>
      <c r="R526">
        <f>IFERROR(VALUE(SUBSTITUTE(SUBSTITUTE(PQ_Cleansing!I526, "$", ""), ",", "")), "")</f>
        <v>50651.32</v>
      </c>
    </row>
    <row r="527" spans="1:18" x14ac:dyDescent="0.25">
      <c r="A527" t="str">
        <f>PROPER(TRIM(CLEAN(RAW_DATA!A527)))</f>
        <v>Emp1525</v>
      </c>
      <c r="B527" t="str">
        <f>RAW_DATA!B527</f>
        <v>Bob</v>
      </c>
      <c r="C527" t="str">
        <f>RAW_DATA!C527</f>
        <v>Davis</v>
      </c>
      <c r="D527">
        <f>RAW_DATA!D527</f>
        <v>0</v>
      </c>
      <c r="E527" t="str">
        <f>RAW_DATA!E527</f>
        <v>HR-Illinois</v>
      </c>
      <c r="F527" t="str">
        <f t="shared" si="24"/>
        <v>HR</v>
      </c>
      <c r="G527" t="str">
        <f t="shared" si="25"/>
        <v>Illinois</v>
      </c>
      <c r="P527">
        <f t="shared" si="26"/>
        <v>59601.45</v>
      </c>
      <c r="Q527">
        <f>IF(PQ_Cleansing!L527="Excellent", P527 * 0.1, IF(PQ_Cleansing!L527="Good", P527 * 0.05, IF(PQ_Cleansing!L527="Average", P527 * 0.02, IF(PQ_Cleansing!L527="Poor", 0, 0))))</f>
        <v>0</v>
      </c>
      <c r="R527">
        <f>IFERROR(VALUE(SUBSTITUTE(SUBSTITUTE(PQ_Cleansing!I527, "$", ""), ",", "")), "")</f>
        <v>59601.45</v>
      </c>
    </row>
    <row r="528" spans="1:18" x14ac:dyDescent="0.25">
      <c r="A528" t="str">
        <f>PROPER(TRIM(CLEAN(RAW_DATA!A528)))</f>
        <v>Emp1526</v>
      </c>
      <c r="B528" t="str">
        <f>RAW_DATA!B528</f>
        <v>Bob</v>
      </c>
      <c r="C528" t="str">
        <f>RAW_DATA!C528</f>
        <v>Williams</v>
      </c>
      <c r="D528">
        <f>RAW_DATA!D528</f>
        <v>0</v>
      </c>
      <c r="E528" t="str">
        <f>RAW_DATA!E528</f>
        <v>DevOps-Illinois</v>
      </c>
      <c r="F528" t="str">
        <f t="shared" si="24"/>
        <v>DevOps</v>
      </c>
      <c r="G528" t="str">
        <f t="shared" si="25"/>
        <v>Illinois</v>
      </c>
      <c r="P528">
        <f t="shared" si="26"/>
        <v>57980.88</v>
      </c>
      <c r="Q528">
        <f>IF(PQ_Cleansing!L528="Excellent", P528 * 0.1, IF(PQ_Cleansing!L528="Good", P528 * 0.05, IF(PQ_Cleansing!L528="Average", P528 * 0.02, IF(PQ_Cleansing!L528="Poor", 0, 0))))</f>
        <v>0</v>
      </c>
      <c r="R528">
        <f>IFERROR(VALUE(SUBSTITUTE(SUBSTITUTE(PQ_Cleansing!I528, "$", ""), ",", "")), "")</f>
        <v>57980.88</v>
      </c>
    </row>
    <row r="529" spans="1:18" x14ac:dyDescent="0.25">
      <c r="A529" t="str">
        <f>PROPER(TRIM(CLEAN(RAW_DATA!A529)))</f>
        <v>Emp1527</v>
      </c>
      <c r="B529" t="str">
        <f>RAW_DATA!B529</f>
        <v>David</v>
      </c>
      <c r="C529" t="str">
        <f>RAW_DATA!C529</f>
        <v>Johnson</v>
      </c>
      <c r="D529">
        <f>RAW_DATA!D529</f>
        <v>0</v>
      </c>
      <c r="E529" t="str">
        <f>RAW_DATA!E529</f>
        <v>Admin-California</v>
      </c>
      <c r="F529" t="str">
        <f t="shared" si="24"/>
        <v>Admin</v>
      </c>
      <c r="G529" t="str">
        <f t="shared" si="25"/>
        <v>California</v>
      </c>
      <c r="P529">
        <f t="shared" si="26"/>
        <v>75054.53</v>
      </c>
      <c r="Q529">
        <f>IF(PQ_Cleansing!L529="Excellent", P529 * 0.1, IF(PQ_Cleansing!L529="Good", P529 * 0.05, IF(PQ_Cleansing!L529="Average", P529 * 0.02, IF(PQ_Cleansing!L529="Poor", 0, 0))))</f>
        <v>1501.0906</v>
      </c>
      <c r="R529">
        <f>IFERROR(VALUE(SUBSTITUTE(SUBSTITUTE(PQ_Cleansing!I529, "$", ""), ",", "")), "")</f>
        <v>75054.53</v>
      </c>
    </row>
    <row r="530" spans="1:18" x14ac:dyDescent="0.25">
      <c r="A530" t="str">
        <f>PROPER(TRIM(CLEAN(RAW_DATA!A530)))</f>
        <v>Emp1528</v>
      </c>
      <c r="B530" t="str">
        <f>RAW_DATA!B530</f>
        <v>Charlie</v>
      </c>
      <c r="C530" t="str">
        <f>RAW_DATA!C530</f>
        <v>Johnson</v>
      </c>
      <c r="D530">
        <f>RAW_DATA!D530</f>
        <v>25</v>
      </c>
      <c r="E530" t="str">
        <f>RAW_DATA!E530</f>
        <v>Sales-Florida</v>
      </c>
      <c r="F530" t="str">
        <f t="shared" si="24"/>
        <v>Sales</v>
      </c>
      <c r="G530" t="str">
        <f t="shared" si="25"/>
        <v>Florida</v>
      </c>
      <c r="P530">
        <f t="shared" si="26"/>
        <v>115318.7</v>
      </c>
      <c r="Q530">
        <f>IF(PQ_Cleansing!L530="Excellent", P530 * 0.1, IF(PQ_Cleansing!L530="Good", P530 * 0.05, IF(PQ_Cleansing!L530="Average", P530 * 0.02, IF(PQ_Cleansing!L530="Poor", 0, 0))))</f>
        <v>11531.87</v>
      </c>
      <c r="R530">
        <f>IFERROR(VALUE(SUBSTITUTE(SUBSTITUTE(PQ_Cleansing!I530, "$", ""), ",", "")), "")</f>
        <v>115318.7</v>
      </c>
    </row>
    <row r="531" spans="1:18" x14ac:dyDescent="0.25">
      <c r="A531" t="str">
        <f>PROPER(TRIM(CLEAN(RAW_DATA!A531)))</f>
        <v>Emp1529</v>
      </c>
      <c r="B531" t="str">
        <f>RAW_DATA!B531</f>
        <v>Alice</v>
      </c>
      <c r="C531" t="str">
        <f>RAW_DATA!C531</f>
        <v>Johnson</v>
      </c>
      <c r="D531">
        <f>RAW_DATA!D531</f>
        <v>25</v>
      </c>
      <c r="E531" t="str">
        <f>RAW_DATA!E531</f>
        <v>DevOps-Texas</v>
      </c>
      <c r="F531" t="str">
        <f t="shared" si="24"/>
        <v>DevOps</v>
      </c>
      <c r="G531" t="str">
        <f t="shared" si="25"/>
        <v>Texas</v>
      </c>
      <c r="P531">
        <f t="shared" si="26"/>
        <v>90190.69</v>
      </c>
      <c r="Q531">
        <f>IF(PQ_Cleansing!L531="Excellent", P531 * 0.1, IF(PQ_Cleansing!L531="Good", P531 * 0.05, IF(PQ_Cleansing!L531="Average", P531 * 0.02, IF(PQ_Cleansing!L531="Poor", 0, 0))))</f>
        <v>0</v>
      </c>
      <c r="R531">
        <f>IFERROR(VALUE(SUBSTITUTE(SUBSTITUTE(PQ_Cleansing!I531, "$", ""), ",", "")), "")</f>
        <v>90190.69</v>
      </c>
    </row>
    <row r="532" spans="1:18" x14ac:dyDescent="0.25">
      <c r="A532" t="str">
        <f>PROPER(TRIM(CLEAN(RAW_DATA!A532)))</f>
        <v>Emp1530</v>
      </c>
      <c r="B532" t="str">
        <f>RAW_DATA!B532</f>
        <v>Bob</v>
      </c>
      <c r="C532" t="str">
        <f>RAW_DATA!C532</f>
        <v>Smith</v>
      </c>
      <c r="D532">
        <f>RAW_DATA!D532</f>
        <v>0</v>
      </c>
      <c r="E532" t="str">
        <f>RAW_DATA!E532</f>
        <v>Cloud Tech-Nevada</v>
      </c>
      <c r="F532" t="str">
        <f t="shared" si="24"/>
        <v>Cloud Tech</v>
      </c>
      <c r="G532" t="str">
        <f t="shared" si="25"/>
        <v>Nevada</v>
      </c>
      <c r="P532">
        <f t="shared" si="26"/>
        <v>113334.56</v>
      </c>
      <c r="Q532">
        <f>IF(PQ_Cleansing!L532="Excellent", P532 * 0.1, IF(PQ_Cleansing!L532="Good", P532 * 0.05, IF(PQ_Cleansing!L532="Average", P532 * 0.02, IF(PQ_Cleansing!L532="Poor", 0, 0))))</f>
        <v>11333.456</v>
      </c>
      <c r="R532">
        <f>IFERROR(VALUE(SUBSTITUTE(SUBSTITUTE(PQ_Cleansing!I532, "$", ""), ",", "")), "")</f>
        <v>113334.56</v>
      </c>
    </row>
    <row r="533" spans="1:18" x14ac:dyDescent="0.25">
      <c r="A533" t="str">
        <f>PROPER(TRIM(CLEAN(RAW_DATA!A533)))</f>
        <v>Emp1531</v>
      </c>
      <c r="B533" t="str">
        <f>RAW_DATA!B533</f>
        <v>Heidi</v>
      </c>
      <c r="C533" t="str">
        <f>RAW_DATA!C533</f>
        <v>Garcia</v>
      </c>
      <c r="D533">
        <f>RAW_DATA!D533</f>
        <v>35</v>
      </c>
      <c r="E533" t="str">
        <f>RAW_DATA!E533</f>
        <v>HR-Florida</v>
      </c>
      <c r="F533" t="str">
        <f t="shared" si="24"/>
        <v>HR</v>
      </c>
      <c r="G533" t="str">
        <f t="shared" si="25"/>
        <v>Florida</v>
      </c>
      <c r="P533">
        <f t="shared" si="26"/>
        <v>106922.49</v>
      </c>
      <c r="Q533">
        <f>IF(PQ_Cleansing!L533="Excellent", P533 * 0.1, IF(PQ_Cleansing!L533="Good", P533 * 0.05, IF(PQ_Cleansing!L533="Average", P533 * 0.02, IF(PQ_Cleansing!L533="Poor", 0, 0))))</f>
        <v>10692.249000000002</v>
      </c>
      <c r="R533">
        <f>IFERROR(VALUE(SUBSTITUTE(SUBSTITUTE(PQ_Cleansing!I533, "$", ""), ",", "")), "")</f>
        <v>106922.49</v>
      </c>
    </row>
    <row r="534" spans="1:18" x14ac:dyDescent="0.25">
      <c r="A534" t="str">
        <f>PROPER(TRIM(CLEAN(RAW_DATA!A534)))</f>
        <v>Emp1532</v>
      </c>
      <c r="B534" t="str">
        <f>RAW_DATA!B534</f>
        <v>Eva</v>
      </c>
      <c r="C534" t="str">
        <f>RAW_DATA!C534</f>
        <v>Smith</v>
      </c>
      <c r="D534">
        <f>RAW_DATA!D534</f>
        <v>35</v>
      </c>
      <c r="E534" t="str">
        <f>RAW_DATA!E534</f>
        <v>DevOps-California</v>
      </c>
      <c r="F534" t="str">
        <f t="shared" si="24"/>
        <v>DevOps</v>
      </c>
      <c r="G534" t="str">
        <f t="shared" si="25"/>
        <v>California</v>
      </c>
      <c r="P534">
        <f t="shared" si="26"/>
        <v>58113.07</v>
      </c>
      <c r="Q534">
        <f>IF(PQ_Cleansing!L534="Excellent", P534 * 0.1, IF(PQ_Cleansing!L534="Good", P534 * 0.05, IF(PQ_Cleansing!L534="Average", P534 * 0.02, IF(PQ_Cleansing!L534="Poor", 0, 0))))</f>
        <v>1162.2614000000001</v>
      </c>
      <c r="R534">
        <f>IFERROR(VALUE(SUBSTITUTE(SUBSTITUTE(PQ_Cleansing!I534, "$", ""), ",", "")), "")</f>
        <v>58113.07</v>
      </c>
    </row>
    <row r="535" spans="1:18" x14ac:dyDescent="0.25">
      <c r="A535" t="str">
        <f>PROPER(TRIM(CLEAN(RAW_DATA!A535)))</f>
        <v>Emp1533</v>
      </c>
      <c r="B535" t="str">
        <f>RAW_DATA!B535</f>
        <v>Alice</v>
      </c>
      <c r="C535" t="str">
        <f>RAW_DATA!C535</f>
        <v>Smith</v>
      </c>
      <c r="D535">
        <f>RAW_DATA!D535</f>
        <v>25</v>
      </c>
      <c r="E535" t="str">
        <f>RAW_DATA!E535</f>
        <v>Admin-Nevada</v>
      </c>
      <c r="F535" t="str">
        <f t="shared" si="24"/>
        <v>Admin</v>
      </c>
      <c r="G535" t="str">
        <f t="shared" si="25"/>
        <v>Nevada</v>
      </c>
      <c r="P535">
        <f t="shared" si="26"/>
        <v>73006.259999999995</v>
      </c>
      <c r="Q535">
        <f>IF(PQ_Cleansing!L535="Excellent", P535 * 0.1, IF(PQ_Cleansing!L535="Good", P535 * 0.05, IF(PQ_Cleansing!L535="Average", P535 * 0.02, IF(PQ_Cleansing!L535="Poor", 0, 0))))</f>
        <v>0</v>
      </c>
      <c r="R535">
        <f>IFERROR(VALUE(SUBSTITUTE(SUBSTITUTE(PQ_Cleansing!I535, "$", ""), ",", "")), "")</f>
        <v>73006.259999999995</v>
      </c>
    </row>
    <row r="536" spans="1:18" x14ac:dyDescent="0.25">
      <c r="A536" t="str">
        <f>PROPER(TRIM(CLEAN(RAW_DATA!A536)))</f>
        <v>Emp1534</v>
      </c>
      <c r="B536" t="str">
        <f>RAW_DATA!B536</f>
        <v>Eva</v>
      </c>
      <c r="C536" t="str">
        <f>RAW_DATA!C536</f>
        <v>Williams</v>
      </c>
      <c r="D536">
        <f>RAW_DATA!D536</f>
        <v>25</v>
      </c>
      <c r="E536" t="str">
        <f>RAW_DATA!E536</f>
        <v>HR-California</v>
      </c>
      <c r="F536" t="str">
        <f t="shared" si="24"/>
        <v>HR</v>
      </c>
      <c r="G536" t="str">
        <f t="shared" si="25"/>
        <v>California</v>
      </c>
      <c r="P536">
        <f t="shared" si="26"/>
        <v>78054.429999999993</v>
      </c>
      <c r="Q536">
        <f>IF(PQ_Cleansing!L536="Excellent", P536 * 0.1, IF(PQ_Cleansing!L536="Good", P536 * 0.05, IF(PQ_Cleansing!L536="Average", P536 * 0.02, IF(PQ_Cleansing!L536="Poor", 0, 0))))</f>
        <v>0</v>
      </c>
      <c r="R536">
        <f>IFERROR(VALUE(SUBSTITUTE(SUBSTITUTE(PQ_Cleansing!I536, "$", ""), ",", "")), "")</f>
        <v>78054.429999999993</v>
      </c>
    </row>
    <row r="537" spans="1:18" x14ac:dyDescent="0.25">
      <c r="A537" t="str">
        <f>PROPER(TRIM(CLEAN(RAW_DATA!A537)))</f>
        <v>Emp1535</v>
      </c>
      <c r="B537" t="str">
        <f>RAW_DATA!B537</f>
        <v>Eva</v>
      </c>
      <c r="C537" t="str">
        <f>RAW_DATA!C537</f>
        <v>Miller</v>
      </c>
      <c r="D537">
        <f>RAW_DATA!D537</f>
        <v>40</v>
      </c>
      <c r="E537" t="str">
        <f>RAW_DATA!E537</f>
        <v>DevOps-Florida</v>
      </c>
      <c r="F537" t="str">
        <f t="shared" si="24"/>
        <v>DevOps</v>
      </c>
      <c r="G537" t="str">
        <f t="shared" si="25"/>
        <v>Florida</v>
      </c>
      <c r="P537">
        <f t="shared" si="26"/>
        <v>112028.67</v>
      </c>
      <c r="Q537">
        <f>IF(PQ_Cleansing!L537="Excellent", P537 * 0.1, IF(PQ_Cleansing!L537="Good", P537 * 0.05, IF(PQ_Cleansing!L537="Average", P537 * 0.02, IF(PQ_Cleansing!L537="Poor", 0, 0))))</f>
        <v>11202.867</v>
      </c>
      <c r="R537">
        <f>IFERROR(VALUE(SUBSTITUTE(SUBSTITUTE(PQ_Cleansing!I537, "$", ""), ",", "")), "")</f>
        <v>112028.67</v>
      </c>
    </row>
    <row r="538" spans="1:18" x14ac:dyDescent="0.25">
      <c r="A538" t="str">
        <f>PROPER(TRIM(CLEAN(RAW_DATA!A538)))</f>
        <v>Emp1536</v>
      </c>
      <c r="B538" t="str">
        <f>RAW_DATA!B538</f>
        <v>Charlie</v>
      </c>
      <c r="C538" t="str">
        <f>RAW_DATA!C538</f>
        <v>Garcia</v>
      </c>
      <c r="D538">
        <f>RAW_DATA!D538</f>
        <v>25</v>
      </c>
      <c r="E538" t="str">
        <f>RAW_DATA!E538</f>
        <v>Admin-Texas</v>
      </c>
      <c r="F538" t="str">
        <f t="shared" si="24"/>
        <v>Admin</v>
      </c>
      <c r="G538" t="str">
        <f t="shared" si="25"/>
        <v>Texas</v>
      </c>
      <c r="P538">
        <f t="shared" si="26"/>
        <v>83787.240000000005</v>
      </c>
      <c r="Q538">
        <f>IF(PQ_Cleansing!L538="Excellent", P538 * 0.1, IF(PQ_Cleansing!L538="Good", P538 * 0.05, IF(PQ_Cleansing!L538="Average", P538 * 0.02, IF(PQ_Cleansing!L538="Poor", 0, 0))))</f>
        <v>4189.3620000000001</v>
      </c>
      <c r="R538">
        <f>IFERROR(VALUE(SUBSTITUTE(SUBSTITUTE(PQ_Cleansing!I538, "$", ""), ",", "")), "")</f>
        <v>83787.240000000005</v>
      </c>
    </row>
    <row r="539" spans="1:18" x14ac:dyDescent="0.25">
      <c r="A539" t="str">
        <f>PROPER(TRIM(CLEAN(RAW_DATA!A539)))</f>
        <v>Emp1537</v>
      </c>
      <c r="B539" t="str">
        <f>RAW_DATA!B539</f>
        <v>Heidi</v>
      </c>
      <c r="C539" t="str">
        <f>RAW_DATA!C539</f>
        <v>Davis</v>
      </c>
      <c r="D539">
        <f>RAW_DATA!D539</f>
        <v>30</v>
      </c>
      <c r="E539" t="str">
        <f>RAW_DATA!E539</f>
        <v>Sales-Florida</v>
      </c>
      <c r="F539" t="str">
        <f t="shared" si="24"/>
        <v>Sales</v>
      </c>
      <c r="G539" t="str">
        <f t="shared" si="25"/>
        <v>Florida</v>
      </c>
      <c r="P539">
        <f t="shared" si="26"/>
        <v>52017.14</v>
      </c>
      <c r="Q539">
        <f>IF(PQ_Cleansing!L539="Excellent", P539 * 0.1, IF(PQ_Cleansing!L539="Good", P539 * 0.05, IF(PQ_Cleansing!L539="Average", P539 * 0.02, IF(PQ_Cleansing!L539="Poor", 0, 0))))</f>
        <v>1040.3427999999999</v>
      </c>
      <c r="R539">
        <f>IFERROR(VALUE(SUBSTITUTE(SUBSTITUTE(PQ_Cleansing!I539, "$", ""), ",", "")), "")</f>
        <v>52017.14</v>
      </c>
    </row>
    <row r="540" spans="1:18" x14ac:dyDescent="0.25">
      <c r="A540" t="str">
        <f>PROPER(TRIM(CLEAN(RAW_DATA!A540)))</f>
        <v>Emp1538</v>
      </c>
      <c r="B540" t="str">
        <f>RAW_DATA!B540</f>
        <v>Charlie</v>
      </c>
      <c r="C540" t="str">
        <f>RAW_DATA!C540</f>
        <v>Jones</v>
      </c>
      <c r="D540">
        <f>RAW_DATA!D540</f>
        <v>40</v>
      </c>
      <c r="E540" t="str">
        <f>RAW_DATA!E540</f>
        <v>Finance-Texas</v>
      </c>
      <c r="F540" t="str">
        <f t="shared" si="24"/>
        <v>Finance</v>
      </c>
      <c r="G540" t="str">
        <f t="shared" si="25"/>
        <v>Texas</v>
      </c>
      <c r="P540">
        <f t="shared" si="26"/>
        <v>53218.06</v>
      </c>
      <c r="Q540">
        <f>IF(PQ_Cleansing!L540="Excellent", P540 * 0.1, IF(PQ_Cleansing!L540="Good", P540 * 0.05, IF(PQ_Cleansing!L540="Average", P540 * 0.02, IF(PQ_Cleansing!L540="Poor", 0, 0))))</f>
        <v>1064.3612000000001</v>
      </c>
      <c r="R540">
        <f>IFERROR(VALUE(SUBSTITUTE(SUBSTITUTE(PQ_Cleansing!I540, "$", ""), ",", "")), "")</f>
        <v>53218.06</v>
      </c>
    </row>
    <row r="541" spans="1:18" x14ac:dyDescent="0.25">
      <c r="A541" t="str">
        <f>PROPER(TRIM(CLEAN(RAW_DATA!A541)))</f>
        <v>Emp1539</v>
      </c>
      <c r="B541" t="str">
        <f>RAW_DATA!B541</f>
        <v>Frank</v>
      </c>
      <c r="C541" t="str">
        <f>RAW_DATA!C541</f>
        <v>Johnson</v>
      </c>
      <c r="D541">
        <f>RAW_DATA!D541</f>
        <v>25</v>
      </c>
      <c r="E541" t="str">
        <f>RAW_DATA!E541</f>
        <v>DevOps-Nevada</v>
      </c>
      <c r="F541" t="str">
        <f t="shared" si="24"/>
        <v>DevOps</v>
      </c>
      <c r="G541" t="str">
        <f t="shared" si="25"/>
        <v>Nevada</v>
      </c>
      <c r="P541">
        <f t="shared" si="26"/>
        <v>102053.67</v>
      </c>
      <c r="Q541">
        <f>IF(PQ_Cleansing!L541="Excellent", P541 * 0.1, IF(PQ_Cleansing!L541="Good", P541 * 0.05, IF(PQ_Cleansing!L541="Average", P541 * 0.02, IF(PQ_Cleansing!L541="Poor", 0, 0))))</f>
        <v>2041.0734</v>
      </c>
      <c r="R541">
        <f>IFERROR(VALUE(SUBSTITUTE(SUBSTITUTE(PQ_Cleansing!I541, "$", ""), ",", "")), "")</f>
        <v>102053.67</v>
      </c>
    </row>
    <row r="542" spans="1:18" x14ac:dyDescent="0.25">
      <c r="A542" t="str">
        <f>PROPER(TRIM(CLEAN(RAW_DATA!A542)))</f>
        <v>Emp1540</v>
      </c>
      <c r="B542" t="str">
        <f>RAW_DATA!B542</f>
        <v>David</v>
      </c>
      <c r="C542" t="str">
        <f>RAW_DATA!C542</f>
        <v>Davis</v>
      </c>
      <c r="D542">
        <f>RAW_DATA!D542</f>
        <v>35</v>
      </c>
      <c r="E542" t="str">
        <f>RAW_DATA!E542</f>
        <v>Sales-Illinois</v>
      </c>
      <c r="F542" t="str">
        <f t="shared" si="24"/>
        <v>Sales</v>
      </c>
      <c r="G542" t="str">
        <f t="shared" si="25"/>
        <v>Illinois</v>
      </c>
      <c r="P542">
        <f t="shared" si="26"/>
        <v>93276.73</v>
      </c>
      <c r="Q542">
        <f>IF(PQ_Cleansing!L542="Excellent", P542 * 0.1, IF(PQ_Cleansing!L542="Good", P542 * 0.05, IF(PQ_Cleansing!L542="Average", P542 * 0.02, IF(PQ_Cleansing!L542="Poor", 0, 0))))</f>
        <v>1865.5346</v>
      </c>
      <c r="R542">
        <f>IFERROR(VALUE(SUBSTITUTE(SUBSTITUTE(PQ_Cleansing!I542, "$", ""), ",", "")), "")</f>
        <v>93276.73</v>
      </c>
    </row>
    <row r="543" spans="1:18" x14ac:dyDescent="0.25">
      <c r="A543" t="str">
        <f>PROPER(TRIM(CLEAN(RAW_DATA!A543)))</f>
        <v>Emp1541</v>
      </c>
      <c r="B543" t="str">
        <f>RAW_DATA!B543</f>
        <v>David</v>
      </c>
      <c r="C543" t="str">
        <f>RAW_DATA!C543</f>
        <v>Johnson</v>
      </c>
      <c r="D543">
        <f>RAW_DATA!D543</f>
        <v>40</v>
      </c>
      <c r="E543" t="str">
        <f>RAW_DATA!E543</f>
        <v>HR-Nevada</v>
      </c>
      <c r="F543" t="str">
        <f t="shared" si="24"/>
        <v>HR</v>
      </c>
      <c r="G543" t="str">
        <f t="shared" si="25"/>
        <v>Nevada</v>
      </c>
      <c r="P543">
        <f t="shared" si="26"/>
        <v>76941.36</v>
      </c>
      <c r="Q543">
        <f>IF(PQ_Cleansing!L543="Excellent", P543 * 0.1, IF(PQ_Cleansing!L543="Good", P543 * 0.05, IF(PQ_Cleansing!L543="Average", P543 * 0.02, IF(PQ_Cleansing!L543="Poor", 0, 0))))</f>
        <v>0</v>
      </c>
      <c r="R543">
        <f>IFERROR(VALUE(SUBSTITUTE(SUBSTITUTE(PQ_Cleansing!I543, "$", ""), ",", "")), "")</f>
        <v>76941.36</v>
      </c>
    </row>
    <row r="544" spans="1:18" x14ac:dyDescent="0.25">
      <c r="A544" t="str">
        <f>PROPER(TRIM(CLEAN(RAW_DATA!A544)))</f>
        <v>Emp1542</v>
      </c>
      <c r="B544" t="str">
        <f>RAW_DATA!B544</f>
        <v>Alice</v>
      </c>
      <c r="C544" t="str">
        <f>RAW_DATA!C544</f>
        <v>Williams</v>
      </c>
      <c r="D544">
        <f>RAW_DATA!D544</f>
        <v>25</v>
      </c>
      <c r="E544" t="str">
        <f>RAW_DATA!E544</f>
        <v>DevOps-New York</v>
      </c>
      <c r="F544" t="str">
        <f t="shared" si="24"/>
        <v>DevOps</v>
      </c>
      <c r="G544" t="str">
        <f t="shared" si="25"/>
        <v>New York</v>
      </c>
      <c r="P544">
        <f t="shared" si="26"/>
        <v>82850.23</v>
      </c>
      <c r="Q544">
        <f>IF(PQ_Cleansing!L544="Excellent", P544 * 0.1, IF(PQ_Cleansing!L544="Good", P544 * 0.05, IF(PQ_Cleansing!L544="Average", P544 * 0.02, IF(PQ_Cleansing!L544="Poor", 0, 0))))</f>
        <v>0</v>
      </c>
      <c r="R544">
        <f>IFERROR(VALUE(SUBSTITUTE(SUBSTITUTE(PQ_Cleansing!I544, "$", ""), ",", "")), "")</f>
        <v>82850.23</v>
      </c>
    </row>
    <row r="545" spans="1:18" x14ac:dyDescent="0.25">
      <c r="A545" t="str">
        <f>PROPER(TRIM(CLEAN(RAW_DATA!A545)))</f>
        <v>Emp1543</v>
      </c>
      <c r="B545" t="str">
        <f>RAW_DATA!B545</f>
        <v>Charlie</v>
      </c>
      <c r="C545" t="str">
        <f>RAW_DATA!C545</f>
        <v>Johnson</v>
      </c>
      <c r="D545">
        <f>RAW_DATA!D545</f>
        <v>25</v>
      </c>
      <c r="E545" t="str">
        <f>RAW_DATA!E545</f>
        <v>Finance-California</v>
      </c>
      <c r="F545" t="str">
        <f t="shared" si="24"/>
        <v>Finance</v>
      </c>
      <c r="G545" t="str">
        <f t="shared" si="25"/>
        <v>California</v>
      </c>
      <c r="P545">
        <f t="shared" si="26"/>
        <v>117910.15</v>
      </c>
      <c r="Q545">
        <f>IF(PQ_Cleansing!L545="Excellent", P545 * 0.1, IF(PQ_Cleansing!L545="Good", P545 * 0.05, IF(PQ_Cleansing!L545="Average", P545 * 0.02, IF(PQ_Cleansing!L545="Poor", 0, 0))))</f>
        <v>5895.5074999999997</v>
      </c>
      <c r="R545">
        <f>IFERROR(VALUE(SUBSTITUTE(SUBSTITUTE(PQ_Cleansing!I545, "$", ""), ",", "")), "")</f>
        <v>117910.15</v>
      </c>
    </row>
    <row r="546" spans="1:18" x14ac:dyDescent="0.25">
      <c r="A546" t="str">
        <f>PROPER(TRIM(CLEAN(RAW_DATA!A546)))</f>
        <v>Emp1544</v>
      </c>
      <c r="B546" t="str">
        <f>RAW_DATA!B546</f>
        <v>David</v>
      </c>
      <c r="C546" t="str">
        <f>RAW_DATA!C546</f>
        <v>Smith</v>
      </c>
      <c r="D546">
        <f>RAW_DATA!D546</f>
        <v>0</v>
      </c>
      <c r="E546" t="str">
        <f>RAW_DATA!E546</f>
        <v>DevOps-Florida</v>
      </c>
      <c r="F546" t="str">
        <f t="shared" si="24"/>
        <v>DevOps</v>
      </c>
      <c r="G546" t="str">
        <f t="shared" si="25"/>
        <v>Florida</v>
      </c>
      <c r="P546">
        <f t="shared" si="26"/>
        <v>66450</v>
      </c>
      <c r="Q546">
        <f>IF(PQ_Cleansing!L546="Excellent", P546 * 0.1, IF(PQ_Cleansing!L546="Good", P546 * 0.05, IF(PQ_Cleansing!L546="Average", P546 * 0.02, IF(PQ_Cleansing!L546="Poor", 0, 0))))</f>
        <v>1329</v>
      </c>
      <c r="R546">
        <f>IFERROR(VALUE(SUBSTITUTE(SUBSTITUTE(PQ_Cleansing!I546, "$", ""), ",", "")), "")</f>
        <v>66450</v>
      </c>
    </row>
    <row r="547" spans="1:18" x14ac:dyDescent="0.25">
      <c r="A547" t="str">
        <f>PROPER(TRIM(CLEAN(RAW_DATA!A547)))</f>
        <v>Emp1545</v>
      </c>
      <c r="B547" t="str">
        <f>RAW_DATA!B547</f>
        <v>Heidi</v>
      </c>
      <c r="C547" t="str">
        <f>RAW_DATA!C547</f>
        <v>Garcia</v>
      </c>
      <c r="D547">
        <f>RAW_DATA!D547</f>
        <v>25</v>
      </c>
      <c r="E547" t="str">
        <f>RAW_DATA!E547</f>
        <v>Finance-Florida</v>
      </c>
      <c r="F547" t="str">
        <f t="shared" si="24"/>
        <v>Finance</v>
      </c>
      <c r="G547" t="str">
        <f t="shared" si="25"/>
        <v>Florida</v>
      </c>
      <c r="P547">
        <f t="shared" si="26"/>
        <v>118646.95</v>
      </c>
      <c r="Q547">
        <f>IF(PQ_Cleansing!L547="Excellent", P547 * 0.1, IF(PQ_Cleansing!L547="Good", P547 * 0.05, IF(PQ_Cleansing!L547="Average", P547 * 0.02, IF(PQ_Cleansing!L547="Poor", 0, 0))))</f>
        <v>2372.9389999999999</v>
      </c>
      <c r="R547">
        <f>IFERROR(VALUE(SUBSTITUTE(SUBSTITUTE(PQ_Cleansing!I547, "$", ""), ",", "")), "")</f>
        <v>118646.95</v>
      </c>
    </row>
    <row r="548" spans="1:18" x14ac:dyDescent="0.25">
      <c r="A548" t="str">
        <f>PROPER(TRIM(CLEAN(RAW_DATA!A548)))</f>
        <v>Emp1546</v>
      </c>
      <c r="B548" t="str">
        <f>RAW_DATA!B548</f>
        <v>Alice</v>
      </c>
      <c r="C548" t="str">
        <f>RAW_DATA!C548</f>
        <v>Jones</v>
      </c>
      <c r="D548">
        <f>RAW_DATA!D548</f>
        <v>25</v>
      </c>
      <c r="E548" t="str">
        <f>RAW_DATA!E548</f>
        <v>Finance-Florida</v>
      </c>
      <c r="F548" t="str">
        <f t="shared" si="24"/>
        <v>Finance</v>
      </c>
      <c r="G548" t="str">
        <f t="shared" si="25"/>
        <v>Florida</v>
      </c>
      <c r="P548">
        <f t="shared" si="26"/>
        <v>88436.92</v>
      </c>
      <c r="Q548">
        <f>IF(PQ_Cleansing!L548="Excellent", P548 * 0.1, IF(PQ_Cleansing!L548="Good", P548 * 0.05, IF(PQ_Cleansing!L548="Average", P548 * 0.02, IF(PQ_Cleansing!L548="Poor", 0, 0))))</f>
        <v>8843.6920000000009</v>
      </c>
      <c r="R548">
        <f>IFERROR(VALUE(SUBSTITUTE(SUBSTITUTE(PQ_Cleansing!I548, "$", ""), ",", "")), "")</f>
        <v>88436.92</v>
      </c>
    </row>
    <row r="549" spans="1:18" x14ac:dyDescent="0.25">
      <c r="A549" t="str">
        <f>PROPER(TRIM(CLEAN(RAW_DATA!A549)))</f>
        <v>Emp1547</v>
      </c>
      <c r="B549" t="str">
        <f>RAW_DATA!B549</f>
        <v>Eva</v>
      </c>
      <c r="C549" t="str">
        <f>RAW_DATA!C549</f>
        <v>Brown</v>
      </c>
      <c r="D549">
        <f>RAW_DATA!D549</f>
        <v>0</v>
      </c>
      <c r="E549" t="str">
        <f>RAW_DATA!E549</f>
        <v>Sales-New York</v>
      </c>
      <c r="F549" t="str">
        <f t="shared" si="24"/>
        <v>Sales</v>
      </c>
      <c r="G549" t="str">
        <f t="shared" si="25"/>
        <v>New York</v>
      </c>
      <c r="P549">
        <f t="shared" si="26"/>
        <v>81934.55</v>
      </c>
      <c r="Q549">
        <f>IF(PQ_Cleansing!L549="Excellent", P549 * 0.1, IF(PQ_Cleansing!L549="Good", P549 * 0.05, IF(PQ_Cleansing!L549="Average", P549 * 0.02, IF(PQ_Cleansing!L549="Poor", 0, 0))))</f>
        <v>0</v>
      </c>
      <c r="R549">
        <f>IFERROR(VALUE(SUBSTITUTE(SUBSTITUTE(PQ_Cleansing!I549, "$", ""), ",", "")), "")</f>
        <v>81934.55</v>
      </c>
    </row>
    <row r="550" spans="1:18" x14ac:dyDescent="0.25">
      <c r="A550" t="str">
        <f>PROPER(TRIM(CLEAN(RAW_DATA!A550)))</f>
        <v>Emp1548</v>
      </c>
      <c r="B550" t="str">
        <f>RAW_DATA!B550</f>
        <v>Alice</v>
      </c>
      <c r="C550" t="str">
        <f>RAW_DATA!C550</f>
        <v>Johnson</v>
      </c>
      <c r="D550">
        <f>RAW_DATA!D550</f>
        <v>30</v>
      </c>
      <c r="E550" t="str">
        <f>RAW_DATA!E550</f>
        <v>Finance-California</v>
      </c>
      <c r="F550" t="str">
        <f t="shared" si="24"/>
        <v>Finance</v>
      </c>
      <c r="G550" t="str">
        <f t="shared" si="25"/>
        <v>California</v>
      </c>
      <c r="P550">
        <f t="shared" si="26"/>
        <v>93383.06</v>
      </c>
      <c r="Q550">
        <f>IF(PQ_Cleansing!L550="Excellent", P550 * 0.1, IF(PQ_Cleansing!L550="Good", P550 * 0.05, IF(PQ_Cleansing!L550="Average", P550 * 0.02, IF(PQ_Cleansing!L550="Poor", 0, 0))))</f>
        <v>1867.6612</v>
      </c>
      <c r="R550">
        <f>IFERROR(VALUE(SUBSTITUTE(SUBSTITUTE(PQ_Cleansing!I550, "$", ""), ",", "")), "")</f>
        <v>93383.06</v>
      </c>
    </row>
    <row r="551" spans="1:18" x14ac:dyDescent="0.25">
      <c r="A551" t="str">
        <f>PROPER(TRIM(CLEAN(RAW_DATA!A551)))</f>
        <v>Emp1549</v>
      </c>
      <c r="B551" t="str">
        <f>RAW_DATA!B551</f>
        <v>Frank</v>
      </c>
      <c r="C551" t="str">
        <f>RAW_DATA!C551</f>
        <v>Davis</v>
      </c>
      <c r="D551">
        <f>RAW_DATA!D551</f>
        <v>40</v>
      </c>
      <c r="E551" t="str">
        <f>RAW_DATA!E551</f>
        <v>Cloud Tech-Texas</v>
      </c>
      <c r="F551" t="str">
        <f t="shared" si="24"/>
        <v>Cloud Tech</v>
      </c>
      <c r="G551" t="str">
        <f t="shared" si="25"/>
        <v>Texas</v>
      </c>
      <c r="P551">
        <f t="shared" si="26"/>
        <v>50153.79</v>
      </c>
      <c r="Q551">
        <f>IF(PQ_Cleansing!L551="Excellent", P551 * 0.1, IF(PQ_Cleansing!L551="Good", P551 * 0.05, IF(PQ_Cleansing!L551="Average", P551 * 0.02, IF(PQ_Cleansing!L551="Poor", 0, 0))))</f>
        <v>2507.6895000000004</v>
      </c>
      <c r="R551">
        <f>IFERROR(VALUE(SUBSTITUTE(SUBSTITUTE(PQ_Cleansing!I551, "$", ""), ",", "")), "")</f>
        <v>50153.79</v>
      </c>
    </row>
    <row r="552" spans="1:18" x14ac:dyDescent="0.25">
      <c r="A552" t="str">
        <f>PROPER(TRIM(CLEAN(RAW_DATA!A552)))</f>
        <v>Emp1550</v>
      </c>
      <c r="B552" t="str">
        <f>RAW_DATA!B552</f>
        <v>Eva</v>
      </c>
      <c r="C552" t="str">
        <f>RAW_DATA!C552</f>
        <v>Smith</v>
      </c>
      <c r="D552">
        <f>RAW_DATA!D552</f>
        <v>0</v>
      </c>
      <c r="E552" t="str">
        <f>RAW_DATA!E552</f>
        <v>Sales-California</v>
      </c>
      <c r="F552" t="str">
        <f t="shared" si="24"/>
        <v>Sales</v>
      </c>
      <c r="G552" t="str">
        <f t="shared" si="25"/>
        <v>California</v>
      </c>
      <c r="P552">
        <f t="shared" si="26"/>
        <v>53204.47</v>
      </c>
      <c r="Q552">
        <f>IF(PQ_Cleansing!L552="Excellent", P552 * 0.1, IF(PQ_Cleansing!L552="Good", P552 * 0.05, IF(PQ_Cleansing!L552="Average", P552 * 0.02, IF(PQ_Cleansing!L552="Poor", 0, 0))))</f>
        <v>2660.2235000000001</v>
      </c>
      <c r="R552">
        <f>IFERROR(VALUE(SUBSTITUTE(SUBSTITUTE(PQ_Cleansing!I552, "$", ""), ",", "")), "")</f>
        <v>53204.47</v>
      </c>
    </row>
    <row r="553" spans="1:18" x14ac:dyDescent="0.25">
      <c r="A553" t="str">
        <f>PROPER(TRIM(CLEAN(RAW_DATA!A553)))</f>
        <v>Emp1551</v>
      </c>
      <c r="B553" t="str">
        <f>RAW_DATA!B553</f>
        <v>Charlie</v>
      </c>
      <c r="C553" t="str">
        <f>RAW_DATA!C553</f>
        <v>Brown</v>
      </c>
      <c r="D553">
        <f>RAW_DATA!D553</f>
        <v>40</v>
      </c>
      <c r="E553" t="str">
        <f>RAW_DATA!E553</f>
        <v>Cloud Tech-California</v>
      </c>
      <c r="F553" t="str">
        <f t="shared" si="24"/>
        <v>Cloud Tech</v>
      </c>
      <c r="G553" t="str">
        <f t="shared" si="25"/>
        <v>California</v>
      </c>
      <c r="P553">
        <f t="shared" si="26"/>
        <v>63128.04</v>
      </c>
      <c r="Q553">
        <f>IF(PQ_Cleansing!L553="Excellent", P553 * 0.1, IF(PQ_Cleansing!L553="Good", P553 * 0.05, IF(PQ_Cleansing!L553="Average", P553 * 0.02, IF(PQ_Cleansing!L553="Poor", 0, 0))))</f>
        <v>0</v>
      </c>
      <c r="R553">
        <f>IFERROR(VALUE(SUBSTITUTE(SUBSTITUTE(PQ_Cleansing!I553, "$", ""), ",", "")), "")</f>
        <v>63128.04</v>
      </c>
    </row>
    <row r="554" spans="1:18" x14ac:dyDescent="0.25">
      <c r="A554" t="str">
        <f>PROPER(TRIM(CLEAN(RAW_DATA!A554)))</f>
        <v>Emp1552</v>
      </c>
      <c r="B554" t="str">
        <f>RAW_DATA!B554</f>
        <v>Grace</v>
      </c>
      <c r="C554" t="str">
        <f>RAW_DATA!C554</f>
        <v>Jones</v>
      </c>
      <c r="D554">
        <f>RAW_DATA!D554</f>
        <v>30</v>
      </c>
      <c r="E554" t="str">
        <f>RAW_DATA!E554</f>
        <v>Finance-New York</v>
      </c>
      <c r="F554" t="str">
        <f t="shared" si="24"/>
        <v>Finance</v>
      </c>
      <c r="G554" t="str">
        <f t="shared" si="25"/>
        <v>New York</v>
      </c>
      <c r="P554">
        <f t="shared" si="26"/>
        <v>57543.6</v>
      </c>
      <c r="Q554">
        <f>IF(PQ_Cleansing!L554="Excellent", P554 * 0.1, IF(PQ_Cleansing!L554="Good", P554 * 0.05, IF(PQ_Cleansing!L554="Average", P554 * 0.02, IF(PQ_Cleansing!L554="Poor", 0, 0))))</f>
        <v>2877.1800000000003</v>
      </c>
      <c r="R554">
        <f>IFERROR(VALUE(SUBSTITUTE(SUBSTITUTE(PQ_Cleansing!I554, "$", ""), ",", "")), "")</f>
        <v>57543.6</v>
      </c>
    </row>
    <row r="555" spans="1:18" x14ac:dyDescent="0.25">
      <c r="A555" t="str">
        <f>PROPER(TRIM(CLEAN(RAW_DATA!A555)))</f>
        <v>Emp1553</v>
      </c>
      <c r="B555" t="str">
        <f>RAW_DATA!B555</f>
        <v>Bob</v>
      </c>
      <c r="C555" t="str">
        <f>RAW_DATA!C555</f>
        <v>Brown</v>
      </c>
      <c r="D555">
        <f>RAW_DATA!D555</f>
        <v>40</v>
      </c>
      <c r="E555" t="str">
        <f>RAW_DATA!E555</f>
        <v>Finance-Nevada</v>
      </c>
      <c r="F555" t="str">
        <f t="shared" si="24"/>
        <v>Finance</v>
      </c>
      <c r="G555" t="str">
        <f t="shared" si="25"/>
        <v>Nevada</v>
      </c>
      <c r="P555">
        <f t="shared" si="26"/>
        <v>59424.52</v>
      </c>
      <c r="Q555">
        <f>IF(PQ_Cleansing!L555="Excellent", P555 * 0.1, IF(PQ_Cleansing!L555="Good", P555 * 0.05, IF(PQ_Cleansing!L555="Average", P555 * 0.02, IF(PQ_Cleansing!L555="Poor", 0, 0))))</f>
        <v>2971.2260000000001</v>
      </c>
      <c r="R555">
        <f>IFERROR(VALUE(SUBSTITUTE(SUBSTITUTE(PQ_Cleansing!I555, "$", ""), ",", "")), "")</f>
        <v>59424.52</v>
      </c>
    </row>
    <row r="556" spans="1:18" x14ac:dyDescent="0.25">
      <c r="A556" t="str">
        <f>PROPER(TRIM(CLEAN(RAW_DATA!A556)))</f>
        <v>Emp1554</v>
      </c>
      <c r="B556" t="str">
        <f>RAW_DATA!B556</f>
        <v>Alice</v>
      </c>
      <c r="C556" t="str">
        <f>RAW_DATA!C556</f>
        <v>Smith</v>
      </c>
      <c r="D556">
        <f>RAW_DATA!D556</f>
        <v>0</v>
      </c>
      <c r="E556" t="str">
        <f>RAW_DATA!E556</f>
        <v>Finance-Illinois</v>
      </c>
      <c r="F556" t="str">
        <f t="shared" si="24"/>
        <v>Finance</v>
      </c>
      <c r="G556" t="str">
        <f t="shared" si="25"/>
        <v>Illinois</v>
      </c>
      <c r="P556">
        <f t="shared" si="26"/>
        <v>104675.7</v>
      </c>
      <c r="Q556">
        <f>IF(PQ_Cleansing!L556="Excellent", P556 * 0.1, IF(PQ_Cleansing!L556="Good", P556 * 0.05, IF(PQ_Cleansing!L556="Average", P556 * 0.02, IF(PQ_Cleansing!L556="Poor", 0, 0))))</f>
        <v>0</v>
      </c>
      <c r="R556">
        <f>IFERROR(VALUE(SUBSTITUTE(SUBSTITUTE(PQ_Cleansing!I556, "$", ""), ",", "")), "")</f>
        <v>104675.7</v>
      </c>
    </row>
    <row r="557" spans="1:18" x14ac:dyDescent="0.25">
      <c r="A557" t="str">
        <f>PROPER(TRIM(CLEAN(RAW_DATA!A557)))</f>
        <v>Emp1555</v>
      </c>
      <c r="B557" t="str">
        <f>RAW_DATA!B557</f>
        <v>Charlie</v>
      </c>
      <c r="C557" t="str">
        <f>RAW_DATA!C557</f>
        <v>Garcia</v>
      </c>
      <c r="D557">
        <f>RAW_DATA!D557</f>
        <v>30</v>
      </c>
      <c r="E557" t="str">
        <f>RAW_DATA!E557</f>
        <v>Cloud Tech-Florida</v>
      </c>
      <c r="F557" t="str">
        <f t="shared" si="24"/>
        <v>Cloud Tech</v>
      </c>
      <c r="G557" t="str">
        <f t="shared" si="25"/>
        <v>Florida</v>
      </c>
      <c r="P557">
        <f t="shared" si="26"/>
        <v>92431.25</v>
      </c>
      <c r="Q557">
        <f>IF(PQ_Cleansing!L557="Excellent", P557 * 0.1, IF(PQ_Cleansing!L557="Good", P557 * 0.05, IF(PQ_Cleansing!L557="Average", P557 * 0.02, IF(PQ_Cleansing!L557="Poor", 0, 0))))</f>
        <v>1848.625</v>
      </c>
      <c r="R557">
        <f>IFERROR(VALUE(SUBSTITUTE(SUBSTITUTE(PQ_Cleansing!I557, "$", ""), ",", "")), "")</f>
        <v>92431.25</v>
      </c>
    </row>
    <row r="558" spans="1:18" x14ac:dyDescent="0.25">
      <c r="A558" t="str">
        <f>PROPER(TRIM(CLEAN(RAW_DATA!A558)))</f>
        <v>Emp1556</v>
      </c>
      <c r="B558" t="str">
        <f>RAW_DATA!B558</f>
        <v>Grace</v>
      </c>
      <c r="C558" t="str">
        <f>RAW_DATA!C558</f>
        <v>Garcia</v>
      </c>
      <c r="D558">
        <f>RAW_DATA!D558</f>
        <v>40</v>
      </c>
      <c r="E558" t="str">
        <f>RAW_DATA!E558</f>
        <v>Sales-Nevada</v>
      </c>
      <c r="F558" t="str">
        <f t="shared" si="24"/>
        <v>Sales</v>
      </c>
      <c r="G558" t="str">
        <f t="shared" si="25"/>
        <v>Nevada</v>
      </c>
      <c r="P558">
        <f t="shared" si="26"/>
        <v>77850.899999999994</v>
      </c>
      <c r="Q558">
        <f>IF(PQ_Cleansing!L558="Excellent", P558 * 0.1, IF(PQ_Cleansing!L558="Good", P558 * 0.05, IF(PQ_Cleansing!L558="Average", P558 * 0.02, IF(PQ_Cleansing!L558="Poor", 0, 0))))</f>
        <v>1557.018</v>
      </c>
      <c r="R558">
        <f>IFERROR(VALUE(SUBSTITUTE(SUBSTITUTE(PQ_Cleansing!I558, "$", ""), ",", "")), "")</f>
        <v>77850.899999999994</v>
      </c>
    </row>
    <row r="559" spans="1:18" x14ac:dyDescent="0.25">
      <c r="A559" t="str">
        <f>PROPER(TRIM(CLEAN(RAW_DATA!A559)))</f>
        <v>Emp1557</v>
      </c>
      <c r="B559" t="str">
        <f>RAW_DATA!B559</f>
        <v>Eva</v>
      </c>
      <c r="C559" t="str">
        <f>RAW_DATA!C559</f>
        <v>Miller</v>
      </c>
      <c r="D559">
        <f>RAW_DATA!D559</f>
        <v>40</v>
      </c>
      <c r="E559" t="str">
        <f>RAW_DATA!E559</f>
        <v>Admin-New York</v>
      </c>
      <c r="F559" t="str">
        <f t="shared" si="24"/>
        <v>Admin</v>
      </c>
      <c r="G559" t="str">
        <f t="shared" si="25"/>
        <v>New York</v>
      </c>
      <c r="P559">
        <f t="shared" si="26"/>
        <v>99001</v>
      </c>
      <c r="Q559">
        <f>IF(PQ_Cleansing!L559="Excellent", P559 * 0.1, IF(PQ_Cleansing!L559="Good", P559 * 0.05, IF(PQ_Cleansing!L559="Average", P559 * 0.02, IF(PQ_Cleansing!L559="Poor", 0, 0))))</f>
        <v>4950.05</v>
      </c>
      <c r="R559">
        <f>IFERROR(VALUE(SUBSTITUTE(SUBSTITUTE(PQ_Cleansing!I559, "$", ""), ",", "")), "")</f>
        <v>99001</v>
      </c>
    </row>
    <row r="560" spans="1:18" x14ac:dyDescent="0.25">
      <c r="A560" t="str">
        <f>PROPER(TRIM(CLEAN(RAW_DATA!A560)))</f>
        <v>Emp1558</v>
      </c>
      <c r="B560" t="str">
        <f>RAW_DATA!B560</f>
        <v>Eva</v>
      </c>
      <c r="C560" t="str">
        <f>RAW_DATA!C560</f>
        <v>Garcia</v>
      </c>
      <c r="D560">
        <f>RAW_DATA!D560</f>
        <v>0</v>
      </c>
      <c r="E560" t="str">
        <f>RAW_DATA!E560</f>
        <v>HR-Nevada</v>
      </c>
      <c r="F560" t="str">
        <f t="shared" si="24"/>
        <v>HR</v>
      </c>
      <c r="G560" t="str">
        <f t="shared" si="25"/>
        <v>Nevada</v>
      </c>
      <c r="P560">
        <f t="shared" si="26"/>
        <v>94280.83</v>
      </c>
      <c r="Q560">
        <f>IF(PQ_Cleansing!L560="Excellent", P560 * 0.1, IF(PQ_Cleansing!L560="Good", P560 * 0.05, IF(PQ_Cleansing!L560="Average", P560 * 0.02, IF(PQ_Cleansing!L560="Poor", 0, 0))))</f>
        <v>4714.0415000000003</v>
      </c>
      <c r="R560">
        <f>IFERROR(VALUE(SUBSTITUTE(SUBSTITUTE(PQ_Cleansing!I560, "$", ""), ",", "")), "")</f>
        <v>94280.83</v>
      </c>
    </row>
    <row r="561" spans="1:18" x14ac:dyDescent="0.25">
      <c r="A561" t="str">
        <f>PROPER(TRIM(CLEAN(RAW_DATA!A561)))</f>
        <v>Emp1559</v>
      </c>
      <c r="B561" t="str">
        <f>RAW_DATA!B561</f>
        <v>Eva</v>
      </c>
      <c r="C561" t="str">
        <f>RAW_DATA!C561</f>
        <v>Miller</v>
      </c>
      <c r="D561">
        <f>RAW_DATA!D561</f>
        <v>35</v>
      </c>
      <c r="E561" t="str">
        <f>RAW_DATA!E561</f>
        <v>DevOps-New York</v>
      </c>
      <c r="F561" t="str">
        <f t="shared" si="24"/>
        <v>DevOps</v>
      </c>
      <c r="G561" t="str">
        <f t="shared" si="25"/>
        <v>New York</v>
      </c>
      <c r="P561">
        <f t="shared" si="26"/>
        <v>118262.56</v>
      </c>
      <c r="Q561">
        <f>IF(PQ_Cleansing!L561="Excellent", P561 * 0.1, IF(PQ_Cleansing!L561="Good", P561 * 0.05, IF(PQ_Cleansing!L561="Average", P561 * 0.02, IF(PQ_Cleansing!L561="Poor", 0, 0))))</f>
        <v>2365.2512000000002</v>
      </c>
      <c r="R561">
        <f>IFERROR(VALUE(SUBSTITUTE(SUBSTITUTE(PQ_Cleansing!I561, "$", ""), ",", "")), "")</f>
        <v>118262.56</v>
      </c>
    </row>
    <row r="562" spans="1:18" x14ac:dyDescent="0.25">
      <c r="A562" t="str">
        <f>PROPER(TRIM(CLEAN(RAW_DATA!A562)))</f>
        <v>Emp1560</v>
      </c>
      <c r="B562" t="str">
        <f>RAW_DATA!B562</f>
        <v>Frank</v>
      </c>
      <c r="C562" t="str">
        <f>RAW_DATA!C562</f>
        <v>Brown</v>
      </c>
      <c r="D562">
        <f>RAW_DATA!D562</f>
        <v>25</v>
      </c>
      <c r="E562" t="str">
        <f>RAW_DATA!E562</f>
        <v>HR-Illinois</v>
      </c>
      <c r="F562" t="str">
        <f t="shared" si="24"/>
        <v>HR</v>
      </c>
      <c r="G562" t="str">
        <f t="shared" si="25"/>
        <v>Illinois</v>
      </c>
      <c r="P562">
        <f t="shared" si="26"/>
        <v>89944.67</v>
      </c>
      <c r="Q562">
        <f>IF(PQ_Cleansing!L562="Excellent", P562 * 0.1, IF(PQ_Cleansing!L562="Good", P562 * 0.05, IF(PQ_Cleansing!L562="Average", P562 * 0.02, IF(PQ_Cleansing!L562="Poor", 0, 0))))</f>
        <v>0</v>
      </c>
      <c r="R562">
        <f>IFERROR(VALUE(SUBSTITUTE(SUBSTITUTE(PQ_Cleansing!I562, "$", ""), ",", "")), "")</f>
        <v>89944.67</v>
      </c>
    </row>
    <row r="563" spans="1:18" x14ac:dyDescent="0.25">
      <c r="A563" t="str">
        <f>PROPER(TRIM(CLEAN(RAW_DATA!A563)))</f>
        <v>Emp1561</v>
      </c>
      <c r="B563" t="str">
        <f>RAW_DATA!B563</f>
        <v>Grace</v>
      </c>
      <c r="C563" t="str">
        <f>RAW_DATA!C563</f>
        <v>Williams</v>
      </c>
      <c r="D563">
        <f>RAW_DATA!D563</f>
        <v>0</v>
      </c>
      <c r="E563" t="str">
        <f>RAW_DATA!E563</f>
        <v>HR-Florida</v>
      </c>
      <c r="F563" t="str">
        <f t="shared" si="24"/>
        <v>HR</v>
      </c>
      <c r="G563" t="str">
        <f t="shared" si="25"/>
        <v>Florida</v>
      </c>
      <c r="P563">
        <f t="shared" si="26"/>
        <v>57452.93</v>
      </c>
      <c r="Q563">
        <f>IF(PQ_Cleansing!L563="Excellent", P563 * 0.1, IF(PQ_Cleansing!L563="Good", P563 * 0.05, IF(PQ_Cleansing!L563="Average", P563 * 0.02, IF(PQ_Cleansing!L563="Poor", 0, 0))))</f>
        <v>2872.6465000000003</v>
      </c>
      <c r="R563">
        <f>IFERROR(VALUE(SUBSTITUTE(SUBSTITUTE(PQ_Cleansing!I563, "$", ""), ",", "")), "")</f>
        <v>57452.93</v>
      </c>
    </row>
    <row r="564" spans="1:18" x14ac:dyDescent="0.25">
      <c r="A564" t="str">
        <f>PROPER(TRIM(CLEAN(RAW_DATA!A564)))</f>
        <v>Emp1562</v>
      </c>
      <c r="B564" t="str">
        <f>RAW_DATA!B564</f>
        <v>Alice</v>
      </c>
      <c r="C564" t="str">
        <f>RAW_DATA!C564</f>
        <v>Davis</v>
      </c>
      <c r="D564">
        <f>RAW_DATA!D564</f>
        <v>25</v>
      </c>
      <c r="E564" t="str">
        <f>RAW_DATA!E564</f>
        <v>Admin-California</v>
      </c>
      <c r="F564" t="str">
        <f t="shared" si="24"/>
        <v>Admin</v>
      </c>
      <c r="G564" t="str">
        <f t="shared" si="25"/>
        <v>California</v>
      </c>
      <c r="P564">
        <f t="shared" si="26"/>
        <v>97837.32</v>
      </c>
      <c r="Q564">
        <f>IF(PQ_Cleansing!L564="Excellent", P564 * 0.1, IF(PQ_Cleansing!L564="Good", P564 * 0.05, IF(PQ_Cleansing!L564="Average", P564 * 0.02, IF(PQ_Cleansing!L564="Poor", 0, 0))))</f>
        <v>9783.7320000000018</v>
      </c>
      <c r="R564">
        <f>IFERROR(VALUE(SUBSTITUTE(SUBSTITUTE(PQ_Cleansing!I564, "$", ""), ",", "")), "")</f>
        <v>97837.32</v>
      </c>
    </row>
    <row r="565" spans="1:18" x14ac:dyDescent="0.25">
      <c r="A565" t="str">
        <f>PROPER(TRIM(CLEAN(RAW_DATA!A565)))</f>
        <v>Emp1563</v>
      </c>
      <c r="B565" t="str">
        <f>RAW_DATA!B565</f>
        <v>Alice</v>
      </c>
      <c r="C565" t="str">
        <f>RAW_DATA!C565</f>
        <v>Davis</v>
      </c>
      <c r="D565">
        <f>RAW_DATA!D565</f>
        <v>35</v>
      </c>
      <c r="E565" t="str">
        <f>RAW_DATA!E565</f>
        <v>Admin-Illinois</v>
      </c>
      <c r="F565" t="str">
        <f t="shared" si="24"/>
        <v>Admin</v>
      </c>
      <c r="G565" t="str">
        <f t="shared" si="25"/>
        <v>Illinois</v>
      </c>
      <c r="P565">
        <f t="shared" si="26"/>
        <v>106981.84</v>
      </c>
      <c r="Q565">
        <f>IF(PQ_Cleansing!L565="Excellent", P565 * 0.1, IF(PQ_Cleansing!L565="Good", P565 * 0.05, IF(PQ_Cleansing!L565="Average", P565 * 0.02, IF(PQ_Cleansing!L565="Poor", 0, 0))))</f>
        <v>0</v>
      </c>
      <c r="R565">
        <f>IFERROR(VALUE(SUBSTITUTE(SUBSTITUTE(PQ_Cleansing!I565, "$", ""), ",", "")), "")</f>
        <v>106981.84</v>
      </c>
    </row>
    <row r="566" spans="1:18" x14ac:dyDescent="0.25">
      <c r="A566" t="str">
        <f>PROPER(TRIM(CLEAN(RAW_DATA!A566)))</f>
        <v>Emp1564</v>
      </c>
      <c r="B566" t="str">
        <f>RAW_DATA!B566</f>
        <v>David</v>
      </c>
      <c r="C566" t="str">
        <f>RAW_DATA!C566</f>
        <v>Brown</v>
      </c>
      <c r="D566">
        <f>RAW_DATA!D566</f>
        <v>0</v>
      </c>
      <c r="E566" t="str">
        <f>RAW_DATA!E566</f>
        <v>Finance-New York</v>
      </c>
      <c r="F566" t="str">
        <f t="shared" si="24"/>
        <v>Finance</v>
      </c>
      <c r="G566" t="str">
        <f t="shared" si="25"/>
        <v>New York</v>
      </c>
      <c r="P566">
        <f t="shared" si="26"/>
        <v>105778.36</v>
      </c>
      <c r="Q566">
        <f>IF(PQ_Cleansing!L566="Excellent", P566 * 0.1, IF(PQ_Cleansing!L566="Good", P566 * 0.05, IF(PQ_Cleansing!L566="Average", P566 * 0.02, IF(PQ_Cleansing!L566="Poor", 0, 0))))</f>
        <v>5288.9180000000006</v>
      </c>
      <c r="R566">
        <f>IFERROR(VALUE(SUBSTITUTE(SUBSTITUTE(PQ_Cleansing!I566, "$", ""), ",", "")), "")</f>
        <v>105778.36</v>
      </c>
    </row>
    <row r="567" spans="1:18" x14ac:dyDescent="0.25">
      <c r="A567" t="str">
        <f>PROPER(TRIM(CLEAN(RAW_DATA!A567)))</f>
        <v>Emp1565</v>
      </c>
      <c r="B567" t="str">
        <f>RAW_DATA!B567</f>
        <v>Alice</v>
      </c>
      <c r="C567" t="str">
        <f>RAW_DATA!C567</f>
        <v>Johnson</v>
      </c>
      <c r="D567">
        <f>RAW_DATA!D567</f>
        <v>40</v>
      </c>
      <c r="E567" t="str">
        <f>RAW_DATA!E567</f>
        <v>Finance-Florida</v>
      </c>
      <c r="F567" t="str">
        <f t="shared" si="24"/>
        <v>Finance</v>
      </c>
      <c r="G567" t="str">
        <f t="shared" si="25"/>
        <v>Florida</v>
      </c>
      <c r="P567">
        <f t="shared" si="26"/>
        <v>117608.32000000001</v>
      </c>
      <c r="Q567">
        <f>IF(PQ_Cleansing!L567="Excellent", P567 * 0.1, IF(PQ_Cleansing!L567="Good", P567 * 0.05, IF(PQ_Cleansing!L567="Average", P567 * 0.02, IF(PQ_Cleansing!L567="Poor", 0, 0))))</f>
        <v>5880.4160000000011</v>
      </c>
      <c r="R567">
        <f>IFERROR(VALUE(SUBSTITUTE(SUBSTITUTE(PQ_Cleansing!I567, "$", ""), ",", "")), "")</f>
        <v>117608.32000000001</v>
      </c>
    </row>
    <row r="568" spans="1:18" x14ac:dyDescent="0.25">
      <c r="A568" t="str">
        <f>PROPER(TRIM(CLEAN(RAW_DATA!A568)))</f>
        <v>Emp1566</v>
      </c>
      <c r="B568" t="str">
        <f>RAW_DATA!B568</f>
        <v>Eva</v>
      </c>
      <c r="C568" t="str">
        <f>RAW_DATA!C568</f>
        <v>Johnson</v>
      </c>
      <c r="D568">
        <f>RAW_DATA!D568</f>
        <v>30</v>
      </c>
      <c r="E568" t="str">
        <f>RAW_DATA!E568</f>
        <v>Sales-Florida</v>
      </c>
      <c r="F568" t="str">
        <f t="shared" si="24"/>
        <v>Sales</v>
      </c>
      <c r="G568" t="str">
        <f t="shared" si="25"/>
        <v>Florida</v>
      </c>
      <c r="P568">
        <f t="shared" si="26"/>
        <v>99324.03</v>
      </c>
      <c r="Q568">
        <f>IF(PQ_Cleansing!L568="Excellent", P568 * 0.1, IF(PQ_Cleansing!L568="Good", P568 * 0.05, IF(PQ_Cleansing!L568="Average", P568 * 0.02, IF(PQ_Cleansing!L568="Poor", 0, 0))))</f>
        <v>9932.4030000000002</v>
      </c>
      <c r="R568">
        <f>IFERROR(VALUE(SUBSTITUTE(SUBSTITUTE(PQ_Cleansing!I568, "$", ""), ",", "")), "")</f>
        <v>99324.03</v>
      </c>
    </row>
    <row r="569" spans="1:18" x14ac:dyDescent="0.25">
      <c r="A569" t="str">
        <f>PROPER(TRIM(CLEAN(RAW_DATA!A569)))</f>
        <v>Emp1567</v>
      </c>
      <c r="B569" t="str">
        <f>RAW_DATA!B569</f>
        <v>David</v>
      </c>
      <c r="C569" t="str">
        <f>RAW_DATA!C569</f>
        <v>Garcia</v>
      </c>
      <c r="D569">
        <f>RAW_DATA!D569</f>
        <v>30</v>
      </c>
      <c r="E569" t="str">
        <f>RAW_DATA!E569</f>
        <v>HR-Florida</v>
      </c>
      <c r="F569" t="str">
        <f t="shared" si="24"/>
        <v>HR</v>
      </c>
      <c r="G569" t="str">
        <f t="shared" si="25"/>
        <v>Florida</v>
      </c>
      <c r="P569">
        <f t="shared" si="26"/>
        <v>55212.83</v>
      </c>
      <c r="Q569">
        <f>IF(PQ_Cleansing!L569="Excellent", P569 * 0.1, IF(PQ_Cleansing!L569="Good", P569 * 0.05, IF(PQ_Cleansing!L569="Average", P569 * 0.02, IF(PQ_Cleansing!L569="Poor", 0, 0))))</f>
        <v>5521.2830000000004</v>
      </c>
      <c r="R569">
        <f>IFERROR(VALUE(SUBSTITUTE(SUBSTITUTE(PQ_Cleansing!I569, "$", ""), ",", "")), "")</f>
        <v>55212.83</v>
      </c>
    </row>
    <row r="570" spans="1:18" x14ac:dyDescent="0.25">
      <c r="A570" t="str">
        <f>PROPER(TRIM(CLEAN(RAW_DATA!A570)))</f>
        <v>Emp1568</v>
      </c>
      <c r="B570" t="str">
        <f>RAW_DATA!B570</f>
        <v>Bob</v>
      </c>
      <c r="C570" t="str">
        <f>RAW_DATA!C570</f>
        <v>Davis</v>
      </c>
      <c r="D570">
        <f>RAW_DATA!D570</f>
        <v>40</v>
      </c>
      <c r="E570" t="str">
        <f>RAW_DATA!E570</f>
        <v>Cloud Tech-Florida</v>
      </c>
      <c r="F570" t="str">
        <f t="shared" si="24"/>
        <v>Cloud Tech</v>
      </c>
      <c r="G570" t="str">
        <f t="shared" si="25"/>
        <v>Florida</v>
      </c>
      <c r="P570">
        <f t="shared" si="26"/>
        <v>68496.77</v>
      </c>
      <c r="Q570">
        <f>IF(PQ_Cleansing!L570="Excellent", P570 * 0.1, IF(PQ_Cleansing!L570="Good", P570 * 0.05, IF(PQ_Cleansing!L570="Average", P570 * 0.02, IF(PQ_Cleansing!L570="Poor", 0, 0))))</f>
        <v>1369.9354000000001</v>
      </c>
      <c r="R570">
        <f>IFERROR(VALUE(SUBSTITUTE(SUBSTITUTE(PQ_Cleansing!I570, "$", ""), ",", "")), "")</f>
        <v>68496.77</v>
      </c>
    </row>
    <row r="571" spans="1:18" x14ac:dyDescent="0.25">
      <c r="A571" t="str">
        <f>PROPER(TRIM(CLEAN(RAW_DATA!A571)))</f>
        <v>Emp1569</v>
      </c>
      <c r="B571" t="str">
        <f>RAW_DATA!B571</f>
        <v>Eva</v>
      </c>
      <c r="C571" t="str">
        <f>RAW_DATA!C571</f>
        <v>Davis</v>
      </c>
      <c r="D571">
        <f>RAW_DATA!D571</f>
        <v>25</v>
      </c>
      <c r="E571" t="str">
        <f>RAW_DATA!E571</f>
        <v>HR-Florida</v>
      </c>
      <c r="F571" t="str">
        <f t="shared" si="24"/>
        <v>HR</v>
      </c>
      <c r="G571" t="str">
        <f t="shared" si="25"/>
        <v>Florida</v>
      </c>
      <c r="P571">
        <f t="shared" si="26"/>
        <v>52795.839999999997</v>
      </c>
      <c r="Q571">
        <f>IF(PQ_Cleansing!L571="Excellent", P571 * 0.1, IF(PQ_Cleansing!L571="Good", P571 * 0.05, IF(PQ_Cleansing!L571="Average", P571 * 0.02, IF(PQ_Cleansing!L571="Poor", 0, 0))))</f>
        <v>0</v>
      </c>
      <c r="R571">
        <f>IFERROR(VALUE(SUBSTITUTE(SUBSTITUTE(PQ_Cleansing!I571, "$", ""), ",", "")), "")</f>
        <v>52795.839999999997</v>
      </c>
    </row>
    <row r="572" spans="1:18" x14ac:dyDescent="0.25">
      <c r="A572" t="str">
        <f>PROPER(TRIM(CLEAN(RAW_DATA!A572)))</f>
        <v>Emp1570</v>
      </c>
      <c r="B572" t="str">
        <f>RAW_DATA!B572</f>
        <v>Alice</v>
      </c>
      <c r="C572" t="str">
        <f>RAW_DATA!C572</f>
        <v>Miller</v>
      </c>
      <c r="D572">
        <f>RAW_DATA!D572</f>
        <v>0</v>
      </c>
      <c r="E572" t="str">
        <f>RAW_DATA!E572</f>
        <v>DevOps-California</v>
      </c>
      <c r="F572" t="str">
        <f t="shared" si="24"/>
        <v>DevOps</v>
      </c>
      <c r="G572" t="str">
        <f t="shared" si="25"/>
        <v>California</v>
      </c>
      <c r="P572">
        <f t="shared" si="26"/>
        <v>90087.39</v>
      </c>
      <c r="Q572">
        <f>IF(PQ_Cleansing!L572="Excellent", P572 * 0.1, IF(PQ_Cleansing!L572="Good", P572 * 0.05, IF(PQ_Cleansing!L572="Average", P572 * 0.02, IF(PQ_Cleansing!L572="Poor", 0, 0))))</f>
        <v>0</v>
      </c>
      <c r="R572">
        <f>IFERROR(VALUE(SUBSTITUTE(SUBSTITUTE(PQ_Cleansing!I572, "$", ""), ",", "")), "")</f>
        <v>90087.39</v>
      </c>
    </row>
    <row r="573" spans="1:18" x14ac:dyDescent="0.25">
      <c r="A573" t="str">
        <f>PROPER(TRIM(CLEAN(RAW_DATA!A573)))</f>
        <v>Emp1571</v>
      </c>
      <c r="B573" t="str">
        <f>RAW_DATA!B573</f>
        <v>Frank</v>
      </c>
      <c r="C573" t="str">
        <f>RAW_DATA!C573</f>
        <v>Williams</v>
      </c>
      <c r="D573">
        <f>RAW_DATA!D573</f>
        <v>0</v>
      </c>
      <c r="E573" t="str">
        <f>RAW_DATA!E573</f>
        <v>Admin-New York</v>
      </c>
      <c r="F573" t="str">
        <f t="shared" si="24"/>
        <v>Admin</v>
      </c>
      <c r="G573" t="str">
        <f t="shared" si="25"/>
        <v>New York</v>
      </c>
      <c r="P573">
        <f t="shared" si="26"/>
        <v>105038.08</v>
      </c>
      <c r="Q573">
        <f>IF(PQ_Cleansing!L573="Excellent", P573 * 0.1, IF(PQ_Cleansing!L573="Good", P573 * 0.05, IF(PQ_Cleansing!L573="Average", P573 * 0.02, IF(PQ_Cleansing!L573="Poor", 0, 0))))</f>
        <v>2100.7616000000003</v>
      </c>
      <c r="R573">
        <f>IFERROR(VALUE(SUBSTITUTE(SUBSTITUTE(PQ_Cleansing!I573, "$", ""), ",", "")), "")</f>
        <v>105038.08</v>
      </c>
    </row>
    <row r="574" spans="1:18" x14ac:dyDescent="0.25">
      <c r="A574" t="str">
        <f>PROPER(TRIM(CLEAN(RAW_DATA!A574)))</f>
        <v>Emp1572</v>
      </c>
      <c r="B574" t="str">
        <f>RAW_DATA!B574</f>
        <v>Grace</v>
      </c>
      <c r="C574" t="str">
        <f>RAW_DATA!C574</f>
        <v>Smith</v>
      </c>
      <c r="D574">
        <f>RAW_DATA!D574</f>
        <v>25</v>
      </c>
      <c r="E574" t="str">
        <f>RAW_DATA!E574</f>
        <v>HR-New York</v>
      </c>
      <c r="F574" t="str">
        <f t="shared" si="24"/>
        <v>HR</v>
      </c>
      <c r="G574" t="str">
        <f t="shared" si="25"/>
        <v>New York</v>
      </c>
      <c r="P574">
        <f t="shared" si="26"/>
        <v>73231.850000000006</v>
      </c>
      <c r="Q574">
        <f>IF(PQ_Cleansing!L574="Excellent", P574 * 0.1, IF(PQ_Cleansing!L574="Good", P574 * 0.05, IF(PQ_Cleansing!L574="Average", P574 * 0.02, IF(PQ_Cleansing!L574="Poor", 0, 0))))</f>
        <v>0</v>
      </c>
      <c r="R574">
        <f>IFERROR(VALUE(SUBSTITUTE(SUBSTITUTE(PQ_Cleansing!I574, "$", ""), ",", "")), "")</f>
        <v>73231.850000000006</v>
      </c>
    </row>
    <row r="575" spans="1:18" x14ac:dyDescent="0.25">
      <c r="A575" t="str">
        <f>PROPER(TRIM(CLEAN(RAW_DATA!A575)))</f>
        <v>Emp1573</v>
      </c>
      <c r="B575" t="str">
        <f>RAW_DATA!B575</f>
        <v>David</v>
      </c>
      <c r="C575" t="str">
        <f>RAW_DATA!C575</f>
        <v>Johnson</v>
      </c>
      <c r="D575">
        <f>RAW_DATA!D575</f>
        <v>0</v>
      </c>
      <c r="E575" t="str">
        <f>RAW_DATA!E575</f>
        <v>Sales-Florida</v>
      </c>
      <c r="F575" t="str">
        <f t="shared" si="24"/>
        <v>Sales</v>
      </c>
      <c r="G575" t="str">
        <f t="shared" si="25"/>
        <v>Florida</v>
      </c>
      <c r="P575">
        <f t="shared" si="26"/>
        <v>102649.36</v>
      </c>
      <c r="Q575">
        <f>IF(PQ_Cleansing!L575="Excellent", P575 * 0.1, IF(PQ_Cleansing!L575="Good", P575 * 0.05, IF(PQ_Cleansing!L575="Average", P575 * 0.02, IF(PQ_Cleansing!L575="Poor", 0, 0))))</f>
        <v>0</v>
      </c>
      <c r="R575">
        <f>IFERROR(VALUE(SUBSTITUTE(SUBSTITUTE(PQ_Cleansing!I575, "$", ""), ",", "")), "")</f>
        <v>102649.36</v>
      </c>
    </row>
    <row r="576" spans="1:18" x14ac:dyDescent="0.25">
      <c r="A576" t="str">
        <f>PROPER(TRIM(CLEAN(RAW_DATA!A576)))</f>
        <v>Emp1574</v>
      </c>
      <c r="B576" t="str">
        <f>RAW_DATA!B576</f>
        <v>Bob</v>
      </c>
      <c r="C576" t="str">
        <f>RAW_DATA!C576</f>
        <v>Davis</v>
      </c>
      <c r="D576">
        <f>RAW_DATA!D576</f>
        <v>35</v>
      </c>
      <c r="E576" t="str">
        <f>RAW_DATA!E576</f>
        <v>Finance-New York</v>
      </c>
      <c r="F576" t="str">
        <f t="shared" si="24"/>
        <v>Finance</v>
      </c>
      <c r="G576" t="str">
        <f t="shared" si="25"/>
        <v>New York</v>
      </c>
      <c r="P576">
        <f t="shared" si="26"/>
        <v>114302.51</v>
      </c>
      <c r="Q576">
        <f>IF(PQ_Cleansing!L576="Excellent", P576 * 0.1, IF(PQ_Cleansing!L576="Good", P576 * 0.05, IF(PQ_Cleansing!L576="Average", P576 * 0.02, IF(PQ_Cleansing!L576="Poor", 0, 0))))</f>
        <v>0</v>
      </c>
      <c r="R576">
        <f>IFERROR(VALUE(SUBSTITUTE(SUBSTITUTE(PQ_Cleansing!I576, "$", ""), ",", "")), "")</f>
        <v>114302.51</v>
      </c>
    </row>
    <row r="577" spans="1:18" x14ac:dyDescent="0.25">
      <c r="A577" t="str">
        <f>PROPER(TRIM(CLEAN(RAW_DATA!A577)))</f>
        <v>Emp1575</v>
      </c>
      <c r="B577" t="str">
        <f>RAW_DATA!B577</f>
        <v>Alice</v>
      </c>
      <c r="C577" t="str">
        <f>RAW_DATA!C577</f>
        <v>Miller</v>
      </c>
      <c r="D577">
        <f>RAW_DATA!D577</f>
        <v>35</v>
      </c>
      <c r="E577" t="str">
        <f>RAW_DATA!E577</f>
        <v>Finance-Texas</v>
      </c>
      <c r="F577" t="str">
        <f t="shared" si="24"/>
        <v>Finance</v>
      </c>
      <c r="G577" t="str">
        <f t="shared" si="25"/>
        <v>Texas</v>
      </c>
      <c r="P577">
        <f t="shared" si="26"/>
        <v>87816.61</v>
      </c>
      <c r="Q577">
        <f>IF(PQ_Cleansing!L577="Excellent", P577 * 0.1, IF(PQ_Cleansing!L577="Good", P577 * 0.05, IF(PQ_Cleansing!L577="Average", P577 * 0.02, IF(PQ_Cleansing!L577="Poor", 0, 0))))</f>
        <v>0</v>
      </c>
      <c r="R577">
        <f>IFERROR(VALUE(SUBSTITUTE(SUBSTITUTE(PQ_Cleansing!I577, "$", ""), ",", "")), "")</f>
        <v>87816.61</v>
      </c>
    </row>
    <row r="578" spans="1:18" x14ac:dyDescent="0.25">
      <c r="A578" t="str">
        <f>PROPER(TRIM(CLEAN(RAW_DATA!A578)))</f>
        <v>Emp1576</v>
      </c>
      <c r="B578" t="str">
        <f>RAW_DATA!B578</f>
        <v>Frank</v>
      </c>
      <c r="C578" t="str">
        <f>RAW_DATA!C578</f>
        <v>Jones</v>
      </c>
      <c r="D578">
        <f>RAW_DATA!D578</f>
        <v>0</v>
      </c>
      <c r="E578" t="str">
        <f>RAW_DATA!E578</f>
        <v>Sales-Florida</v>
      </c>
      <c r="F578" t="str">
        <f t="shared" si="24"/>
        <v>Sales</v>
      </c>
      <c r="G578" t="str">
        <f t="shared" si="25"/>
        <v>Florida</v>
      </c>
      <c r="P578">
        <f t="shared" si="26"/>
        <v>70750.38</v>
      </c>
      <c r="Q578">
        <f>IF(PQ_Cleansing!L578="Excellent", P578 * 0.1, IF(PQ_Cleansing!L578="Good", P578 * 0.05, IF(PQ_Cleansing!L578="Average", P578 * 0.02, IF(PQ_Cleansing!L578="Poor", 0, 0))))</f>
        <v>0</v>
      </c>
      <c r="R578">
        <f>IFERROR(VALUE(SUBSTITUTE(SUBSTITUTE(PQ_Cleansing!I578, "$", ""), ",", "")), "")</f>
        <v>70750.38</v>
      </c>
    </row>
    <row r="579" spans="1:18" x14ac:dyDescent="0.25">
      <c r="A579" t="str">
        <f>PROPER(TRIM(CLEAN(RAW_DATA!A579)))</f>
        <v>Emp1577</v>
      </c>
      <c r="B579" t="str">
        <f>RAW_DATA!B579</f>
        <v>Frank</v>
      </c>
      <c r="C579" t="str">
        <f>RAW_DATA!C579</f>
        <v>Miller</v>
      </c>
      <c r="D579">
        <f>RAW_DATA!D579</f>
        <v>0</v>
      </c>
      <c r="E579" t="str">
        <f>RAW_DATA!E579</f>
        <v>Cloud Tech-Texas</v>
      </c>
      <c r="F579" t="str">
        <f t="shared" ref="F579:F642" si="27">LEFT(E579, FIND("-", E579) - 1)</f>
        <v>Cloud Tech</v>
      </c>
      <c r="G579" t="str">
        <f t="shared" ref="G579:G642" si="28">RIGHT(E579, LEN(E579) - FIND("-",E579))</f>
        <v>Texas</v>
      </c>
      <c r="P579">
        <f t="shared" ref="P579:P642" si="29">IF(ISNUMBER(R579), R579, AVERAGEIF($R$2:$R$1000, "&gt;0"))</f>
        <v>85268.279969293711</v>
      </c>
      <c r="Q579">
        <f>IF(PQ_Cleansing!L579="Excellent", P579 * 0.1, IF(PQ_Cleansing!L579="Good", P579 * 0.05, IF(PQ_Cleansing!L579="Average", P579 * 0.02, IF(PQ_Cleansing!L579="Poor", 0, 0))))</f>
        <v>8526.8279969293708</v>
      </c>
      <c r="R579" t="str">
        <f>IFERROR(VALUE(SUBSTITUTE(SUBSTITUTE(PQ_Cleansing!I579, "$", ""), ",", "")), "")</f>
        <v/>
      </c>
    </row>
    <row r="580" spans="1:18" x14ac:dyDescent="0.25">
      <c r="A580" t="str">
        <f>PROPER(TRIM(CLEAN(RAW_DATA!A580)))</f>
        <v>Emp1578</v>
      </c>
      <c r="B580" t="str">
        <f>RAW_DATA!B580</f>
        <v>Bob</v>
      </c>
      <c r="C580" t="str">
        <f>RAW_DATA!C580</f>
        <v>Johnson</v>
      </c>
      <c r="D580">
        <f>RAW_DATA!D580</f>
        <v>30</v>
      </c>
      <c r="E580" t="str">
        <f>RAW_DATA!E580</f>
        <v>DevOps-Nevada</v>
      </c>
      <c r="F580" t="str">
        <f t="shared" si="27"/>
        <v>DevOps</v>
      </c>
      <c r="G580" t="str">
        <f t="shared" si="28"/>
        <v>Nevada</v>
      </c>
      <c r="P580">
        <f t="shared" si="29"/>
        <v>97978.36</v>
      </c>
      <c r="Q580">
        <f>IF(PQ_Cleansing!L580="Excellent", P580 * 0.1, IF(PQ_Cleansing!L580="Good", P580 * 0.05, IF(PQ_Cleansing!L580="Average", P580 * 0.02, IF(PQ_Cleansing!L580="Poor", 0, 0))))</f>
        <v>0</v>
      </c>
      <c r="R580">
        <f>IFERROR(VALUE(SUBSTITUTE(SUBSTITUTE(PQ_Cleansing!I580, "$", ""), ",", "")), "")</f>
        <v>97978.36</v>
      </c>
    </row>
    <row r="581" spans="1:18" x14ac:dyDescent="0.25">
      <c r="A581" t="str">
        <f>PROPER(TRIM(CLEAN(RAW_DATA!A581)))</f>
        <v>Emp1579</v>
      </c>
      <c r="B581" t="str">
        <f>RAW_DATA!B581</f>
        <v>David</v>
      </c>
      <c r="C581" t="str">
        <f>RAW_DATA!C581</f>
        <v>Johnson</v>
      </c>
      <c r="D581">
        <f>RAW_DATA!D581</f>
        <v>0</v>
      </c>
      <c r="E581" t="str">
        <f>RAW_DATA!E581</f>
        <v>DevOps-Nevada</v>
      </c>
      <c r="F581" t="str">
        <f t="shared" si="27"/>
        <v>DevOps</v>
      </c>
      <c r="G581" t="str">
        <f t="shared" si="28"/>
        <v>Nevada</v>
      </c>
      <c r="P581">
        <f t="shared" si="29"/>
        <v>107172.8</v>
      </c>
      <c r="Q581">
        <f>IF(PQ_Cleansing!L581="Excellent", P581 * 0.1, IF(PQ_Cleansing!L581="Good", P581 * 0.05, IF(PQ_Cleansing!L581="Average", P581 * 0.02, IF(PQ_Cleansing!L581="Poor", 0, 0))))</f>
        <v>10717.28</v>
      </c>
      <c r="R581">
        <f>IFERROR(VALUE(SUBSTITUTE(SUBSTITUTE(PQ_Cleansing!I581, "$", ""), ",", "")), "")</f>
        <v>107172.8</v>
      </c>
    </row>
    <row r="582" spans="1:18" x14ac:dyDescent="0.25">
      <c r="A582" t="str">
        <f>PROPER(TRIM(CLEAN(RAW_DATA!A582)))</f>
        <v>Emp1580</v>
      </c>
      <c r="B582" t="str">
        <f>RAW_DATA!B582</f>
        <v>Charlie</v>
      </c>
      <c r="C582" t="str">
        <f>RAW_DATA!C582</f>
        <v>Miller</v>
      </c>
      <c r="D582">
        <f>RAW_DATA!D582</f>
        <v>25</v>
      </c>
      <c r="E582" t="str">
        <f>RAW_DATA!E582</f>
        <v>Finance-Nevada</v>
      </c>
      <c r="F582" t="str">
        <f t="shared" si="27"/>
        <v>Finance</v>
      </c>
      <c r="G582" t="str">
        <f t="shared" si="28"/>
        <v>Nevada</v>
      </c>
      <c r="P582">
        <f t="shared" si="29"/>
        <v>56126.46</v>
      </c>
      <c r="Q582">
        <f>IF(PQ_Cleansing!L582="Excellent", P582 * 0.1, IF(PQ_Cleansing!L582="Good", P582 * 0.05, IF(PQ_Cleansing!L582="Average", P582 * 0.02, IF(PQ_Cleansing!L582="Poor", 0, 0))))</f>
        <v>0</v>
      </c>
      <c r="R582">
        <f>IFERROR(VALUE(SUBSTITUTE(SUBSTITUTE(PQ_Cleansing!I582, "$", ""), ",", "")), "")</f>
        <v>56126.46</v>
      </c>
    </row>
    <row r="583" spans="1:18" x14ac:dyDescent="0.25">
      <c r="A583" t="str">
        <f>PROPER(TRIM(CLEAN(RAW_DATA!A583)))</f>
        <v>Emp1581</v>
      </c>
      <c r="B583" t="str">
        <f>RAW_DATA!B583</f>
        <v>Eva</v>
      </c>
      <c r="C583" t="str">
        <f>RAW_DATA!C583</f>
        <v>Smith</v>
      </c>
      <c r="D583">
        <f>RAW_DATA!D583</f>
        <v>0</v>
      </c>
      <c r="E583" t="str">
        <f>RAW_DATA!E583</f>
        <v>Cloud Tech-Illinois</v>
      </c>
      <c r="F583" t="str">
        <f t="shared" si="27"/>
        <v>Cloud Tech</v>
      </c>
      <c r="G583" t="str">
        <f t="shared" si="28"/>
        <v>Illinois</v>
      </c>
      <c r="P583">
        <f t="shared" si="29"/>
        <v>78534.289999999994</v>
      </c>
      <c r="Q583">
        <f>IF(PQ_Cleansing!L583="Excellent", P583 * 0.1, IF(PQ_Cleansing!L583="Good", P583 * 0.05, IF(PQ_Cleansing!L583="Average", P583 * 0.02, IF(PQ_Cleansing!L583="Poor", 0, 0))))</f>
        <v>1570.6858</v>
      </c>
      <c r="R583">
        <f>IFERROR(VALUE(SUBSTITUTE(SUBSTITUTE(PQ_Cleansing!I583, "$", ""), ",", "")), "")</f>
        <v>78534.289999999994</v>
      </c>
    </row>
    <row r="584" spans="1:18" x14ac:dyDescent="0.25">
      <c r="A584" t="str">
        <f>PROPER(TRIM(CLEAN(RAW_DATA!A584)))</f>
        <v>Emp1582</v>
      </c>
      <c r="B584" t="str">
        <f>RAW_DATA!B584</f>
        <v>Grace</v>
      </c>
      <c r="C584" t="str">
        <f>RAW_DATA!C584</f>
        <v>Brown</v>
      </c>
      <c r="D584">
        <f>RAW_DATA!D584</f>
        <v>40</v>
      </c>
      <c r="E584" t="str">
        <f>RAW_DATA!E584</f>
        <v>HR-Texas</v>
      </c>
      <c r="F584" t="str">
        <f t="shared" si="27"/>
        <v>HR</v>
      </c>
      <c r="G584" t="str">
        <f t="shared" si="28"/>
        <v>Texas</v>
      </c>
      <c r="P584">
        <f t="shared" si="29"/>
        <v>85268.279969293711</v>
      </c>
      <c r="Q584">
        <f>IF(PQ_Cleansing!L584="Excellent", P584 * 0.1, IF(PQ_Cleansing!L584="Good", P584 * 0.05, IF(PQ_Cleansing!L584="Average", P584 * 0.02, IF(PQ_Cleansing!L584="Poor", 0, 0))))</f>
        <v>4263.4139984646854</v>
      </c>
      <c r="R584" t="str">
        <f>IFERROR(VALUE(SUBSTITUTE(SUBSTITUTE(PQ_Cleansing!I584, "$", ""), ",", "")), "")</f>
        <v/>
      </c>
    </row>
    <row r="585" spans="1:18" x14ac:dyDescent="0.25">
      <c r="A585" t="str">
        <f>PROPER(TRIM(CLEAN(RAW_DATA!A585)))</f>
        <v>Emp1583</v>
      </c>
      <c r="B585" t="str">
        <f>RAW_DATA!B585</f>
        <v>Bob</v>
      </c>
      <c r="C585" t="str">
        <f>RAW_DATA!C585</f>
        <v>Johnson</v>
      </c>
      <c r="D585">
        <f>RAW_DATA!D585</f>
        <v>0</v>
      </c>
      <c r="E585" t="str">
        <f>RAW_DATA!E585</f>
        <v>Cloud Tech-Nevada</v>
      </c>
      <c r="F585" t="str">
        <f t="shared" si="27"/>
        <v>Cloud Tech</v>
      </c>
      <c r="G585" t="str">
        <f t="shared" si="28"/>
        <v>Nevada</v>
      </c>
      <c r="P585">
        <f t="shared" si="29"/>
        <v>114963.34</v>
      </c>
      <c r="Q585">
        <f>IF(PQ_Cleansing!L585="Excellent", P585 * 0.1, IF(PQ_Cleansing!L585="Good", P585 * 0.05, IF(PQ_Cleansing!L585="Average", P585 * 0.02, IF(PQ_Cleansing!L585="Poor", 0, 0))))</f>
        <v>11496.334000000001</v>
      </c>
      <c r="R585">
        <f>IFERROR(VALUE(SUBSTITUTE(SUBSTITUTE(PQ_Cleansing!I585, "$", ""), ",", "")), "")</f>
        <v>114963.34</v>
      </c>
    </row>
    <row r="586" spans="1:18" x14ac:dyDescent="0.25">
      <c r="A586" t="str">
        <f>PROPER(TRIM(CLEAN(RAW_DATA!A586)))</f>
        <v>Emp1584</v>
      </c>
      <c r="B586" t="str">
        <f>RAW_DATA!B586</f>
        <v>Eva</v>
      </c>
      <c r="C586" t="str">
        <f>RAW_DATA!C586</f>
        <v>Miller</v>
      </c>
      <c r="D586">
        <f>RAW_DATA!D586</f>
        <v>0</v>
      </c>
      <c r="E586" t="str">
        <f>RAW_DATA!E586</f>
        <v>Cloud Tech-California</v>
      </c>
      <c r="F586" t="str">
        <f t="shared" si="27"/>
        <v>Cloud Tech</v>
      </c>
      <c r="G586" t="str">
        <f t="shared" si="28"/>
        <v>California</v>
      </c>
      <c r="P586">
        <f t="shared" si="29"/>
        <v>77657.929999999993</v>
      </c>
      <c r="Q586">
        <f>IF(PQ_Cleansing!L586="Excellent", P586 * 0.1, IF(PQ_Cleansing!L586="Good", P586 * 0.05, IF(PQ_Cleansing!L586="Average", P586 * 0.02, IF(PQ_Cleansing!L586="Poor", 0, 0))))</f>
        <v>0</v>
      </c>
      <c r="R586">
        <f>IFERROR(VALUE(SUBSTITUTE(SUBSTITUTE(PQ_Cleansing!I586, "$", ""), ",", "")), "")</f>
        <v>77657.929999999993</v>
      </c>
    </row>
    <row r="587" spans="1:18" x14ac:dyDescent="0.25">
      <c r="A587" t="str">
        <f>PROPER(TRIM(CLEAN(RAW_DATA!A587)))</f>
        <v>Emp1585</v>
      </c>
      <c r="B587" t="str">
        <f>RAW_DATA!B587</f>
        <v>Heidi</v>
      </c>
      <c r="C587" t="str">
        <f>RAW_DATA!C587</f>
        <v>Davis</v>
      </c>
      <c r="D587">
        <f>RAW_DATA!D587</f>
        <v>30</v>
      </c>
      <c r="E587" t="str">
        <f>RAW_DATA!E587</f>
        <v>Sales-New York</v>
      </c>
      <c r="F587" t="str">
        <f t="shared" si="27"/>
        <v>Sales</v>
      </c>
      <c r="G587" t="str">
        <f t="shared" si="28"/>
        <v>New York</v>
      </c>
      <c r="P587">
        <f t="shared" si="29"/>
        <v>77369.48</v>
      </c>
      <c r="Q587">
        <f>IF(PQ_Cleansing!L587="Excellent", P587 * 0.1, IF(PQ_Cleansing!L587="Good", P587 * 0.05, IF(PQ_Cleansing!L587="Average", P587 * 0.02, IF(PQ_Cleansing!L587="Poor", 0, 0))))</f>
        <v>1547.3896</v>
      </c>
      <c r="R587">
        <f>IFERROR(VALUE(SUBSTITUTE(SUBSTITUTE(PQ_Cleansing!I587, "$", ""), ",", "")), "")</f>
        <v>77369.48</v>
      </c>
    </row>
    <row r="588" spans="1:18" x14ac:dyDescent="0.25">
      <c r="A588" t="str">
        <f>PROPER(TRIM(CLEAN(RAW_DATA!A588)))</f>
        <v>Emp1586</v>
      </c>
      <c r="B588" t="str">
        <f>RAW_DATA!B588</f>
        <v>Eva</v>
      </c>
      <c r="C588" t="str">
        <f>RAW_DATA!C588</f>
        <v>Miller</v>
      </c>
      <c r="D588">
        <f>RAW_DATA!D588</f>
        <v>30</v>
      </c>
      <c r="E588" t="str">
        <f>RAW_DATA!E588</f>
        <v>HR-Nevada</v>
      </c>
      <c r="F588" t="str">
        <f t="shared" si="27"/>
        <v>HR</v>
      </c>
      <c r="G588" t="str">
        <f t="shared" si="28"/>
        <v>Nevada</v>
      </c>
      <c r="P588">
        <f t="shared" si="29"/>
        <v>76119.14</v>
      </c>
      <c r="Q588">
        <f>IF(PQ_Cleansing!L588="Excellent", P588 * 0.1, IF(PQ_Cleansing!L588="Good", P588 * 0.05, IF(PQ_Cleansing!L588="Average", P588 * 0.02, IF(PQ_Cleansing!L588="Poor", 0, 0))))</f>
        <v>3805.9570000000003</v>
      </c>
      <c r="R588">
        <f>IFERROR(VALUE(SUBSTITUTE(SUBSTITUTE(PQ_Cleansing!I588, "$", ""), ",", "")), "")</f>
        <v>76119.14</v>
      </c>
    </row>
    <row r="589" spans="1:18" x14ac:dyDescent="0.25">
      <c r="A589" t="str">
        <f>PROPER(TRIM(CLEAN(RAW_DATA!A589)))</f>
        <v>Emp1587</v>
      </c>
      <c r="B589" t="str">
        <f>RAW_DATA!B589</f>
        <v>Charlie</v>
      </c>
      <c r="C589" t="str">
        <f>RAW_DATA!C589</f>
        <v>Williams</v>
      </c>
      <c r="D589">
        <f>RAW_DATA!D589</f>
        <v>25</v>
      </c>
      <c r="E589" t="str">
        <f>RAW_DATA!E589</f>
        <v>Cloud Tech-Texas</v>
      </c>
      <c r="F589" t="str">
        <f t="shared" si="27"/>
        <v>Cloud Tech</v>
      </c>
      <c r="G589" t="str">
        <f t="shared" si="28"/>
        <v>Texas</v>
      </c>
      <c r="P589">
        <f t="shared" si="29"/>
        <v>77585.72</v>
      </c>
      <c r="Q589">
        <f>IF(PQ_Cleansing!L589="Excellent", P589 * 0.1, IF(PQ_Cleansing!L589="Good", P589 * 0.05, IF(PQ_Cleansing!L589="Average", P589 * 0.02, IF(PQ_Cleansing!L589="Poor", 0, 0))))</f>
        <v>7758.5720000000001</v>
      </c>
      <c r="R589">
        <f>IFERROR(VALUE(SUBSTITUTE(SUBSTITUTE(PQ_Cleansing!I589, "$", ""), ",", "")), "")</f>
        <v>77585.72</v>
      </c>
    </row>
    <row r="590" spans="1:18" x14ac:dyDescent="0.25">
      <c r="A590" t="str">
        <f>PROPER(TRIM(CLEAN(RAW_DATA!A590)))</f>
        <v>Emp1588</v>
      </c>
      <c r="B590" t="str">
        <f>RAW_DATA!B590</f>
        <v>Bob</v>
      </c>
      <c r="C590" t="str">
        <f>RAW_DATA!C590</f>
        <v>Brown</v>
      </c>
      <c r="D590">
        <f>RAW_DATA!D590</f>
        <v>35</v>
      </c>
      <c r="E590" t="str">
        <f>RAW_DATA!E590</f>
        <v>Admin-Nevada</v>
      </c>
      <c r="F590" t="str">
        <f t="shared" si="27"/>
        <v>Admin</v>
      </c>
      <c r="G590" t="str">
        <f t="shared" si="28"/>
        <v>Nevada</v>
      </c>
      <c r="P590">
        <f t="shared" si="29"/>
        <v>74069.62</v>
      </c>
      <c r="Q590">
        <f>IF(PQ_Cleansing!L590="Excellent", P590 * 0.1, IF(PQ_Cleansing!L590="Good", P590 * 0.05, IF(PQ_Cleansing!L590="Average", P590 * 0.02, IF(PQ_Cleansing!L590="Poor", 0, 0))))</f>
        <v>3703.4809999999998</v>
      </c>
      <c r="R590">
        <f>IFERROR(VALUE(SUBSTITUTE(SUBSTITUTE(PQ_Cleansing!I590, "$", ""), ",", "")), "")</f>
        <v>74069.62</v>
      </c>
    </row>
    <row r="591" spans="1:18" x14ac:dyDescent="0.25">
      <c r="A591" t="str">
        <f>PROPER(TRIM(CLEAN(RAW_DATA!A591)))</f>
        <v>Emp1589</v>
      </c>
      <c r="B591" t="str">
        <f>RAW_DATA!B591</f>
        <v>Charlie</v>
      </c>
      <c r="C591" t="str">
        <f>RAW_DATA!C591</f>
        <v>Jones</v>
      </c>
      <c r="D591">
        <f>RAW_DATA!D591</f>
        <v>30</v>
      </c>
      <c r="E591" t="str">
        <f>RAW_DATA!E591</f>
        <v>Admin-New York</v>
      </c>
      <c r="F591" t="str">
        <f t="shared" si="27"/>
        <v>Admin</v>
      </c>
      <c r="G591" t="str">
        <f t="shared" si="28"/>
        <v>New York</v>
      </c>
      <c r="P591">
        <f t="shared" si="29"/>
        <v>67691.92</v>
      </c>
      <c r="Q591">
        <f>IF(PQ_Cleansing!L591="Excellent", P591 * 0.1, IF(PQ_Cleansing!L591="Good", P591 * 0.05, IF(PQ_Cleansing!L591="Average", P591 * 0.02, IF(PQ_Cleansing!L591="Poor", 0, 0))))</f>
        <v>1353.8384000000001</v>
      </c>
      <c r="R591">
        <f>IFERROR(VALUE(SUBSTITUTE(SUBSTITUTE(PQ_Cleansing!I591, "$", ""), ",", "")), "")</f>
        <v>67691.92</v>
      </c>
    </row>
    <row r="592" spans="1:18" x14ac:dyDescent="0.25">
      <c r="A592" t="str">
        <f>PROPER(TRIM(CLEAN(RAW_DATA!A592)))</f>
        <v>Emp1590</v>
      </c>
      <c r="B592" t="str">
        <f>RAW_DATA!B592</f>
        <v>Alice</v>
      </c>
      <c r="C592" t="str">
        <f>RAW_DATA!C592</f>
        <v>Smith</v>
      </c>
      <c r="D592">
        <f>RAW_DATA!D592</f>
        <v>0</v>
      </c>
      <c r="E592" t="str">
        <f>RAW_DATA!E592</f>
        <v>Finance-Nevada</v>
      </c>
      <c r="F592" t="str">
        <f t="shared" si="27"/>
        <v>Finance</v>
      </c>
      <c r="G592" t="str">
        <f t="shared" si="28"/>
        <v>Nevada</v>
      </c>
      <c r="P592">
        <f t="shared" si="29"/>
        <v>70345.69</v>
      </c>
      <c r="Q592">
        <f>IF(PQ_Cleansing!L592="Excellent", P592 * 0.1, IF(PQ_Cleansing!L592="Good", P592 * 0.05, IF(PQ_Cleansing!L592="Average", P592 * 0.02, IF(PQ_Cleansing!L592="Poor", 0, 0))))</f>
        <v>7034.5690000000004</v>
      </c>
      <c r="R592">
        <f>IFERROR(VALUE(SUBSTITUTE(SUBSTITUTE(PQ_Cleansing!I592, "$", ""), ",", "")), "")</f>
        <v>70345.69</v>
      </c>
    </row>
    <row r="593" spans="1:18" x14ac:dyDescent="0.25">
      <c r="A593" t="str">
        <f>PROPER(TRIM(CLEAN(RAW_DATA!A593)))</f>
        <v>Emp1591</v>
      </c>
      <c r="B593" t="str">
        <f>RAW_DATA!B593</f>
        <v>Bob</v>
      </c>
      <c r="C593" t="str">
        <f>RAW_DATA!C593</f>
        <v>Garcia</v>
      </c>
      <c r="D593">
        <f>RAW_DATA!D593</f>
        <v>30</v>
      </c>
      <c r="E593" t="str">
        <f>RAW_DATA!E593</f>
        <v>DevOps-Illinois</v>
      </c>
      <c r="F593" t="str">
        <f t="shared" si="27"/>
        <v>DevOps</v>
      </c>
      <c r="G593" t="str">
        <f t="shared" si="28"/>
        <v>Illinois</v>
      </c>
      <c r="P593">
        <f t="shared" si="29"/>
        <v>74999.69</v>
      </c>
      <c r="Q593">
        <f>IF(PQ_Cleansing!L593="Excellent", P593 * 0.1, IF(PQ_Cleansing!L593="Good", P593 * 0.05, IF(PQ_Cleansing!L593="Average", P593 * 0.02, IF(PQ_Cleansing!L593="Poor", 0, 0))))</f>
        <v>3749.9845000000005</v>
      </c>
      <c r="R593">
        <f>IFERROR(VALUE(SUBSTITUTE(SUBSTITUTE(PQ_Cleansing!I593, "$", ""), ",", "")), "")</f>
        <v>74999.69</v>
      </c>
    </row>
    <row r="594" spans="1:18" x14ac:dyDescent="0.25">
      <c r="A594" t="str">
        <f>PROPER(TRIM(CLEAN(RAW_DATA!A594)))</f>
        <v>Emp1592</v>
      </c>
      <c r="B594" t="str">
        <f>RAW_DATA!B594</f>
        <v>David</v>
      </c>
      <c r="C594" t="str">
        <f>RAW_DATA!C594</f>
        <v>Jones</v>
      </c>
      <c r="D594">
        <f>RAW_DATA!D594</f>
        <v>25</v>
      </c>
      <c r="E594" t="str">
        <f>RAW_DATA!E594</f>
        <v>HR-Illinois</v>
      </c>
      <c r="F594" t="str">
        <f t="shared" si="27"/>
        <v>HR</v>
      </c>
      <c r="G594" t="str">
        <f t="shared" si="28"/>
        <v>Illinois</v>
      </c>
      <c r="P594">
        <f t="shared" si="29"/>
        <v>72245.02</v>
      </c>
      <c r="Q594">
        <f>IF(PQ_Cleansing!L594="Excellent", P594 * 0.1, IF(PQ_Cleansing!L594="Good", P594 * 0.05, IF(PQ_Cleansing!L594="Average", P594 * 0.02, IF(PQ_Cleansing!L594="Poor", 0, 0))))</f>
        <v>0</v>
      </c>
      <c r="R594">
        <f>IFERROR(VALUE(SUBSTITUTE(SUBSTITUTE(PQ_Cleansing!I594, "$", ""), ",", "")), "")</f>
        <v>72245.02</v>
      </c>
    </row>
    <row r="595" spans="1:18" x14ac:dyDescent="0.25">
      <c r="A595" t="str">
        <f>PROPER(TRIM(CLEAN(RAW_DATA!A595)))</f>
        <v>Emp1593</v>
      </c>
      <c r="B595" t="str">
        <f>RAW_DATA!B595</f>
        <v>Eva</v>
      </c>
      <c r="C595" t="str">
        <f>RAW_DATA!C595</f>
        <v>Brown</v>
      </c>
      <c r="D595">
        <f>RAW_DATA!D595</f>
        <v>0</v>
      </c>
      <c r="E595" t="str">
        <f>RAW_DATA!E595</f>
        <v>Admin-Illinois</v>
      </c>
      <c r="F595" t="str">
        <f t="shared" si="27"/>
        <v>Admin</v>
      </c>
      <c r="G595" t="str">
        <f t="shared" si="28"/>
        <v>Illinois</v>
      </c>
      <c r="P595">
        <f t="shared" si="29"/>
        <v>106538.98</v>
      </c>
      <c r="Q595">
        <f>IF(PQ_Cleansing!L595="Excellent", P595 * 0.1, IF(PQ_Cleansing!L595="Good", P595 * 0.05, IF(PQ_Cleansing!L595="Average", P595 * 0.02, IF(PQ_Cleansing!L595="Poor", 0, 0))))</f>
        <v>10653.898000000001</v>
      </c>
      <c r="R595">
        <f>IFERROR(VALUE(SUBSTITUTE(SUBSTITUTE(PQ_Cleansing!I595, "$", ""), ",", "")), "")</f>
        <v>106538.98</v>
      </c>
    </row>
    <row r="596" spans="1:18" x14ac:dyDescent="0.25">
      <c r="A596" t="str">
        <f>PROPER(TRIM(CLEAN(RAW_DATA!A596)))</f>
        <v>Emp1594</v>
      </c>
      <c r="B596" t="str">
        <f>RAW_DATA!B596</f>
        <v>Charlie</v>
      </c>
      <c r="C596" t="str">
        <f>RAW_DATA!C596</f>
        <v>Brown</v>
      </c>
      <c r="D596">
        <f>RAW_DATA!D596</f>
        <v>25</v>
      </c>
      <c r="E596" t="str">
        <f>RAW_DATA!E596</f>
        <v>HR-New York</v>
      </c>
      <c r="F596" t="str">
        <f t="shared" si="27"/>
        <v>HR</v>
      </c>
      <c r="G596" t="str">
        <f t="shared" si="28"/>
        <v>New York</v>
      </c>
      <c r="P596">
        <f t="shared" si="29"/>
        <v>101787.14</v>
      </c>
      <c r="Q596">
        <f>IF(PQ_Cleansing!L596="Excellent", P596 * 0.1, IF(PQ_Cleansing!L596="Good", P596 * 0.05, IF(PQ_Cleansing!L596="Average", P596 * 0.02, IF(PQ_Cleansing!L596="Poor", 0, 0))))</f>
        <v>5089.357</v>
      </c>
      <c r="R596">
        <f>IFERROR(VALUE(SUBSTITUTE(SUBSTITUTE(PQ_Cleansing!I596, "$", ""), ",", "")), "")</f>
        <v>101787.14</v>
      </c>
    </row>
    <row r="597" spans="1:18" x14ac:dyDescent="0.25">
      <c r="A597" t="str">
        <f>PROPER(TRIM(CLEAN(RAW_DATA!A597)))</f>
        <v>Emp1595</v>
      </c>
      <c r="B597" t="str">
        <f>RAW_DATA!B597</f>
        <v>Frank</v>
      </c>
      <c r="C597" t="str">
        <f>RAW_DATA!C597</f>
        <v>Brown</v>
      </c>
      <c r="D597">
        <f>RAW_DATA!D597</f>
        <v>30</v>
      </c>
      <c r="E597" t="str">
        <f>RAW_DATA!E597</f>
        <v>DevOps-Nevada</v>
      </c>
      <c r="F597" t="str">
        <f t="shared" si="27"/>
        <v>DevOps</v>
      </c>
      <c r="G597" t="str">
        <f t="shared" si="28"/>
        <v>Nevada</v>
      </c>
      <c r="P597">
        <f t="shared" si="29"/>
        <v>83596.78</v>
      </c>
      <c r="Q597">
        <f>IF(PQ_Cleansing!L597="Excellent", P597 * 0.1, IF(PQ_Cleansing!L597="Good", P597 * 0.05, IF(PQ_Cleansing!L597="Average", P597 * 0.02, IF(PQ_Cleansing!L597="Poor", 0, 0))))</f>
        <v>1671.9356</v>
      </c>
      <c r="R597">
        <f>IFERROR(VALUE(SUBSTITUTE(SUBSTITUTE(PQ_Cleansing!I597, "$", ""), ",", "")), "")</f>
        <v>83596.78</v>
      </c>
    </row>
    <row r="598" spans="1:18" x14ac:dyDescent="0.25">
      <c r="A598" t="str">
        <f>PROPER(TRIM(CLEAN(RAW_DATA!A598)))</f>
        <v>Emp1596</v>
      </c>
      <c r="B598" t="str">
        <f>RAW_DATA!B598</f>
        <v>Eva</v>
      </c>
      <c r="C598" t="str">
        <f>RAW_DATA!C598</f>
        <v>Jones</v>
      </c>
      <c r="D598">
        <f>RAW_DATA!D598</f>
        <v>40</v>
      </c>
      <c r="E598" t="str">
        <f>RAW_DATA!E598</f>
        <v>Sales-Texas</v>
      </c>
      <c r="F598" t="str">
        <f t="shared" si="27"/>
        <v>Sales</v>
      </c>
      <c r="G598" t="str">
        <f t="shared" si="28"/>
        <v>Texas</v>
      </c>
      <c r="P598">
        <f t="shared" si="29"/>
        <v>92463.94</v>
      </c>
      <c r="Q598">
        <f>IF(PQ_Cleansing!L598="Excellent", P598 * 0.1, IF(PQ_Cleansing!L598="Good", P598 * 0.05, IF(PQ_Cleansing!L598="Average", P598 * 0.02, IF(PQ_Cleansing!L598="Poor", 0, 0))))</f>
        <v>1849.2788</v>
      </c>
      <c r="R598">
        <f>IFERROR(VALUE(SUBSTITUTE(SUBSTITUTE(PQ_Cleansing!I598, "$", ""), ",", "")), "")</f>
        <v>92463.94</v>
      </c>
    </row>
    <row r="599" spans="1:18" x14ac:dyDescent="0.25">
      <c r="A599" t="str">
        <f>PROPER(TRIM(CLEAN(RAW_DATA!A599)))</f>
        <v>Emp1597</v>
      </c>
      <c r="B599" t="str">
        <f>RAW_DATA!B599</f>
        <v>Charlie</v>
      </c>
      <c r="C599" t="str">
        <f>RAW_DATA!C599</f>
        <v>Davis</v>
      </c>
      <c r="D599">
        <f>RAW_DATA!D599</f>
        <v>0</v>
      </c>
      <c r="E599" t="str">
        <f>RAW_DATA!E599</f>
        <v>Admin-California</v>
      </c>
      <c r="F599" t="str">
        <f t="shared" si="27"/>
        <v>Admin</v>
      </c>
      <c r="G599" t="str">
        <f t="shared" si="28"/>
        <v>California</v>
      </c>
      <c r="P599">
        <f t="shared" si="29"/>
        <v>93863.32</v>
      </c>
      <c r="Q599">
        <f>IF(PQ_Cleansing!L599="Excellent", P599 * 0.1, IF(PQ_Cleansing!L599="Good", P599 * 0.05, IF(PQ_Cleansing!L599="Average", P599 * 0.02, IF(PQ_Cleansing!L599="Poor", 0, 0))))</f>
        <v>9386.3320000000003</v>
      </c>
      <c r="R599">
        <f>IFERROR(VALUE(SUBSTITUTE(SUBSTITUTE(PQ_Cleansing!I599, "$", ""), ",", "")), "")</f>
        <v>93863.32</v>
      </c>
    </row>
    <row r="600" spans="1:18" x14ac:dyDescent="0.25">
      <c r="A600" t="str">
        <f>PROPER(TRIM(CLEAN(RAW_DATA!A600)))</f>
        <v>Emp1598</v>
      </c>
      <c r="B600" t="str">
        <f>RAW_DATA!B600</f>
        <v>Alice</v>
      </c>
      <c r="C600" t="str">
        <f>RAW_DATA!C600</f>
        <v>Brown</v>
      </c>
      <c r="D600">
        <f>RAW_DATA!D600</f>
        <v>0</v>
      </c>
      <c r="E600" t="str">
        <f>RAW_DATA!E600</f>
        <v>DevOps-Texas</v>
      </c>
      <c r="F600" t="str">
        <f t="shared" si="27"/>
        <v>DevOps</v>
      </c>
      <c r="G600" t="str">
        <f t="shared" si="28"/>
        <v>Texas</v>
      </c>
      <c r="P600">
        <f t="shared" si="29"/>
        <v>78359.41</v>
      </c>
      <c r="Q600">
        <f>IF(PQ_Cleansing!L600="Excellent", P600 * 0.1, IF(PQ_Cleansing!L600="Good", P600 * 0.05, IF(PQ_Cleansing!L600="Average", P600 * 0.02, IF(PQ_Cleansing!L600="Poor", 0, 0))))</f>
        <v>3917.9705000000004</v>
      </c>
      <c r="R600">
        <f>IFERROR(VALUE(SUBSTITUTE(SUBSTITUTE(PQ_Cleansing!I600, "$", ""), ",", "")), "")</f>
        <v>78359.41</v>
      </c>
    </row>
    <row r="601" spans="1:18" x14ac:dyDescent="0.25">
      <c r="A601" t="str">
        <f>PROPER(TRIM(CLEAN(RAW_DATA!A601)))</f>
        <v>Emp1599</v>
      </c>
      <c r="B601" t="str">
        <f>RAW_DATA!B601</f>
        <v>Alice</v>
      </c>
      <c r="C601" t="str">
        <f>RAW_DATA!C601</f>
        <v>Miller</v>
      </c>
      <c r="D601">
        <f>RAW_DATA!D601</f>
        <v>0</v>
      </c>
      <c r="E601" t="str">
        <f>RAW_DATA!E601</f>
        <v>HR-Illinois</v>
      </c>
      <c r="F601" t="str">
        <f t="shared" si="27"/>
        <v>HR</v>
      </c>
      <c r="G601" t="str">
        <f t="shared" si="28"/>
        <v>Illinois</v>
      </c>
      <c r="P601">
        <f t="shared" si="29"/>
        <v>95773.57</v>
      </c>
      <c r="Q601">
        <f>IF(PQ_Cleansing!L601="Excellent", P601 * 0.1, IF(PQ_Cleansing!L601="Good", P601 * 0.05, IF(PQ_Cleansing!L601="Average", P601 * 0.02, IF(PQ_Cleansing!L601="Poor", 0, 0))))</f>
        <v>9577.3570000000018</v>
      </c>
      <c r="R601">
        <f>IFERROR(VALUE(SUBSTITUTE(SUBSTITUTE(PQ_Cleansing!I601, "$", ""), ",", "")), "")</f>
        <v>95773.57</v>
      </c>
    </row>
    <row r="602" spans="1:18" x14ac:dyDescent="0.25">
      <c r="A602" t="str">
        <f>PROPER(TRIM(CLEAN(RAW_DATA!A602)))</f>
        <v>Emp1600</v>
      </c>
      <c r="B602" t="str">
        <f>RAW_DATA!B602</f>
        <v>Grace</v>
      </c>
      <c r="C602" t="str">
        <f>RAW_DATA!C602</f>
        <v>Jones</v>
      </c>
      <c r="D602">
        <f>RAW_DATA!D602</f>
        <v>30</v>
      </c>
      <c r="E602" t="str">
        <f>RAW_DATA!E602</f>
        <v>Sales-Nevada</v>
      </c>
      <c r="F602" t="str">
        <f t="shared" si="27"/>
        <v>Sales</v>
      </c>
      <c r="G602" t="str">
        <f t="shared" si="28"/>
        <v>Nevada</v>
      </c>
      <c r="P602">
        <f t="shared" si="29"/>
        <v>82529.08</v>
      </c>
      <c r="Q602">
        <f>IF(PQ_Cleansing!L602="Excellent", P602 * 0.1, IF(PQ_Cleansing!L602="Good", P602 * 0.05, IF(PQ_Cleansing!L602="Average", P602 * 0.02, IF(PQ_Cleansing!L602="Poor", 0, 0))))</f>
        <v>8252.9080000000013</v>
      </c>
      <c r="R602">
        <f>IFERROR(VALUE(SUBSTITUTE(SUBSTITUTE(PQ_Cleansing!I602, "$", ""), ",", "")), "")</f>
        <v>82529.08</v>
      </c>
    </row>
    <row r="603" spans="1:18" x14ac:dyDescent="0.25">
      <c r="A603" t="str">
        <f>PROPER(TRIM(CLEAN(RAW_DATA!A603)))</f>
        <v>Emp1601</v>
      </c>
      <c r="B603" t="str">
        <f>RAW_DATA!B603</f>
        <v>Grace</v>
      </c>
      <c r="C603" t="str">
        <f>RAW_DATA!C603</f>
        <v>Garcia</v>
      </c>
      <c r="D603">
        <f>RAW_DATA!D603</f>
        <v>35</v>
      </c>
      <c r="E603" t="str">
        <f>RAW_DATA!E603</f>
        <v>Sales-Texas</v>
      </c>
      <c r="F603" t="str">
        <f t="shared" si="27"/>
        <v>Sales</v>
      </c>
      <c r="G603" t="str">
        <f t="shared" si="28"/>
        <v>Texas</v>
      </c>
      <c r="P603">
        <f t="shared" si="29"/>
        <v>109358.73</v>
      </c>
      <c r="Q603">
        <f>IF(PQ_Cleansing!L603="Excellent", P603 * 0.1, IF(PQ_Cleansing!L603="Good", P603 * 0.05, IF(PQ_Cleansing!L603="Average", P603 * 0.02, IF(PQ_Cleansing!L603="Poor", 0, 0))))</f>
        <v>5467.9364999999998</v>
      </c>
      <c r="R603">
        <f>IFERROR(VALUE(SUBSTITUTE(SUBSTITUTE(PQ_Cleansing!I603, "$", ""), ",", "")), "")</f>
        <v>109358.73</v>
      </c>
    </row>
    <row r="604" spans="1:18" x14ac:dyDescent="0.25">
      <c r="A604" t="str">
        <f>PROPER(TRIM(CLEAN(RAW_DATA!A604)))</f>
        <v>Emp1602</v>
      </c>
      <c r="B604" t="str">
        <f>RAW_DATA!B604</f>
        <v>Charlie</v>
      </c>
      <c r="C604" t="str">
        <f>RAW_DATA!C604</f>
        <v>Brown</v>
      </c>
      <c r="D604">
        <f>RAW_DATA!D604</f>
        <v>0</v>
      </c>
      <c r="E604" t="str">
        <f>RAW_DATA!E604</f>
        <v>Admin-Florida</v>
      </c>
      <c r="F604" t="str">
        <f t="shared" si="27"/>
        <v>Admin</v>
      </c>
      <c r="G604" t="str">
        <f t="shared" si="28"/>
        <v>Florida</v>
      </c>
      <c r="P604">
        <f t="shared" si="29"/>
        <v>89645.01</v>
      </c>
      <c r="Q604">
        <f>IF(PQ_Cleansing!L604="Excellent", P604 * 0.1, IF(PQ_Cleansing!L604="Good", P604 * 0.05, IF(PQ_Cleansing!L604="Average", P604 * 0.02, IF(PQ_Cleansing!L604="Poor", 0, 0))))</f>
        <v>4482.2505000000001</v>
      </c>
      <c r="R604">
        <f>IFERROR(VALUE(SUBSTITUTE(SUBSTITUTE(PQ_Cleansing!I604, "$", ""), ",", "")), "")</f>
        <v>89645.01</v>
      </c>
    </row>
    <row r="605" spans="1:18" x14ac:dyDescent="0.25">
      <c r="A605" t="str">
        <f>PROPER(TRIM(CLEAN(RAW_DATA!A605)))</f>
        <v>Emp1603</v>
      </c>
      <c r="B605" t="str">
        <f>RAW_DATA!B605</f>
        <v>Charlie</v>
      </c>
      <c r="C605" t="str">
        <f>RAW_DATA!C605</f>
        <v>Miller</v>
      </c>
      <c r="D605">
        <f>RAW_DATA!D605</f>
        <v>40</v>
      </c>
      <c r="E605" t="str">
        <f>RAW_DATA!E605</f>
        <v>HR-Texas</v>
      </c>
      <c r="F605" t="str">
        <f t="shared" si="27"/>
        <v>HR</v>
      </c>
      <c r="G605" t="str">
        <f t="shared" si="28"/>
        <v>Texas</v>
      </c>
      <c r="P605">
        <f t="shared" si="29"/>
        <v>84134.95</v>
      </c>
      <c r="Q605">
        <f>IF(PQ_Cleansing!L605="Excellent", P605 * 0.1, IF(PQ_Cleansing!L605="Good", P605 * 0.05, IF(PQ_Cleansing!L605="Average", P605 * 0.02, IF(PQ_Cleansing!L605="Poor", 0, 0))))</f>
        <v>0</v>
      </c>
      <c r="R605">
        <f>IFERROR(VALUE(SUBSTITUTE(SUBSTITUTE(PQ_Cleansing!I605, "$", ""), ",", "")), "")</f>
        <v>84134.95</v>
      </c>
    </row>
    <row r="606" spans="1:18" x14ac:dyDescent="0.25">
      <c r="A606" t="str">
        <f>PROPER(TRIM(CLEAN(RAW_DATA!A606)))</f>
        <v>Emp1604</v>
      </c>
      <c r="B606" t="str">
        <f>RAW_DATA!B606</f>
        <v>Frank</v>
      </c>
      <c r="C606" t="str">
        <f>RAW_DATA!C606</f>
        <v>Davis</v>
      </c>
      <c r="D606">
        <f>RAW_DATA!D606</f>
        <v>30</v>
      </c>
      <c r="E606" t="str">
        <f>RAW_DATA!E606</f>
        <v>Cloud Tech-Nevada</v>
      </c>
      <c r="F606" t="str">
        <f t="shared" si="27"/>
        <v>Cloud Tech</v>
      </c>
      <c r="G606" t="str">
        <f t="shared" si="28"/>
        <v>Nevada</v>
      </c>
      <c r="P606">
        <f t="shared" si="29"/>
        <v>113540.83</v>
      </c>
      <c r="Q606">
        <f>IF(PQ_Cleansing!L606="Excellent", P606 * 0.1, IF(PQ_Cleansing!L606="Good", P606 * 0.05, IF(PQ_Cleansing!L606="Average", P606 * 0.02, IF(PQ_Cleansing!L606="Poor", 0, 0))))</f>
        <v>5677.0415000000003</v>
      </c>
      <c r="R606">
        <f>IFERROR(VALUE(SUBSTITUTE(SUBSTITUTE(PQ_Cleansing!I606, "$", ""), ",", "")), "")</f>
        <v>113540.83</v>
      </c>
    </row>
    <row r="607" spans="1:18" x14ac:dyDescent="0.25">
      <c r="A607" t="str">
        <f>PROPER(TRIM(CLEAN(RAW_DATA!A607)))</f>
        <v>Emp1605</v>
      </c>
      <c r="B607" t="str">
        <f>RAW_DATA!B607</f>
        <v>Heidi</v>
      </c>
      <c r="C607" t="str">
        <f>RAW_DATA!C607</f>
        <v>Williams</v>
      </c>
      <c r="D607">
        <f>RAW_DATA!D607</f>
        <v>40</v>
      </c>
      <c r="E607" t="str">
        <f>RAW_DATA!E607</f>
        <v>Cloud Tech-Texas</v>
      </c>
      <c r="F607" t="str">
        <f t="shared" si="27"/>
        <v>Cloud Tech</v>
      </c>
      <c r="G607" t="str">
        <f t="shared" si="28"/>
        <v>Texas</v>
      </c>
      <c r="P607">
        <f t="shared" si="29"/>
        <v>57225.75</v>
      </c>
      <c r="Q607">
        <f>IF(PQ_Cleansing!L607="Excellent", P607 * 0.1, IF(PQ_Cleansing!L607="Good", P607 * 0.05, IF(PQ_Cleansing!L607="Average", P607 * 0.02, IF(PQ_Cleansing!L607="Poor", 0, 0))))</f>
        <v>1144.5150000000001</v>
      </c>
      <c r="R607">
        <f>IFERROR(VALUE(SUBSTITUTE(SUBSTITUTE(PQ_Cleansing!I607, "$", ""), ",", "")), "")</f>
        <v>57225.75</v>
      </c>
    </row>
    <row r="608" spans="1:18" x14ac:dyDescent="0.25">
      <c r="A608" t="str">
        <f>PROPER(TRIM(CLEAN(RAW_DATA!A608)))</f>
        <v>Emp1606</v>
      </c>
      <c r="B608" t="str">
        <f>RAW_DATA!B608</f>
        <v>Eva</v>
      </c>
      <c r="C608" t="str">
        <f>RAW_DATA!C608</f>
        <v>Davis</v>
      </c>
      <c r="D608">
        <f>RAW_DATA!D608</f>
        <v>35</v>
      </c>
      <c r="E608" t="str">
        <f>RAW_DATA!E608</f>
        <v>Sales-Illinois</v>
      </c>
      <c r="F608" t="str">
        <f t="shared" si="27"/>
        <v>Sales</v>
      </c>
      <c r="G608" t="str">
        <f t="shared" si="28"/>
        <v>Illinois</v>
      </c>
      <c r="P608">
        <f t="shared" si="29"/>
        <v>76366.17</v>
      </c>
      <c r="Q608">
        <f>IF(PQ_Cleansing!L608="Excellent", P608 * 0.1, IF(PQ_Cleansing!L608="Good", P608 * 0.05, IF(PQ_Cleansing!L608="Average", P608 * 0.02, IF(PQ_Cleansing!L608="Poor", 0, 0))))</f>
        <v>7636.6170000000002</v>
      </c>
      <c r="R608">
        <f>IFERROR(VALUE(SUBSTITUTE(SUBSTITUTE(PQ_Cleansing!I608, "$", ""), ",", "")), "")</f>
        <v>76366.17</v>
      </c>
    </row>
    <row r="609" spans="1:18" x14ac:dyDescent="0.25">
      <c r="A609" t="str">
        <f>PROPER(TRIM(CLEAN(RAW_DATA!A609)))</f>
        <v>Emp1607</v>
      </c>
      <c r="B609" t="str">
        <f>RAW_DATA!B609</f>
        <v>Bob</v>
      </c>
      <c r="C609" t="str">
        <f>RAW_DATA!C609</f>
        <v>Garcia</v>
      </c>
      <c r="D609">
        <f>RAW_DATA!D609</f>
        <v>0</v>
      </c>
      <c r="E609" t="str">
        <f>RAW_DATA!E609</f>
        <v>HR-Florida</v>
      </c>
      <c r="F609" t="str">
        <f t="shared" si="27"/>
        <v>HR</v>
      </c>
      <c r="G609" t="str">
        <f t="shared" si="28"/>
        <v>Florida</v>
      </c>
      <c r="P609">
        <f t="shared" si="29"/>
        <v>78408.95</v>
      </c>
      <c r="Q609">
        <f>IF(PQ_Cleansing!L609="Excellent", P609 * 0.1, IF(PQ_Cleansing!L609="Good", P609 * 0.05, IF(PQ_Cleansing!L609="Average", P609 * 0.02, IF(PQ_Cleansing!L609="Poor", 0, 0))))</f>
        <v>7840.8950000000004</v>
      </c>
      <c r="R609">
        <f>IFERROR(VALUE(SUBSTITUTE(SUBSTITUTE(PQ_Cleansing!I609, "$", ""), ",", "")), "")</f>
        <v>78408.95</v>
      </c>
    </row>
    <row r="610" spans="1:18" x14ac:dyDescent="0.25">
      <c r="A610" t="str">
        <f>PROPER(TRIM(CLEAN(RAW_DATA!A610)))</f>
        <v>Emp1608</v>
      </c>
      <c r="B610" t="str">
        <f>RAW_DATA!B610</f>
        <v>Frank</v>
      </c>
      <c r="C610" t="str">
        <f>RAW_DATA!C610</f>
        <v>Brown</v>
      </c>
      <c r="D610">
        <f>RAW_DATA!D610</f>
        <v>40</v>
      </c>
      <c r="E610" t="str">
        <f>RAW_DATA!E610</f>
        <v>Finance-Illinois</v>
      </c>
      <c r="F610" t="str">
        <f t="shared" si="27"/>
        <v>Finance</v>
      </c>
      <c r="G610" t="str">
        <f t="shared" si="28"/>
        <v>Illinois</v>
      </c>
      <c r="P610">
        <f t="shared" si="29"/>
        <v>111742.39999999999</v>
      </c>
      <c r="Q610">
        <f>IF(PQ_Cleansing!L610="Excellent", P610 * 0.1, IF(PQ_Cleansing!L610="Good", P610 * 0.05, IF(PQ_Cleansing!L610="Average", P610 * 0.02, IF(PQ_Cleansing!L610="Poor", 0, 0))))</f>
        <v>2234.848</v>
      </c>
      <c r="R610">
        <f>IFERROR(VALUE(SUBSTITUTE(SUBSTITUTE(PQ_Cleansing!I610, "$", ""), ",", "")), "")</f>
        <v>111742.39999999999</v>
      </c>
    </row>
    <row r="611" spans="1:18" x14ac:dyDescent="0.25">
      <c r="A611" t="str">
        <f>PROPER(TRIM(CLEAN(RAW_DATA!A611)))</f>
        <v>Emp1609</v>
      </c>
      <c r="B611" t="str">
        <f>RAW_DATA!B611</f>
        <v>David</v>
      </c>
      <c r="C611" t="str">
        <f>RAW_DATA!C611</f>
        <v>Garcia</v>
      </c>
      <c r="D611">
        <f>RAW_DATA!D611</f>
        <v>25</v>
      </c>
      <c r="E611" t="str">
        <f>RAW_DATA!E611</f>
        <v>Sales-Nevada</v>
      </c>
      <c r="F611" t="str">
        <f t="shared" si="27"/>
        <v>Sales</v>
      </c>
      <c r="G611" t="str">
        <f t="shared" si="28"/>
        <v>Nevada</v>
      </c>
      <c r="P611">
        <f t="shared" si="29"/>
        <v>60516.83</v>
      </c>
      <c r="Q611">
        <f>IF(PQ_Cleansing!L611="Excellent", P611 * 0.1, IF(PQ_Cleansing!L611="Good", P611 * 0.05, IF(PQ_Cleansing!L611="Average", P611 * 0.02, IF(PQ_Cleansing!L611="Poor", 0, 0))))</f>
        <v>3025.8415000000005</v>
      </c>
      <c r="R611">
        <f>IFERROR(VALUE(SUBSTITUTE(SUBSTITUTE(PQ_Cleansing!I611, "$", ""), ",", "")), "")</f>
        <v>60516.83</v>
      </c>
    </row>
    <row r="612" spans="1:18" x14ac:dyDescent="0.25">
      <c r="A612" t="str">
        <f>PROPER(TRIM(CLEAN(RAW_DATA!A612)))</f>
        <v>Emp1610</v>
      </c>
      <c r="B612" t="str">
        <f>RAW_DATA!B612</f>
        <v>Bob</v>
      </c>
      <c r="C612" t="str">
        <f>RAW_DATA!C612</f>
        <v>Jones</v>
      </c>
      <c r="D612">
        <f>RAW_DATA!D612</f>
        <v>30</v>
      </c>
      <c r="E612" t="str">
        <f>RAW_DATA!E612</f>
        <v>Finance-California</v>
      </c>
      <c r="F612" t="str">
        <f t="shared" si="27"/>
        <v>Finance</v>
      </c>
      <c r="G612" t="str">
        <f t="shared" si="28"/>
        <v>California</v>
      </c>
      <c r="P612">
        <f t="shared" si="29"/>
        <v>83706.17</v>
      </c>
      <c r="Q612">
        <f>IF(PQ_Cleansing!L612="Excellent", P612 * 0.1, IF(PQ_Cleansing!L612="Good", P612 * 0.05, IF(PQ_Cleansing!L612="Average", P612 * 0.02, IF(PQ_Cleansing!L612="Poor", 0, 0))))</f>
        <v>1674.1233999999999</v>
      </c>
      <c r="R612">
        <f>IFERROR(VALUE(SUBSTITUTE(SUBSTITUTE(PQ_Cleansing!I612, "$", ""), ",", "")), "")</f>
        <v>83706.17</v>
      </c>
    </row>
    <row r="613" spans="1:18" x14ac:dyDescent="0.25">
      <c r="A613" t="str">
        <f>PROPER(TRIM(CLEAN(RAW_DATA!A613)))</f>
        <v>Emp1611</v>
      </c>
      <c r="B613" t="str">
        <f>RAW_DATA!B613</f>
        <v>David</v>
      </c>
      <c r="C613" t="str">
        <f>RAW_DATA!C613</f>
        <v>Johnson</v>
      </c>
      <c r="D613">
        <f>RAW_DATA!D613</f>
        <v>0</v>
      </c>
      <c r="E613" t="str">
        <f>RAW_DATA!E613</f>
        <v>Admin-Nevada</v>
      </c>
      <c r="F613" t="str">
        <f t="shared" si="27"/>
        <v>Admin</v>
      </c>
      <c r="G613" t="str">
        <f t="shared" si="28"/>
        <v>Nevada</v>
      </c>
      <c r="P613">
        <f t="shared" si="29"/>
        <v>67056.92</v>
      </c>
      <c r="Q613">
        <f>IF(PQ_Cleansing!L613="Excellent", P613 * 0.1, IF(PQ_Cleansing!L613="Good", P613 * 0.05, IF(PQ_Cleansing!L613="Average", P613 * 0.02, IF(PQ_Cleansing!L613="Poor", 0, 0))))</f>
        <v>1341.1384</v>
      </c>
      <c r="R613">
        <f>IFERROR(VALUE(SUBSTITUTE(SUBSTITUTE(PQ_Cleansing!I613, "$", ""), ",", "")), "")</f>
        <v>67056.92</v>
      </c>
    </row>
    <row r="614" spans="1:18" x14ac:dyDescent="0.25">
      <c r="A614" t="str">
        <f>PROPER(TRIM(CLEAN(RAW_DATA!A614)))</f>
        <v>Emp1612</v>
      </c>
      <c r="B614" t="str">
        <f>RAW_DATA!B614</f>
        <v>Charlie</v>
      </c>
      <c r="C614" t="str">
        <f>RAW_DATA!C614</f>
        <v>Brown</v>
      </c>
      <c r="D614">
        <f>RAW_DATA!D614</f>
        <v>30</v>
      </c>
      <c r="E614" t="str">
        <f>RAW_DATA!E614</f>
        <v>DevOps-Illinois</v>
      </c>
      <c r="F614" t="str">
        <f t="shared" si="27"/>
        <v>DevOps</v>
      </c>
      <c r="G614" t="str">
        <f t="shared" si="28"/>
        <v>Illinois</v>
      </c>
      <c r="P614">
        <f t="shared" si="29"/>
        <v>90058.85</v>
      </c>
      <c r="Q614">
        <f>IF(PQ_Cleansing!L614="Excellent", P614 * 0.1, IF(PQ_Cleansing!L614="Good", P614 * 0.05, IF(PQ_Cleansing!L614="Average", P614 * 0.02, IF(PQ_Cleansing!L614="Poor", 0, 0))))</f>
        <v>0</v>
      </c>
      <c r="R614">
        <f>IFERROR(VALUE(SUBSTITUTE(SUBSTITUTE(PQ_Cleansing!I614, "$", ""), ",", "")), "")</f>
        <v>90058.85</v>
      </c>
    </row>
    <row r="615" spans="1:18" x14ac:dyDescent="0.25">
      <c r="A615" t="str">
        <f>PROPER(TRIM(CLEAN(RAW_DATA!A615)))</f>
        <v>Emp1613</v>
      </c>
      <c r="B615" t="str">
        <f>RAW_DATA!B615</f>
        <v>Eva</v>
      </c>
      <c r="C615" t="str">
        <f>RAW_DATA!C615</f>
        <v>Johnson</v>
      </c>
      <c r="D615">
        <f>RAW_DATA!D615</f>
        <v>30</v>
      </c>
      <c r="E615" t="str">
        <f>RAW_DATA!E615</f>
        <v>Sales-Florida</v>
      </c>
      <c r="F615" t="str">
        <f t="shared" si="27"/>
        <v>Sales</v>
      </c>
      <c r="G615" t="str">
        <f t="shared" si="28"/>
        <v>Florida</v>
      </c>
      <c r="P615">
        <f t="shared" si="29"/>
        <v>94633.59</v>
      </c>
      <c r="Q615">
        <f>IF(PQ_Cleansing!L615="Excellent", P615 * 0.1, IF(PQ_Cleansing!L615="Good", P615 * 0.05, IF(PQ_Cleansing!L615="Average", P615 * 0.02, IF(PQ_Cleansing!L615="Poor", 0, 0))))</f>
        <v>1892.6718000000001</v>
      </c>
      <c r="R615">
        <f>IFERROR(VALUE(SUBSTITUTE(SUBSTITUTE(PQ_Cleansing!I615, "$", ""), ",", "")), "")</f>
        <v>94633.59</v>
      </c>
    </row>
    <row r="616" spans="1:18" x14ac:dyDescent="0.25">
      <c r="A616" t="str">
        <f>PROPER(TRIM(CLEAN(RAW_DATA!A616)))</f>
        <v>Emp1614</v>
      </c>
      <c r="B616" t="str">
        <f>RAW_DATA!B616</f>
        <v>Eva</v>
      </c>
      <c r="C616" t="str">
        <f>RAW_DATA!C616</f>
        <v>Miller</v>
      </c>
      <c r="D616">
        <f>RAW_DATA!D616</f>
        <v>25</v>
      </c>
      <c r="E616" t="str">
        <f>RAW_DATA!E616</f>
        <v>Admin-Florida</v>
      </c>
      <c r="F616" t="str">
        <f t="shared" si="27"/>
        <v>Admin</v>
      </c>
      <c r="G616" t="str">
        <f t="shared" si="28"/>
        <v>Florida</v>
      </c>
      <c r="P616">
        <f t="shared" si="29"/>
        <v>110711.17</v>
      </c>
      <c r="Q616">
        <f>IF(PQ_Cleansing!L616="Excellent", P616 * 0.1, IF(PQ_Cleansing!L616="Good", P616 * 0.05, IF(PQ_Cleansing!L616="Average", P616 * 0.02, IF(PQ_Cleansing!L616="Poor", 0, 0))))</f>
        <v>11071.117</v>
      </c>
      <c r="R616">
        <f>IFERROR(VALUE(SUBSTITUTE(SUBSTITUTE(PQ_Cleansing!I616, "$", ""), ",", "")), "")</f>
        <v>110711.17</v>
      </c>
    </row>
    <row r="617" spans="1:18" x14ac:dyDescent="0.25">
      <c r="A617" t="str">
        <f>PROPER(TRIM(CLEAN(RAW_DATA!A617)))</f>
        <v>Emp1615</v>
      </c>
      <c r="B617" t="str">
        <f>RAW_DATA!B617</f>
        <v>Grace</v>
      </c>
      <c r="C617" t="str">
        <f>RAW_DATA!C617</f>
        <v>Williams</v>
      </c>
      <c r="D617">
        <f>RAW_DATA!D617</f>
        <v>0</v>
      </c>
      <c r="E617" t="str">
        <f>RAW_DATA!E617</f>
        <v>Admin-Illinois</v>
      </c>
      <c r="F617" t="str">
        <f t="shared" si="27"/>
        <v>Admin</v>
      </c>
      <c r="G617" t="str">
        <f t="shared" si="28"/>
        <v>Illinois</v>
      </c>
      <c r="P617">
        <f t="shared" si="29"/>
        <v>96175.41</v>
      </c>
      <c r="Q617">
        <f>IF(PQ_Cleansing!L617="Excellent", P617 * 0.1, IF(PQ_Cleansing!L617="Good", P617 * 0.05, IF(PQ_Cleansing!L617="Average", P617 * 0.02, IF(PQ_Cleansing!L617="Poor", 0, 0))))</f>
        <v>1923.5082000000002</v>
      </c>
      <c r="R617">
        <f>IFERROR(VALUE(SUBSTITUTE(SUBSTITUTE(PQ_Cleansing!I617, "$", ""), ",", "")), "")</f>
        <v>96175.41</v>
      </c>
    </row>
    <row r="618" spans="1:18" x14ac:dyDescent="0.25">
      <c r="A618" t="str">
        <f>PROPER(TRIM(CLEAN(RAW_DATA!A618)))</f>
        <v>Emp1616</v>
      </c>
      <c r="B618" t="str">
        <f>RAW_DATA!B618</f>
        <v>Frank</v>
      </c>
      <c r="C618" t="str">
        <f>RAW_DATA!C618</f>
        <v>Smith</v>
      </c>
      <c r="D618">
        <f>RAW_DATA!D618</f>
        <v>40</v>
      </c>
      <c r="E618" t="str">
        <f>RAW_DATA!E618</f>
        <v>Sales-Illinois</v>
      </c>
      <c r="F618" t="str">
        <f t="shared" si="27"/>
        <v>Sales</v>
      </c>
      <c r="G618" t="str">
        <f t="shared" si="28"/>
        <v>Illinois</v>
      </c>
      <c r="P618">
        <f t="shared" si="29"/>
        <v>76474.789999999994</v>
      </c>
      <c r="Q618">
        <f>IF(PQ_Cleansing!L618="Excellent", P618 * 0.1, IF(PQ_Cleansing!L618="Good", P618 * 0.05, IF(PQ_Cleansing!L618="Average", P618 * 0.02, IF(PQ_Cleansing!L618="Poor", 0, 0))))</f>
        <v>7647.4789999999994</v>
      </c>
      <c r="R618">
        <f>IFERROR(VALUE(SUBSTITUTE(SUBSTITUTE(PQ_Cleansing!I618, "$", ""), ",", "")), "")</f>
        <v>76474.789999999994</v>
      </c>
    </row>
    <row r="619" spans="1:18" x14ac:dyDescent="0.25">
      <c r="A619" t="str">
        <f>PROPER(TRIM(CLEAN(RAW_DATA!A619)))</f>
        <v>Emp1617</v>
      </c>
      <c r="B619" t="str">
        <f>RAW_DATA!B619</f>
        <v>Alice</v>
      </c>
      <c r="C619" t="str">
        <f>RAW_DATA!C619</f>
        <v>Garcia</v>
      </c>
      <c r="D619">
        <f>RAW_DATA!D619</f>
        <v>30</v>
      </c>
      <c r="E619" t="str">
        <f>RAW_DATA!E619</f>
        <v>Sales-Illinois</v>
      </c>
      <c r="F619" t="str">
        <f t="shared" si="27"/>
        <v>Sales</v>
      </c>
      <c r="G619" t="str">
        <f t="shared" si="28"/>
        <v>Illinois</v>
      </c>
      <c r="P619">
        <f t="shared" si="29"/>
        <v>107855.99</v>
      </c>
      <c r="Q619">
        <f>IF(PQ_Cleansing!L619="Excellent", P619 * 0.1, IF(PQ_Cleansing!L619="Good", P619 * 0.05, IF(PQ_Cleansing!L619="Average", P619 * 0.02, IF(PQ_Cleansing!L619="Poor", 0, 0))))</f>
        <v>10785.599000000002</v>
      </c>
      <c r="R619">
        <f>IFERROR(VALUE(SUBSTITUTE(SUBSTITUTE(PQ_Cleansing!I619, "$", ""), ",", "")), "")</f>
        <v>107855.99</v>
      </c>
    </row>
    <row r="620" spans="1:18" x14ac:dyDescent="0.25">
      <c r="A620" t="str">
        <f>PROPER(TRIM(CLEAN(RAW_DATA!A620)))</f>
        <v>Emp1618</v>
      </c>
      <c r="B620" t="str">
        <f>RAW_DATA!B620</f>
        <v>Charlie</v>
      </c>
      <c r="C620" t="str">
        <f>RAW_DATA!C620</f>
        <v>Davis</v>
      </c>
      <c r="D620">
        <f>RAW_DATA!D620</f>
        <v>40</v>
      </c>
      <c r="E620" t="str">
        <f>RAW_DATA!E620</f>
        <v>Sales-Illinois</v>
      </c>
      <c r="F620" t="str">
        <f t="shared" si="27"/>
        <v>Sales</v>
      </c>
      <c r="G620" t="str">
        <f t="shared" si="28"/>
        <v>Illinois</v>
      </c>
      <c r="P620">
        <f t="shared" si="29"/>
        <v>104870.78</v>
      </c>
      <c r="Q620">
        <f>IF(PQ_Cleansing!L620="Excellent", P620 * 0.1, IF(PQ_Cleansing!L620="Good", P620 * 0.05, IF(PQ_Cleansing!L620="Average", P620 * 0.02, IF(PQ_Cleansing!L620="Poor", 0, 0))))</f>
        <v>10487.078000000001</v>
      </c>
      <c r="R620">
        <f>IFERROR(VALUE(SUBSTITUTE(SUBSTITUTE(PQ_Cleansing!I620, "$", ""), ",", "")), "")</f>
        <v>104870.78</v>
      </c>
    </row>
    <row r="621" spans="1:18" x14ac:dyDescent="0.25">
      <c r="A621" t="str">
        <f>PROPER(TRIM(CLEAN(RAW_DATA!A621)))</f>
        <v>Emp1619</v>
      </c>
      <c r="B621" t="str">
        <f>RAW_DATA!B621</f>
        <v>Bob</v>
      </c>
      <c r="C621" t="str">
        <f>RAW_DATA!C621</f>
        <v>Williams</v>
      </c>
      <c r="D621">
        <f>RAW_DATA!D621</f>
        <v>25</v>
      </c>
      <c r="E621" t="str">
        <f>RAW_DATA!E621</f>
        <v>Finance-Nevada</v>
      </c>
      <c r="F621" t="str">
        <f t="shared" si="27"/>
        <v>Finance</v>
      </c>
      <c r="G621" t="str">
        <f t="shared" si="28"/>
        <v>Nevada</v>
      </c>
      <c r="P621">
        <f t="shared" si="29"/>
        <v>85268.279969293711</v>
      </c>
      <c r="Q621">
        <f>IF(PQ_Cleansing!L621="Excellent", P621 * 0.1, IF(PQ_Cleansing!L621="Good", P621 * 0.05, IF(PQ_Cleansing!L621="Average", P621 * 0.02, IF(PQ_Cleansing!L621="Poor", 0, 0))))</f>
        <v>4263.4139984646854</v>
      </c>
      <c r="R621" t="str">
        <f>IFERROR(VALUE(SUBSTITUTE(SUBSTITUTE(PQ_Cleansing!I621, "$", ""), ",", "")), "")</f>
        <v/>
      </c>
    </row>
    <row r="622" spans="1:18" x14ac:dyDescent="0.25">
      <c r="A622" t="str">
        <f>PROPER(TRIM(CLEAN(RAW_DATA!A622)))</f>
        <v>Emp1620</v>
      </c>
      <c r="B622" t="str">
        <f>RAW_DATA!B622</f>
        <v>Grace</v>
      </c>
      <c r="C622" t="str">
        <f>RAW_DATA!C622</f>
        <v>Brown</v>
      </c>
      <c r="D622">
        <f>RAW_DATA!D622</f>
        <v>0</v>
      </c>
      <c r="E622" t="str">
        <f>RAW_DATA!E622</f>
        <v>Finance-California</v>
      </c>
      <c r="F622" t="str">
        <f t="shared" si="27"/>
        <v>Finance</v>
      </c>
      <c r="G622" t="str">
        <f t="shared" si="28"/>
        <v>California</v>
      </c>
      <c r="P622">
        <f t="shared" si="29"/>
        <v>87087.16</v>
      </c>
      <c r="Q622">
        <f>IF(PQ_Cleansing!L622="Excellent", P622 * 0.1, IF(PQ_Cleansing!L622="Good", P622 * 0.05, IF(PQ_Cleansing!L622="Average", P622 * 0.02, IF(PQ_Cleansing!L622="Poor", 0, 0))))</f>
        <v>0</v>
      </c>
      <c r="R622">
        <f>IFERROR(VALUE(SUBSTITUTE(SUBSTITUTE(PQ_Cleansing!I622, "$", ""), ",", "")), "")</f>
        <v>87087.16</v>
      </c>
    </row>
    <row r="623" spans="1:18" x14ac:dyDescent="0.25">
      <c r="A623" t="str">
        <f>PROPER(TRIM(CLEAN(RAW_DATA!A623)))</f>
        <v>Emp1621</v>
      </c>
      <c r="B623" t="str">
        <f>RAW_DATA!B623</f>
        <v>Heidi</v>
      </c>
      <c r="C623" t="str">
        <f>RAW_DATA!C623</f>
        <v>Johnson</v>
      </c>
      <c r="D623">
        <f>RAW_DATA!D623</f>
        <v>40</v>
      </c>
      <c r="E623" t="str">
        <f>RAW_DATA!E623</f>
        <v>HR-Illinois</v>
      </c>
      <c r="F623" t="str">
        <f t="shared" si="27"/>
        <v>HR</v>
      </c>
      <c r="G623" t="str">
        <f t="shared" si="28"/>
        <v>Illinois</v>
      </c>
      <c r="P623">
        <f t="shared" si="29"/>
        <v>108603.34</v>
      </c>
      <c r="Q623">
        <f>IF(PQ_Cleansing!L623="Excellent", P623 * 0.1, IF(PQ_Cleansing!L623="Good", P623 * 0.05, IF(PQ_Cleansing!L623="Average", P623 * 0.02, IF(PQ_Cleansing!L623="Poor", 0, 0))))</f>
        <v>10860.334000000001</v>
      </c>
      <c r="R623">
        <f>IFERROR(VALUE(SUBSTITUTE(SUBSTITUTE(PQ_Cleansing!I623, "$", ""), ",", "")), "")</f>
        <v>108603.34</v>
      </c>
    </row>
    <row r="624" spans="1:18" x14ac:dyDescent="0.25">
      <c r="A624" t="str">
        <f>PROPER(TRIM(CLEAN(RAW_DATA!A624)))</f>
        <v>Emp1622</v>
      </c>
      <c r="B624" t="str">
        <f>RAW_DATA!B624</f>
        <v>Grace</v>
      </c>
      <c r="C624" t="str">
        <f>RAW_DATA!C624</f>
        <v>Davis</v>
      </c>
      <c r="D624">
        <f>RAW_DATA!D624</f>
        <v>30</v>
      </c>
      <c r="E624" t="str">
        <f>RAW_DATA!E624</f>
        <v>HR-Florida</v>
      </c>
      <c r="F624" t="str">
        <f t="shared" si="27"/>
        <v>HR</v>
      </c>
      <c r="G624" t="str">
        <f t="shared" si="28"/>
        <v>Florida</v>
      </c>
      <c r="P624">
        <f t="shared" si="29"/>
        <v>55867.23</v>
      </c>
      <c r="Q624">
        <f>IF(PQ_Cleansing!L624="Excellent", P624 * 0.1, IF(PQ_Cleansing!L624="Good", P624 * 0.05, IF(PQ_Cleansing!L624="Average", P624 * 0.02, IF(PQ_Cleansing!L624="Poor", 0, 0))))</f>
        <v>5586.7230000000009</v>
      </c>
      <c r="R624">
        <f>IFERROR(VALUE(SUBSTITUTE(SUBSTITUTE(PQ_Cleansing!I624, "$", ""), ",", "")), "")</f>
        <v>55867.23</v>
      </c>
    </row>
    <row r="625" spans="1:18" x14ac:dyDescent="0.25">
      <c r="A625" t="str">
        <f>PROPER(TRIM(CLEAN(RAW_DATA!A625)))</f>
        <v>Emp1623</v>
      </c>
      <c r="B625" t="str">
        <f>RAW_DATA!B625</f>
        <v>Grace</v>
      </c>
      <c r="C625" t="str">
        <f>RAW_DATA!C625</f>
        <v>Johnson</v>
      </c>
      <c r="D625">
        <f>RAW_DATA!D625</f>
        <v>35</v>
      </c>
      <c r="E625" t="str">
        <f>RAW_DATA!E625</f>
        <v>Admin-Texas</v>
      </c>
      <c r="F625" t="str">
        <f t="shared" si="27"/>
        <v>Admin</v>
      </c>
      <c r="G625" t="str">
        <f t="shared" si="28"/>
        <v>Texas</v>
      </c>
      <c r="P625">
        <f t="shared" si="29"/>
        <v>105259.57</v>
      </c>
      <c r="Q625">
        <f>IF(PQ_Cleansing!L625="Excellent", P625 * 0.1, IF(PQ_Cleansing!L625="Good", P625 * 0.05, IF(PQ_Cleansing!L625="Average", P625 * 0.02, IF(PQ_Cleansing!L625="Poor", 0, 0))))</f>
        <v>5262.9785000000011</v>
      </c>
      <c r="R625">
        <f>IFERROR(VALUE(SUBSTITUTE(SUBSTITUTE(PQ_Cleansing!I625, "$", ""), ",", "")), "")</f>
        <v>105259.57</v>
      </c>
    </row>
    <row r="626" spans="1:18" x14ac:dyDescent="0.25">
      <c r="A626" t="str">
        <f>PROPER(TRIM(CLEAN(RAW_DATA!A626)))</f>
        <v>Emp1624</v>
      </c>
      <c r="B626" t="str">
        <f>RAW_DATA!B626</f>
        <v>Bob</v>
      </c>
      <c r="C626" t="str">
        <f>RAW_DATA!C626</f>
        <v>Jones</v>
      </c>
      <c r="D626">
        <f>RAW_DATA!D626</f>
        <v>0</v>
      </c>
      <c r="E626" t="str">
        <f>RAW_DATA!E626</f>
        <v>Cloud Tech-Florida</v>
      </c>
      <c r="F626" t="str">
        <f t="shared" si="27"/>
        <v>Cloud Tech</v>
      </c>
      <c r="G626" t="str">
        <f t="shared" si="28"/>
        <v>Florida</v>
      </c>
      <c r="P626">
        <f t="shared" si="29"/>
        <v>98143.67</v>
      </c>
      <c r="Q626">
        <f>IF(PQ_Cleansing!L626="Excellent", P626 * 0.1, IF(PQ_Cleansing!L626="Good", P626 * 0.05, IF(PQ_Cleansing!L626="Average", P626 * 0.02, IF(PQ_Cleansing!L626="Poor", 0, 0))))</f>
        <v>9814.3670000000002</v>
      </c>
      <c r="R626">
        <f>IFERROR(VALUE(SUBSTITUTE(SUBSTITUTE(PQ_Cleansing!I626, "$", ""), ",", "")), "")</f>
        <v>98143.67</v>
      </c>
    </row>
    <row r="627" spans="1:18" x14ac:dyDescent="0.25">
      <c r="A627" t="str">
        <f>PROPER(TRIM(CLEAN(RAW_DATA!A627)))</f>
        <v>Emp1625</v>
      </c>
      <c r="B627" t="str">
        <f>RAW_DATA!B627</f>
        <v>Frank</v>
      </c>
      <c r="C627" t="str">
        <f>RAW_DATA!C627</f>
        <v>Johnson</v>
      </c>
      <c r="D627">
        <f>RAW_DATA!D627</f>
        <v>25</v>
      </c>
      <c r="E627" t="str">
        <f>RAW_DATA!E627</f>
        <v>Admin-Florida</v>
      </c>
      <c r="F627" t="str">
        <f t="shared" si="27"/>
        <v>Admin</v>
      </c>
      <c r="G627" t="str">
        <f t="shared" si="28"/>
        <v>Florida</v>
      </c>
      <c r="P627">
        <f t="shared" si="29"/>
        <v>67754.289999999994</v>
      </c>
      <c r="Q627">
        <f>IF(PQ_Cleansing!L627="Excellent", P627 * 0.1, IF(PQ_Cleansing!L627="Good", P627 * 0.05, IF(PQ_Cleansing!L627="Average", P627 * 0.02, IF(PQ_Cleansing!L627="Poor", 0, 0))))</f>
        <v>1355.0857999999998</v>
      </c>
      <c r="R627">
        <f>IFERROR(VALUE(SUBSTITUTE(SUBSTITUTE(PQ_Cleansing!I627, "$", ""), ",", "")), "")</f>
        <v>67754.289999999994</v>
      </c>
    </row>
    <row r="628" spans="1:18" x14ac:dyDescent="0.25">
      <c r="A628" t="str">
        <f>PROPER(TRIM(CLEAN(RAW_DATA!A628)))</f>
        <v>Emp1626</v>
      </c>
      <c r="B628" t="str">
        <f>RAW_DATA!B628</f>
        <v>Grace</v>
      </c>
      <c r="C628" t="str">
        <f>RAW_DATA!C628</f>
        <v>Jones</v>
      </c>
      <c r="D628">
        <f>RAW_DATA!D628</f>
        <v>0</v>
      </c>
      <c r="E628" t="str">
        <f>RAW_DATA!E628</f>
        <v>HR-Illinois</v>
      </c>
      <c r="F628" t="str">
        <f t="shared" si="27"/>
        <v>HR</v>
      </c>
      <c r="G628" t="str">
        <f t="shared" si="28"/>
        <v>Illinois</v>
      </c>
      <c r="P628">
        <f t="shared" si="29"/>
        <v>77821.789999999994</v>
      </c>
      <c r="Q628">
        <f>IF(PQ_Cleansing!L628="Excellent", P628 * 0.1, IF(PQ_Cleansing!L628="Good", P628 * 0.05, IF(PQ_Cleansing!L628="Average", P628 * 0.02, IF(PQ_Cleansing!L628="Poor", 0, 0))))</f>
        <v>1556.4358</v>
      </c>
      <c r="R628">
        <f>IFERROR(VALUE(SUBSTITUTE(SUBSTITUTE(PQ_Cleansing!I628, "$", ""), ",", "")), "")</f>
        <v>77821.789999999994</v>
      </c>
    </row>
    <row r="629" spans="1:18" x14ac:dyDescent="0.25">
      <c r="A629" t="str">
        <f>PROPER(TRIM(CLEAN(RAW_DATA!A629)))</f>
        <v>Emp1627</v>
      </c>
      <c r="B629" t="str">
        <f>RAW_DATA!B629</f>
        <v>Heidi</v>
      </c>
      <c r="C629" t="str">
        <f>RAW_DATA!C629</f>
        <v>Miller</v>
      </c>
      <c r="D629">
        <f>RAW_DATA!D629</f>
        <v>30</v>
      </c>
      <c r="E629" t="str">
        <f>RAW_DATA!E629</f>
        <v>HR-Illinois</v>
      </c>
      <c r="F629" t="str">
        <f t="shared" si="27"/>
        <v>HR</v>
      </c>
      <c r="G629" t="str">
        <f t="shared" si="28"/>
        <v>Illinois</v>
      </c>
      <c r="P629">
        <f t="shared" si="29"/>
        <v>67764.44</v>
      </c>
      <c r="Q629">
        <f>IF(PQ_Cleansing!L629="Excellent", P629 * 0.1, IF(PQ_Cleansing!L629="Good", P629 * 0.05, IF(PQ_Cleansing!L629="Average", P629 * 0.02, IF(PQ_Cleansing!L629="Poor", 0, 0))))</f>
        <v>0</v>
      </c>
      <c r="R629">
        <f>IFERROR(VALUE(SUBSTITUTE(SUBSTITUTE(PQ_Cleansing!I629, "$", ""), ",", "")), "")</f>
        <v>67764.44</v>
      </c>
    </row>
    <row r="630" spans="1:18" x14ac:dyDescent="0.25">
      <c r="A630" t="str">
        <f>PROPER(TRIM(CLEAN(RAW_DATA!A630)))</f>
        <v>Emp1628</v>
      </c>
      <c r="B630" t="str">
        <f>RAW_DATA!B630</f>
        <v>Frank</v>
      </c>
      <c r="C630" t="str">
        <f>RAW_DATA!C630</f>
        <v>Davis</v>
      </c>
      <c r="D630">
        <f>RAW_DATA!D630</f>
        <v>40</v>
      </c>
      <c r="E630" t="str">
        <f>RAW_DATA!E630</f>
        <v>DevOps-New York</v>
      </c>
      <c r="F630" t="str">
        <f t="shared" si="27"/>
        <v>DevOps</v>
      </c>
      <c r="G630" t="str">
        <f t="shared" si="28"/>
        <v>New York</v>
      </c>
      <c r="P630">
        <f t="shared" si="29"/>
        <v>102346.99</v>
      </c>
      <c r="Q630">
        <f>IF(PQ_Cleansing!L630="Excellent", P630 * 0.1, IF(PQ_Cleansing!L630="Good", P630 * 0.05, IF(PQ_Cleansing!L630="Average", P630 * 0.02, IF(PQ_Cleansing!L630="Poor", 0, 0))))</f>
        <v>10234.699000000001</v>
      </c>
      <c r="R630">
        <f>IFERROR(VALUE(SUBSTITUTE(SUBSTITUTE(PQ_Cleansing!I630, "$", ""), ",", "")), "")</f>
        <v>102346.99</v>
      </c>
    </row>
    <row r="631" spans="1:18" x14ac:dyDescent="0.25">
      <c r="A631" t="str">
        <f>PROPER(TRIM(CLEAN(RAW_DATA!A631)))</f>
        <v>Emp1629</v>
      </c>
      <c r="B631" t="str">
        <f>RAW_DATA!B631</f>
        <v>Charlie</v>
      </c>
      <c r="C631" t="str">
        <f>RAW_DATA!C631</f>
        <v>Davis</v>
      </c>
      <c r="D631">
        <f>RAW_DATA!D631</f>
        <v>25</v>
      </c>
      <c r="E631" t="str">
        <f>RAW_DATA!E631</f>
        <v>Admin-Illinois</v>
      </c>
      <c r="F631" t="str">
        <f t="shared" si="27"/>
        <v>Admin</v>
      </c>
      <c r="G631" t="str">
        <f t="shared" si="28"/>
        <v>Illinois</v>
      </c>
      <c r="P631">
        <f t="shared" si="29"/>
        <v>73690.649999999994</v>
      </c>
      <c r="Q631">
        <f>IF(PQ_Cleansing!L631="Excellent", P631 * 0.1, IF(PQ_Cleansing!L631="Good", P631 * 0.05, IF(PQ_Cleansing!L631="Average", P631 * 0.02, IF(PQ_Cleansing!L631="Poor", 0, 0))))</f>
        <v>3684.5324999999998</v>
      </c>
      <c r="R631">
        <f>IFERROR(VALUE(SUBSTITUTE(SUBSTITUTE(PQ_Cleansing!I631, "$", ""), ",", "")), "")</f>
        <v>73690.649999999994</v>
      </c>
    </row>
    <row r="632" spans="1:18" x14ac:dyDescent="0.25">
      <c r="A632" t="str">
        <f>PROPER(TRIM(CLEAN(RAW_DATA!A632)))</f>
        <v>Emp1630</v>
      </c>
      <c r="B632" t="str">
        <f>RAW_DATA!B632</f>
        <v>Alice</v>
      </c>
      <c r="C632" t="str">
        <f>RAW_DATA!C632</f>
        <v>Smith</v>
      </c>
      <c r="D632">
        <f>RAW_DATA!D632</f>
        <v>30</v>
      </c>
      <c r="E632" t="str">
        <f>RAW_DATA!E632</f>
        <v>Finance-Nevada</v>
      </c>
      <c r="F632" t="str">
        <f t="shared" si="27"/>
        <v>Finance</v>
      </c>
      <c r="G632" t="str">
        <f t="shared" si="28"/>
        <v>Nevada</v>
      </c>
      <c r="P632">
        <f t="shared" si="29"/>
        <v>56376.2</v>
      </c>
      <c r="Q632">
        <f>IF(PQ_Cleansing!L632="Excellent", P632 * 0.1, IF(PQ_Cleansing!L632="Good", P632 * 0.05, IF(PQ_Cleansing!L632="Average", P632 * 0.02, IF(PQ_Cleansing!L632="Poor", 0, 0))))</f>
        <v>1127.5239999999999</v>
      </c>
      <c r="R632">
        <f>IFERROR(VALUE(SUBSTITUTE(SUBSTITUTE(PQ_Cleansing!I632, "$", ""), ",", "")), "")</f>
        <v>56376.2</v>
      </c>
    </row>
    <row r="633" spans="1:18" x14ac:dyDescent="0.25">
      <c r="A633" t="str">
        <f>PROPER(TRIM(CLEAN(RAW_DATA!A633)))</f>
        <v>Emp1631</v>
      </c>
      <c r="B633" t="str">
        <f>RAW_DATA!B633</f>
        <v>Grace</v>
      </c>
      <c r="C633" t="str">
        <f>RAW_DATA!C633</f>
        <v>Brown</v>
      </c>
      <c r="D633">
        <f>RAW_DATA!D633</f>
        <v>25</v>
      </c>
      <c r="E633" t="str">
        <f>RAW_DATA!E633</f>
        <v>Cloud Tech-California</v>
      </c>
      <c r="F633" t="str">
        <f t="shared" si="27"/>
        <v>Cloud Tech</v>
      </c>
      <c r="G633" t="str">
        <f t="shared" si="28"/>
        <v>California</v>
      </c>
      <c r="P633">
        <f t="shared" si="29"/>
        <v>55602.78</v>
      </c>
      <c r="Q633">
        <f>IF(PQ_Cleansing!L633="Excellent", P633 * 0.1, IF(PQ_Cleansing!L633="Good", P633 * 0.05, IF(PQ_Cleansing!L633="Average", P633 * 0.02, IF(PQ_Cleansing!L633="Poor", 0, 0))))</f>
        <v>2780.1390000000001</v>
      </c>
      <c r="R633">
        <f>IFERROR(VALUE(SUBSTITUTE(SUBSTITUTE(PQ_Cleansing!I633, "$", ""), ",", "")), "")</f>
        <v>55602.78</v>
      </c>
    </row>
    <row r="634" spans="1:18" x14ac:dyDescent="0.25">
      <c r="A634" t="str">
        <f>PROPER(TRIM(CLEAN(RAW_DATA!A634)))</f>
        <v>Emp1632</v>
      </c>
      <c r="B634" t="str">
        <f>RAW_DATA!B634</f>
        <v>Grace</v>
      </c>
      <c r="C634" t="str">
        <f>RAW_DATA!C634</f>
        <v>Jones</v>
      </c>
      <c r="D634">
        <f>RAW_DATA!D634</f>
        <v>40</v>
      </c>
      <c r="E634" t="str">
        <f>RAW_DATA!E634</f>
        <v>Sales-Nevada</v>
      </c>
      <c r="F634" t="str">
        <f t="shared" si="27"/>
        <v>Sales</v>
      </c>
      <c r="G634" t="str">
        <f t="shared" si="28"/>
        <v>Nevada</v>
      </c>
      <c r="P634">
        <f t="shared" si="29"/>
        <v>99812.41</v>
      </c>
      <c r="Q634">
        <f>IF(PQ_Cleansing!L634="Excellent", P634 * 0.1, IF(PQ_Cleansing!L634="Good", P634 * 0.05, IF(PQ_Cleansing!L634="Average", P634 * 0.02, IF(PQ_Cleansing!L634="Poor", 0, 0))))</f>
        <v>4990.6205000000009</v>
      </c>
      <c r="R634">
        <f>IFERROR(VALUE(SUBSTITUTE(SUBSTITUTE(PQ_Cleansing!I634, "$", ""), ",", "")), "")</f>
        <v>99812.41</v>
      </c>
    </row>
    <row r="635" spans="1:18" x14ac:dyDescent="0.25">
      <c r="A635" t="str">
        <f>PROPER(TRIM(CLEAN(RAW_DATA!A635)))</f>
        <v>Emp1633</v>
      </c>
      <c r="B635" t="str">
        <f>RAW_DATA!B635</f>
        <v>Charlie</v>
      </c>
      <c r="C635" t="str">
        <f>RAW_DATA!C635</f>
        <v>Smith</v>
      </c>
      <c r="D635">
        <f>RAW_DATA!D635</f>
        <v>40</v>
      </c>
      <c r="E635" t="str">
        <f>RAW_DATA!E635</f>
        <v>Finance-Texas</v>
      </c>
      <c r="F635" t="str">
        <f t="shared" si="27"/>
        <v>Finance</v>
      </c>
      <c r="G635" t="str">
        <f t="shared" si="28"/>
        <v>Texas</v>
      </c>
      <c r="P635">
        <f t="shared" si="29"/>
        <v>95981.9</v>
      </c>
      <c r="Q635">
        <f>IF(PQ_Cleansing!L635="Excellent", P635 * 0.1, IF(PQ_Cleansing!L635="Good", P635 * 0.05, IF(PQ_Cleansing!L635="Average", P635 * 0.02, IF(PQ_Cleansing!L635="Poor", 0, 0))))</f>
        <v>1919.6379999999999</v>
      </c>
      <c r="R635">
        <f>IFERROR(VALUE(SUBSTITUTE(SUBSTITUTE(PQ_Cleansing!I635, "$", ""), ",", "")), "")</f>
        <v>95981.9</v>
      </c>
    </row>
    <row r="636" spans="1:18" x14ac:dyDescent="0.25">
      <c r="A636" t="str">
        <f>PROPER(TRIM(CLEAN(RAW_DATA!A636)))</f>
        <v>Emp1634</v>
      </c>
      <c r="B636" t="str">
        <f>RAW_DATA!B636</f>
        <v>Eva</v>
      </c>
      <c r="C636" t="str">
        <f>RAW_DATA!C636</f>
        <v>Johnson</v>
      </c>
      <c r="D636">
        <f>RAW_DATA!D636</f>
        <v>30</v>
      </c>
      <c r="E636" t="str">
        <f>RAW_DATA!E636</f>
        <v>Cloud Tech-Illinois</v>
      </c>
      <c r="F636" t="str">
        <f t="shared" si="27"/>
        <v>Cloud Tech</v>
      </c>
      <c r="G636" t="str">
        <f t="shared" si="28"/>
        <v>Illinois</v>
      </c>
      <c r="P636">
        <f t="shared" si="29"/>
        <v>98891.48</v>
      </c>
      <c r="Q636">
        <f>IF(PQ_Cleansing!L636="Excellent", P636 * 0.1, IF(PQ_Cleansing!L636="Good", P636 * 0.05, IF(PQ_Cleansing!L636="Average", P636 * 0.02, IF(PQ_Cleansing!L636="Poor", 0, 0))))</f>
        <v>4944.5740000000005</v>
      </c>
      <c r="R636">
        <f>IFERROR(VALUE(SUBSTITUTE(SUBSTITUTE(PQ_Cleansing!I636, "$", ""), ",", "")), "")</f>
        <v>98891.48</v>
      </c>
    </row>
    <row r="637" spans="1:18" x14ac:dyDescent="0.25">
      <c r="A637" t="str">
        <f>PROPER(TRIM(CLEAN(RAW_DATA!A637)))</f>
        <v>Emp1635</v>
      </c>
      <c r="B637" t="str">
        <f>RAW_DATA!B637</f>
        <v>Alice</v>
      </c>
      <c r="C637" t="str">
        <f>RAW_DATA!C637</f>
        <v>Johnson</v>
      </c>
      <c r="D637">
        <f>RAW_DATA!D637</f>
        <v>35</v>
      </c>
      <c r="E637" t="str">
        <f>RAW_DATA!E637</f>
        <v>Admin-Nevada</v>
      </c>
      <c r="F637" t="str">
        <f t="shared" si="27"/>
        <v>Admin</v>
      </c>
      <c r="G637" t="str">
        <f t="shared" si="28"/>
        <v>Nevada</v>
      </c>
      <c r="P637">
        <f t="shared" si="29"/>
        <v>56079</v>
      </c>
      <c r="Q637">
        <f>IF(PQ_Cleansing!L637="Excellent", P637 * 0.1, IF(PQ_Cleansing!L637="Good", P637 * 0.05, IF(PQ_Cleansing!L637="Average", P637 * 0.02, IF(PQ_Cleansing!L637="Poor", 0, 0))))</f>
        <v>1121.58</v>
      </c>
      <c r="R637">
        <f>IFERROR(VALUE(SUBSTITUTE(SUBSTITUTE(PQ_Cleansing!I637, "$", ""), ",", "")), "")</f>
        <v>56079</v>
      </c>
    </row>
    <row r="638" spans="1:18" x14ac:dyDescent="0.25">
      <c r="A638" t="str">
        <f>PROPER(TRIM(CLEAN(RAW_DATA!A638)))</f>
        <v>Emp1636</v>
      </c>
      <c r="B638" t="str">
        <f>RAW_DATA!B638</f>
        <v>Grace</v>
      </c>
      <c r="C638" t="str">
        <f>RAW_DATA!C638</f>
        <v>Smith</v>
      </c>
      <c r="D638">
        <f>RAW_DATA!D638</f>
        <v>35</v>
      </c>
      <c r="E638" t="str">
        <f>RAW_DATA!E638</f>
        <v>DevOps-Florida</v>
      </c>
      <c r="F638" t="str">
        <f t="shared" si="27"/>
        <v>DevOps</v>
      </c>
      <c r="G638" t="str">
        <f t="shared" si="28"/>
        <v>Florida</v>
      </c>
      <c r="P638">
        <f t="shared" si="29"/>
        <v>85268.279969293711</v>
      </c>
      <c r="Q638">
        <f>IF(PQ_Cleansing!L638="Excellent", P638 * 0.1, IF(PQ_Cleansing!L638="Good", P638 * 0.05, IF(PQ_Cleansing!L638="Average", P638 * 0.02, IF(PQ_Cleansing!L638="Poor", 0, 0))))</f>
        <v>4263.4139984646854</v>
      </c>
      <c r="R638" t="str">
        <f>IFERROR(VALUE(SUBSTITUTE(SUBSTITUTE(PQ_Cleansing!I638, "$", ""), ",", "")), "")</f>
        <v/>
      </c>
    </row>
    <row r="639" spans="1:18" x14ac:dyDescent="0.25">
      <c r="A639" t="str">
        <f>PROPER(TRIM(CLEAN(RAW_DATA!A639)))</f>
        <v>Emp1637</v>
      </c>
      <c r="B639" t="str">
        <f>RAW_DATA!B639</f>
        <v>Bob</v>
      </c>
      <c r="C639" t="str">
        <f>RAW_DATA!C639</f>
        <v>Davis</v>
      </c>
      <c r="D639">
        <f>RAW_DATA!D639</f>
        <v>25</v>
      </c>
      <c r="E639" t="str">
        <f>RAW_DATA!E639</f>
        <v>Sales-California</v>
      </c>
      <c r="F639" t="str">
        <f t="shared" si="27"/>
        <v>Sales</v>
      </c>
      <c r="G639" t="str">
        <f t="shared" si="28"/>
        <v>California</v>
      </c>
      <c r="P639">
        <f t="shared" si="29"/>
        <v>89137.97</v>
      </c>
      <c r="Q639">
        <f>IF(PQ_Cleansing!L639="Excellent", P639 * 0.1, IF(PQ_Cleansing!L639="Good", P639 * 0.05, IF(PQ_Cleansing!L639="Average", P639 * 0.02, IF(PQ_Cleansing!L639="Poor", 0, 0))))</f>
        <v>1782.7594000000001</v>
      </c>
      <c r="R639">
        <f>IFERROR(VALUE(SUBSTITUTE(SUBSTITUTE(PQ_Cleansing!I639, "$", ""), ",", "")), "")</f>
        <v>89137.97</v>
      </c>
    </row>
    <row r="640" spans="1:18" x14ac:dyDescent="0.25">
      <c r="A640" t="str">
        <f>PROPER(TRIM(CLEAN(RAW_DATA!A640)))</f>
        <v>Emp1638</v>
      </c>
      <c r="B640" t="str">
        <f>RAW_DATA!B640</f>
        <v>Frank</v>
      </c>
      <c r="C640" t="str">
        <f>RAW_DATA!C640</f>
        <v>Johnson</v>
      </c>
      <c r="D640">
        <f>RAW_DATA!D640</f>
        <v>35</v>
      </c>
      <c r="E640" t="str">
        <f>RAW_DATA!E640</f>
        <v>Admin-Illinois</v>
      </c>
      <c r="F640" t="str">
        <f t="shared" si="27"/>
        <v>Admin</v>
      </c>
      <c r="G640" t="str">
        <f t="shared" si="28"/>
        <v>Illinois</v>
      </c>
      <c r="P640">
        <f t="shared" si="29"/>
        <v>115079.97</v>
      </c>
      <c r="Q640">
        <f>IF(PQ_Cleansing!L640="Excellent", P640 * 0.1, IF(PQ_Cleansing!L640="Good", P640 * 0.05, IF(PQ_Cleansing!L640="Average", P640 * 0.02, IF(PQ_Cleansing!L640="Poor", 0, 0))))</f>
        <v>11507.997000000001</v>
      </c>
      <c r="R640">
        <f>IFERROR(VALUE(SUBSTITUTE(SUBSTITUTE(PQ_Cleansing!I640, "$", ""), ",", "")), "")</f>
        <v>115079.97</v>
      </c>
    </row>
    <row r="641" spans="1:18" x14ac:dyDescent="0.25">
      <c r="A641" t="str">
        <f>PROPER(TRIM(CLEAN(RAW_DATA!A641)))</f>
        <v>Emp1639</v>
      </c>
      <c r="B641" t="str">
        <f>RAW_DATA!B641</f>
        <v>Eva</v>
      </c>
      <c r="C641" t="str">
        <f>RAW_DATA!C641</f>
        <v>Garcia</v>
      </c>
      <c r="D641">
        <f>RAW_DATA!D641</f>
        <v>30</v>
      </c>
      <c r="E641" t="str">
        <f>RAW_DATA!E641</f>
        <v>Finance-Illinois</v>
      </c>
      <c r="F641" t="str">
        <f t="shared" si="27"/>
        <v>Finance</v>
      </c>
      <c r="G641" t="str">
        <f t="shared" si="28"/>
        <v>Illinois</v>
      </c>
      <c r="P641">
        <f t="shared" si="29"/>
        <v>55067.02</v>
      </c>
      <c r="Q641">
        <f>IF(PQ_Cleansing!L641="Excellent", P641 * 0.1, IF(PQ_Cleansing!L641="Good", P641 * 0.05, IF(PQ_Cleansing!L641="Average", P641 * 0.02, IF(PQ_Cleansing!L641="Poor", 0, 0))))</f>
        <v>0</v>
      </c>
      <c r="R641">
        <f>IFERROR(VALUE(SUBSTITUTE(SUBSTITUTE(PQ_Cleansing!I641, "$", ""), ",", "")), "")</f>
        <v>55067.02</v>
      </c>
    </row>
    <row r="642" spans="1:18" x14ac:dyDescent="0.25">
      <c r="A642" t="str">
        <f>PROPER(TRIM(CLEAN(RAW_DATA!A642)))</f>
        <v>Emp1640</v>
      </c>
      <c r="B642" t="str">
        <f>RAW_DATA!B642</f>
        <v>Bob</v>
      </c>
      <c r="C642" t="str">
        <f>RAW_DATA!C642</f>
        <v>Miller</v>
      </c>
      <c r="D642">
        <f>RAW_DATA!D642</f>
        <v>0</v>
      </c>
      <c r="E642" t="str">
        <f>RAW_DATA!E642</f>
        <v>HR-Illinois</v>
      </c>
      <c r="F642" t="str">
        <f t="shared" si="27"/>
        <v>HR</v>
      </c>
      <c r="G642" t="str">
        <f t="shared" si="28"/>
        <v>Illinois</v>
      </c>
      <c r="P642">
        <f t="shared" si="29"/>
        <v>98593.43</v>
      </c>
      <c r="Q642">
        <f>IF(PQ_Cleansing!L642="Excellent", P642 * 0.1, IF(PQ_Cleansing!L642="Good", P642 * 0.05, IF(PQ_Cleansing!L642="Average", P642 * 0.02, IF(PQ_Cleansing!L642="Poor", 0, 0))))</f>
        <v>1971.8686</v>
      </c>
      <c r="R642">
        <f>IFERROR(VALUE(SUBSTITUTE(SUBSTITUTE(PQ_Cleansing!I642, "$", ""), ",", "")), "")</f>
        <v>98593.43</v>
      </c>
    </row>
    <row r="643" spans="1:18" x14ac:dyDescent="0.25">
      <c r="A643" t="str">
        <f>PROPER(TRIM(CLEAN(RAW_DATA!A643)))</f>
        <v>Emp1641</v>
      </c>
      <c r="B643" t="str">
        <f>RAW_DATA!B643</f>
        <v>Heidi</v>
      </c>
      <c r="C643" t="str">
        <f>RAW_DATA!C643</f>
        <v>Miller</v>
      </c>
      <c r="D643">
        <f>RAW_DATA!D643</f>
        <v>30</v>
      </c>
      <c r="E643" t="str">
        <f>RAW_DATA!E643</f>
        <v>HR-Florida</v>
      </c>
      <c r="F643" t="str">
        <f t="shared" ref="F643:F706" si="30">LEFT(E643, FIND("-", E643) - 1)</f>
        <v>HR</v>
      </c>
      <c r="G643" t="str">
        <f t="shared" ref="G643:G706" si="31">RIGHT(E643, LEN(E643) - FIND("-",E643))</f>
        <v>Florida</v>
      </c>
      <c r="P643">
        <f t="shared" ref="P643:P706" si="32">IF(ISNUMBER(R643), R643, AVERAGEIF($R$2:$R$1000, "&gt;0"))</f>
        <v>112756.67</v>
      </c>
      <c r="Q643">
        <f>IF(PQ_Cleansing!L643="Excellent", P643 * 0.1, IF(PQ_Cleansing!L643="Good", P643 * 0.05, IF(PQ_Cleansing!L643="Average", P643 * 0.02, IF(PQ_Cleansing!L643="Poor", 0, 0))))</f>
        <v>2255.1334000000002</v>
      </c>
      <c r="R643">
        <f>IFERROR(VALUE(SUBSTITUTE(SUBSTITUTE(PQ_Cleansing!I643, "$", ""), ",", "")), "")</f>
        <v>112756.67</v>
      </c>
    </row>
    <row r="644" spans="1:18" x14ac:dyDescent="0.25">
      <c r="A644" t="str">
        <f>PROPER(TRIM(CLEAN(RAW_DATA!A644)))</f>
        <v>Emp1642</v>
      </c>
      <c r="B644" t="str">
        <f>RAW_DATA!B644</f>
        <v>Heidi</v>
      </c>
      <c r="C644" t="str">
        <f>RAW_DATA!C644</f>
        <v>Garcia</v>
      </c>
      <c r="D644">
        <f>RAW_DATA!D644</f>
        <v>25</v>
      </c>
      <c r="E644" t="str">
        <f>RAW_DATA!E644</f>
        <v>HR-Texas</v>
      </c>
      <c r="F644" t="str">
        <f t="shared" si="30"/>
        <v>HR</v>
      </c>
      <c r="G644" t="str">
        <f t="shared" si="31"/>
        <v>Texas</v>
      </c>
      <c r="P644">
        <f t="shared" si="32"/>
        <v>105205.92</v>
      </c>
      <c r="Q644">
        <f>IF(PQ_Cleansing!L644="Excellent", P644 * 0.1, IF(PQ_Cleansing!L644="Good", P644 * 0.05, IF(PQ_Cleansing!L644="Average", P644 * 0.02, IF(PQ_Cleansing!L644="Poor", 0, 0))))</f>
        <v>0</v>
      </c>
      <c r="R644">
        <f>IFERROR(VALUE(SUBSTITUTE(SUBSTITUTE(PQ_Cleansing!I644, "$", ""), ",", "")), "")</f>
        <v>105205.92</v>
      </c>
    </row>
    <row r="645" spans="1:18" x14ac:dyDescent="0.25">
      <c r="A645" t="str">
        <f>PROPER(TRIM(CLEAN(RAW_DATA!A645)))</f>
        <v>Emp1643</v>
      </c>
      <c r="B645" t="str">
        <f>RAW_DATA!B645</f>
        <v>David</v>
      </c>
      <c r="C645" t="str">
        <f>RAW_DATA!C645</f>
        <v>Smith</v>
      </c>
      <c r="D645">
        <f>RAW_DATA!D645</f>
        <v>35</v>
      </c>
      <c r="E645" t="str">
        <f>RAW_DATA!E645</f>
        <v>Finance-California</v>
      </c>
      <c r="F645" t="str">
        <f t="shared" si="30"/>
        <v>Finance</v>
      </c>
      <c r="G645" t="str">
        <f t="shared" si="31"/>
        <v>California</v>
      </c>
      <c r="P645">
        <f t="shared" si="32"/>
        <v>50680.62</v>
      </c>
      <c r="Q645">
        <f>IF(PQ_Cleansing!L645="Excellent", P645 * 0.1, IF(PQ_Cleansing!L645="Good", P645 * 0.05, IF(PQ_Cleansing!L645="Average", P645 * 0.02, IF(PQ_Cleansing!L645="Poor", 0, 0))))</f>
        <v>1013.6124000000001</v>
      </c>
      <c r="R645">
        <f>IFERROR(VALUE(SUBSTITUTE(SUBSTITUTE(PQ_Cleansing!I645, "$", ""), ",", "")), "")</f>
        <v>50680.62</v>
      </c>
    </row>
    <row r="646" spans="1:18" x14ac:dyDescent="0.25">
      <c r="A646" t="str">
        <f>PROPER(TRIM(CLEAN(RAW_DATA!A646)))</f>
        <v>Emp1644</v>
      </c>
      <c r="B646" t="str">
        <f>RAW_DATA!B646</f>
        <v>David</v>
      </c>
      <c r="C646" t="str">
        <f>RAW_DATA!C646</f>
        <v>Garcia</v>
      </c>
      <c r="D646">
        <f>RAW_DATA!D646</f>
        <v>35</v>
      </c>
      <c r="E646" t="str">
        <f>RAW_DATA!E646</f>
        <v>Cloud Tech-Florida</v>
      </c>
      <c r="F646" t="str">
        <f t="shared" si="30"/>
        <v>Cloud Tech</v>
      </c>
      <c r="G646" t="str">
        <f t="shared" si="31"/>
        <v>Florida</v>
      </c>
      <c r="P646">
        <f t="shared" si="32"/>
        <v>107475.23</v>
      </c>
      <c r="Q646">
        <f>IF(PQ_Cleansing!L646="Excellent", P646 * 0.1, IF(PQ_Cleansing!L646="Good", P646 * 0.05, IF(PQ_Cleansing!L646="Average", P646 * 0.02, IF(PQ_Cleansing!L646="Poor", 0, 0))))</f>
        <v>2149.5045999999998</v>
      </c>
      <c r="R646">
        <f>IFERROR(VALUE(SUBSTITUTE(SUBSTITUTE(PQ_Cleansing!I646, "$", ""), ",", "")), "")</f>
        <v>107475.23</v>
      </c>
    </row>
    <row r="647" spans="1:18" x14ac:dyDescent="0.25">
      <c r="A647" t="str">
        <f>PROPER(TRIM(CLEAN(RAW_DATA!A647)))</f>
        <v>Emp1645</v>
      </c>
      <c r="B647" t="str">
        <f>RAW_DATA!B647</f>
        <v>Charlie</v>
      </c>
      <c r="C647" t="str">
        <f>RAW_DATA!C647</f>
        <v>Jones</v>
      </c>
      <c r="D647">
        <f>RAW_DATA!D647</f>
        <v>40</v>
      </c>
      <c r="E647" t="str">
        <f>RAW_DATA!E647</f>
        <v>HR-California</v>
      </c>
      <c r="F647" t="str">
        <f t="shared" si="30"/>
        <v>HR</v>
      </c>
      <c r="G647" t="str">
        <f t="shared" si="31"/>
        <v>California</v>
      </c>
      <c r="P647">
        <f t="shared" si="32"/>
        <v>68835.3</v>
      </c>
      <c r="Q647">
        <f>IF(PQ_Cleansing!L647="Excellent", P647 * 0.1, IF(PQ_Cleansing!L647="Good", P647 * 0.05, IF(PQ_Cleansing!L647="Average", P647 * 0.02, IF(PQ_Cleansing!L647="Poor", 0, 0))))</f>
        <v>3441.7650000000003</v>
      </c>
      <c r="R647">
        <f>IFERROR(VALUE(SUBSTITUTE(SUBSTITUTE(PQ_Cleansing!I647, "$", ""), ",", "")), "")</f>
        <v>68835.3</v>
      </c>
    </row>
    <row r="648" spans="1:18" x14ac:dyDescent="0.25">
      <c r="A648" t="str">
        <f>PROPER(TRIM(CLEAN(RAW_DATA!A648)))</f>
        <v>Emp1646</v>
      </c>
      <c r="B648" t="str">
        <f>RAW_DATA!B648</f>
        <v>David</v>
      </c>
      <c r="C648" t="str">
        <f>RAW_DATA!C648</f>
        <v>Jones</v>
      </c>
      <c r="D648">
        <f>RAW_DATA!D648</f>
        <v>40</v>
      </c>
      <c r="E648" t="str">
        <f>RAW_DATA!E648</f>
        <v>DevOps-New York</v>
      </c>
      <c r="F648" t="str">
        <f t="shared" si="30"/>
        <v>DevOps</v>
      </c>
      <c r="G648" t="str">
        <f t="shared" si="31"/>
        <v>New York</v>
      </c>
      <c r="P648">
        <f t="shared" si="32"/>
        <v>66943.960000000006</v>
      </c>
      <c r="Q648">
        <f>IF(PQ_Cleansing!L648="Excellent", P648 * 0.1, IF(PQ_Cleansing!L648="Good", P648 * 0.05, IF(PQ_Cleansing!L648="Average", P648 * 0.02, IF(PQ_Cleansing!L648="Poor", 0, 0))))</f>
        <v>0</v>
      </c>
      <c r="R648">
        <f>IFERROR(VALUE(SUBSTITUTE(SUBSTITUTE(PQ_Cleansing!I648, "$", ""), ",", "")), "")</f>
        <v>66943.960000000006</v>
      </c>
    </row>
    <row r="649" spans="1:18" x14ac:dyDescent="0.25">
      <c r="A649" t="str">
        <f>PROPER(TRIM(CLEAN(RAW_DATA!A649)))</f>
        <v>Emp1647</v>
      </c>
      <c r="B649" t="str">
        <f>RAW_DATA!B649</f>
        <v>David</v>
      </c>
      <c r="C649" t="str">
        <f>RAW_DATA!C649</f>
        <v>Smith</v>
      </c>
      <c r="D649">
        <f>RAW_DATA!D649</f>
        <v>30</v>
      </c>
      <c r="E649" t="str">
        <f>RAW_DATA!E649</f>
        <v>Admin-Illinois</v>
      </c>
      <c r="F649" t="str">
        <f t="shared" si="30"/>
        <v>Admin</v>
      </c>
      <c r="G649" t="str">
        <f t="shared" si="31"/>
        <v>Illinois</v>
      </c>
      <c r="P649">
        <f t="shared" si="32"/>
        <v>104525.69</v>
      </c>
      <c r="Q649">
        <f>IF(PQ_Cleansing!L649="Excellent", P649 * 0.1, IF(PQ_Cleansing!L649="Good", P649 * 0.05, IF(PQ_Cleansing!L649="Average", P649 * 0.02, IF(PQ_Cleansing!L649="Poor", 0, 0))))</f>
        <v>10452.569000000001</v>
      </c>
      <c r="R649">
        <f>IFERROR(VALUE(SUBSTITUTE(SUBSTITUTE(PQ_Cleansing!I649, "$", ""), ",", "")), "")</f>
        <v>104525.69</v>
      </c>
    </row>
    <row r="650" spans="1:18" x14ac:dyDescent="0.25">
      <c r="A650" t="str">
        <f>PROPER(TRIM(CLEAN(RAW_DATA!A650)))</f>
        <v>Emp1648</v>
      </c>
      <c r="B650" t="str">
        <f>RAW_DATA!B650</f>
        <v>Bob</v>
      </c>
      <c r="C650" t="str">
        <f>RAW_DATA!C650</f>
        <v>Garcia</v>
      </c>
      <c r="D650">
        <f>RAW_DATA!D650</f>
        <v>40</v>
      </c>
      <c r="E650" t="str">
        <f>RAW_DATA!E650</f>
        <v>Sales-Texas</v>
      </c>
      <c r="F650" t="str">
        <f t="shared" si="30"/>
        <v>Sales</v>
      </c>
      <c r="G650" t="str">
        <f t="shared" si="31"/>
        <v>Texas</v>
      </c>
      <c r="P650">
        <f t="shared" si="32"/>
        <v>109360.74</v>
      </c>
      <c r="Q650">
        <f>IF(PQ_Cleansing!L650="Excellent", P650 * 0.1, IF(PQ_Cleansing!L650="Good", P650 * 0.05, IF(PQ_Cleansing!L650="Average", P650 * 0.02, IF(PQ_Cleansing!L650="Poor", 0, 0))))</f>
        <v>2187.2148000000002</v>
      </c>
      <c r="R650">
        <f>IFERROR(VALUE(SUBSTITUTE(SUBSTITUTE(PQ_Cleansing!I650, "$", ""), ",", "")), "")</f>
        <v>109360.74</v>
      </c>
    </row>
    <row r="651" spans="1:18" x14ac:dyDescent="0.25">
      <c r="A651" t="str">
        <f>PROPER(TRIM(CLEAN(RAW_DATA!A651)))</f>
        <v>Emp1649</v>
      </c>
      <c r="B651" t="str">
        <f>RAW_DATA!B651</f>
        <v>Frank</v>
      </c>
      <c r="C651" t="str">
        <f>RAW_DATA!C651</f>
        <v>Jones</v>
      </c>
      <c r="D651">
        <f>RAW_DATA!D651</f>
        <v>40</v>
      </c>
      <c r="E651" t="str">
        <f>RAW_DATA!E651</f>
        <v>Sales-California</v>
      </c>
      <c r="F651" t="str">
        <f t="shared" si="30"/>
        <v>Sales</v>
      </c>
      <c r="G651" t="str">
        <f t="shared" si="31"/>
        <v>California</v>
      </c>
      <c r="P651">
        <f t="shared" si="32"/>
        <v>118907.63</v>
      </c>
      <c r="Q651">
        <f>IF(PQ_Cleansing!L651="Excellent", P651 * 0.1, IF(PQ_Cleansing!L651="Good", P651 * 0.05, IF(PQ_Cleansing!L651="Average", P651 * 0.02, IF(PQ_Cleansing!L651="Poor", 0, 0))))</f>
        <v>0</v>
      </c>
      <c r="R651">
        <f>IFERROR(VALUE(SUBSTITUTE(SUBSTITUTE(PQ_Cleansing!I651, "$", ""), ",", "")), "")</f>
        <v>118907.63</v>
      </c>
    </row>
    <row r="652" spans="1:18" x14ac:dyDescent="0.25">
      <c r="A652" t="str">
        <f>PROPER(TRIM(CLEAN(RAW_DATA!A652)))</f>
        <v>Emp1650</v>
      </c>
      <c r="B652" t="str">
        <f>RAW_DATA!B652</f>
        <v>Eva</v>
      </c>
      <c r="C652" t="str">
        <f>RAW_DATA!C652</f>
        <v>Davis</v>
      </c>
      <c r="D652">
        <f>RAW_DATA!D652</f>
        <v>40</v>
      </c>
      <c r="E652" t="str">
        <f>RAW_DATA!E652</f>
        <v>Admin-Illinois</v>
      </c>
      <c r="F652" t="str">
        <f t="shared" si="30"/>
        <v>Admin</v>
      </c>
      <c r="G652" t="str">
        <f t="shared" si="31"/>
        <v>Illinois</v>
      </c>
      <c r="P652">
        <f t="shared" si="32"/>
        <v>86801.48</v>
      </c>
      <c r="Q652">
        <f>IF(PQ_Cleansing!L652="Excellent", P652 * 0.1, IF(PQ_Cleansing!L652="Good", P652 * 0.05, IF(PQ_Cleansing!L652="Average", P652 * 0.02, IF(PQ_Cleansing!L652="Poor", 0, 0))))</f>
        <v>4340.0739999999996</v>
      </c>
      <c r="R652">
        <f>IFERROR(VALUE(SUBSTITUTE(SUBSTITUTE(PQ_Cleansing!I652, "$", ""), ",", "")), "")</f>
        <v>86801.48</v>
      </c>
    </row>
    <row r="653" spans="1:18" x14ac:dyDescent="0.25">
      <c r="A653" t="str">
        <f>PROPER(TRIM(CLEAN(RAW_DATA!A653)))</f>
        <v>Emp1651</v>
      </c>
      <c r="B653" t="str">
        <f>RAW_DATA!B653</f>
        <v>Alice</v>
      </c>
      <c r="C653" t="str">
        <f>RAW_DATA!C653</f>
        <v>Garcia</v>
      </c>
      <c r="D653">
        <f>RAW_DATA!D653</f>
        <v>0</v>
      </c>
      <c r="E653" t="str">
        <f>RAW_DATA!E653</f>
        <v>HR-Florida</v>
      </c>
      <c r="F653" t="str">
        <f t="shared" si="30"/>
        <v>HR</v>
      </c>
      <c r="G653" t="str">
        <f t="shared" si="31"/>
        <v>Florida</v>
      </c>
      <c r="P653">
        <f t="shared" si="32"/>
        <v>62236.03</v>
      </c>
      <c r="Q653">
        <f>IF(PQ_Cleansing!L653="Excellent", P653 * 0.1, IF(PQ_Cleansing!L653="Good", P653 * 0.05, IF(PQ_Cleansing!L653="Average", P653 * 0.02, IF(PQ_Cleansing!L653="Poor", 0, 0))))</f>
        <v>6223.6030000000001</v>
      </c>
      <c r="R653">
        <f>IFERROR(VALUE(SUBSTITUTE(SUBSTITUTE(PQ_Cleansing!I653, "$", ""), ",", "")), "")</f>
        <v>62236.03</v>
      </c>
    </row>
    <row r="654" spans="1:18" x14ac:dyDescent="0.25">
      <c r="A654" t="str">
        <f>PROPER(TRIM(CLEAN(RAW_DATA!A654)))</f>
        <v>Emp1652</v>
      </c>
      <c r="B654" t="str">
        <f>RAW_DATA!B654</f>
        <v>Heidi</v>
      </c>
      <c r="C654" t="str">
        <f>RAW_DATA!C654</f>
        <v>Davis</v>
      </c>
      <c r="D654">
        <f>RAW_DATA!D654</f>
        <v>35</v>
      </c>
      <c r="E654" t="str">
        <f>RAW_DATA!E654</f>
        <v>DevOps-Texas</v>
      </c>
      <c r="F654" t="str">
        <f t="shared" si="30"/>
        <v>DevOps</v>
      </c>
      <c r="G654" t="str">
        <f t="shared" si="31"/>
        <v>Texas</v>
      </c>
      <c r="P654">
        <f t="shared" si="32"/>
        <v>64752.67</v>
      </c>
      <c r="Q654">
        <f>IF(PQ_Cleansing!L654="Excellent", P654 * 0.1, IF(PQ_Cleansing!L654="Good", P654 * 0.05, IF(PQ_Cleansing!L654="Average", P654 * 0.02, IF(PQ_Cleansing!L654="Poor", 0, 0))))</f>
        <v>0</v>
      </c>
      <c r="R654">
        <f>IFERROR(VALUE(SUBSTITUTE(SUBSTITUTE(PQ_Cleansing!I654, "$", ""), ",", "")), "")</f>
        <v>64752.67</v>
      </c>
    </row>
    <row r="655" spans="1:18" x14ac:dyDescent="0.25">
      <c r="A655" t="str">
        <f>PROPER(TRIM(CLEAN(RAW_DATA!A655)))</f>
        <v>Emp1653</v>
      </c>
      <c r="B655" t="str">
        <f>RAW_DATA!B655</f>
        <v>Frank</v>
      </c>
      <c r="C655" t="str">
        <f>RAW_DATA!C655</f>
        <v>Jones</v>
      </c>
      <c r="D655">
        <f>RAW_DATA!D655</f>
        <v>35</v>
      </c>
      <c r="E655" t="str">
        <f>RAW_DATA!E655</f>
        <v>Sales-California</v>
      </c>
      <c r="F655" t="str">
        <f t="shared" si="30"/>
        <v>Sales</v>
      </c>
      <c r="G655" t="str">
        <f t="shared" si="31"/>
        <v>California</v>
      </c>
      <c r="P655">
        <f t="shared" si="32"/>
        <v>68399.429999999993</v>
      </c>
      <c r="Q655">
        <f>IF(PQ_Cleansing!L655="Excellent", P655 * 0.1, IF(PQ_Cleansing!L655="Good", P655 * 0.05, IF(PQ_Cleansing!L655="Average", P655 * 0.02, IF(PQ_Cleansing!L655="Poor", 0, 0))))</f>
        <v>6839.9429999999993</v>
      </c>
      <c r="R655">
        <f>IFERROR(VALUE(SUBSTITUTE(SUBSTITUTE(PQ_Cleansing!I655, "$", ""), ",", "")), "")</f>
        <v>68399.429999999993</v>
      </c>
    </row>
    <row r="656" spans="1:18" x14ac:dyDescent="0.25">
      <c r="A656" t="str">
        <f>PROPER(TRIM(CLEAN(RAW_DATA!A656)))</f>
        <v>Emp1654</v>
      </c>
      <c r="B656" t="str">
        <f>RAW_DATA!B656</f>
        <v>Frank</v>
      </c>
      <c r="C656" t="str">
        <f>RAW_DATA!C656</f>
        <v>Miller</v>
      </c>
      <c r="D656">
        <f>RAW_DATA!D656</f>
        <v>35</v>
      </c>
      <c r="E656" t="str">
        <f>RAW_DATA!E656</f>
        <v>Admin-Florida</v>
      </c>
      <c r="F656" t="str">
        <f t="shared" si="30"/>
        <v>Admin</v>
      </c>
      <c r="G656" t="str">
        <f t="shared" si="31"/>
        <v>Florida</v>
      </c>
      <c r="P656">
        <f t="shared" si="32"/>
        <v>79336.509999999995</v>
      </c>
      <c r="Q656">
        <f>IF(PQ_Cleansing!L656="Excellent", P656 * 0.1, IF(PQ_Cleansing!L656="Good", P656 * 0.05, IF(PQ_Cleansing!L656="Average", P656 * 0.02, IF(PQ_Cleansing!L656="Poor", 0, 0))))</f>
        <v>7933.6509999999998</v>
      </c>
      <c r="R656">
        <f>IFERROR(VALUE(SUBSTITUTE(SUBSTITUTE(PQ_Cleansing!I656, "$", ""), ",", "")), "")</f>
        <v>79336.509999999995</v>
      </c>
    </row>
    <row r="657" spans="1:18" x14ac:dyDescent="0.25">
      <c r="A657" t="str">
        <f>PROPER(TRIM(CLEAN(RAW_DATA!A657)))</f>
        <v>Emp1655</v>
      </c>
      <c r="B657" t="str">
        <f>RAW_DATA!B657</f>
        <v>Frank</v>
      </c>
      <c r="C657" t="str">
        <f>RAW_DATA!C657</f>
        <v>Jones</v>
      </c>
      <c r="D657">
        <f>RAW_DATA!D657</f>
        <v>40</v>
      </c>
      <c r="E657" t="str">
        <f>RAW_DATA!E657</f>
        <v>HR-Florida</v>
      </c>
      <c r="F657" t="str">
        <f t="shared" si="30"/>
        <v>HR</v>
      </c>
      <c r="G657" t="str">
        <f t="shared" si="31"/>
        <v>Florida</v>
      </c>
      <c r="P657">
        <f t="shared" si="32"/>
        <v>59179.74</v>
      </c>
      <c r="Q657">
        <f>IF(PQ_Cleansing!L657="Excellent", P657 * 0.1, IF(PQ_Cleansing!L657="Good", P657 * 0.05, IF(PQ_Cleansing!L657="Average", P657 * 0.02, IF(PQ_Cleansing!L657="Poor", 0, 0))))</f>
        <v>5917.9740000000002</v>
      </c>
      <c r="R657">
        <f>IFERROR(VALUE(SUBSTITUTE(SUBSTITUTE(PQ_Cleansing!I657, "$", ""), ",", "")), "")</f>
        <v>59179.74</v>
      </c>
    </row>
    <row r="658" spans="1:18" x14ac:dyDescent="0.25">
      <c r="A658" t="str">
        <f>PROPER(TRIM(CLEAN(RAW_DATA!A658)))</f>
        <v>Emp1656</v>
      </c>
      <c r="B658" t="str">
        <f>RAW_DATA!B658</f>
        <v>David</v>
      </c>
      <c r="C658" t="str">
        <f>RAW_DATA!C658</f>
        <v>Davis</v>
      </c>
      <c r="D658">
        <f>RAW_DATA!D658</f>
        <v>25</v>
      </c>
      <c r="E658" t="str">
        <f>RAW_DATA!E658</f>
        <v>DevOps-California</v>
      </c>
      <c r="F658" t="str">
        <f t="shared" si="30"/>
        <v>DevOps</v>
      </c>
      <c r="G658" t="str">
        <f t="shared" si="31"/>
        <v>California</v>
      </c>
      <c r="P658">
        <f t="shared" si="32"/>
        <v>80255.31</v>
      </c>
      <c r="Q658">
        <f>IF(PQ_Cleansing!L658="Excellent", P658 * 0.1, IF(PQ_Cleansing!L658="Good", P658 * 0.05, IF(PQ_Cleansing!L658="Average", P658 * 0.02, IF(PQ_Cleansing!L658="Poor", 0, 0))))</f>
        <v>1605.1061999999999</v>
      </c>
      <c r="R658">
        <f>IFERROR(VALUE(SUBSTITUTE(SUBSTITUTE(PQ_Cleansing!I658, "$", ""), ",", "")), "")</f>
        <v>80255.31</v>
      </c>
    </row>
    <row r="659" spans="1:18" x14ac:dyDescent="0.25">
      <c r="A659" t="str">
        <f>PROPER(TRIM(CLEAN(RAW_DATA!A659)))</f>
        <v>Emp1657</v>
      </c>
      <c r="B659" t="str">
        <f>RAW_DATA!B659</f>
        <v>Charlie</v>
      </c>
      <c r="C659" t="str">
        <f>RAW_DATA!C659</f>
        <v>Williams</v>
      </c>
      <c r="D659">
        <f>RAW_DATA!D659</f>
        <v>30</v>
      </c>
      <c r="E659" t="str">
        <f>RAW_DATA!E659</f>
        <v>Finance-Texas</v>
      </c>
      <c r="F659" t="str">
        <f t="shared" si="30"/>
        <v>Finance</v>
      </c>
      <c r="G659" t="str">
        <f t="shared" si="31"/>
        <v>Texas</v>
      </c>
      <c r="P659">
        <f t="shared" si="32"/>
        <v>84971.85</v>
      </c>
      <c r="Q659">
        <f>IF(PQ_Cleansing!L659="Excellent", P659 * 0.1, IF(PQ_Cleansing!L659="Good", P659 * 0.05, IF(PQ_Cleansing!L659="Average", P659 * 0.02, IF(PQ_Cleansing!L659="Poor", 0, 0))))</f>
        <v>1699.4370000000001</v>
      </c>
      <c r="R659">
        <f>IFERROR(VALUE(SUBSTITUTE(SUBSTITUTE(PQ_Cleansing!I659, "$", ""), ",", "")), "")</f>
        <v>84971.85</v>
      </c>
    </row>
    <row r="660" spans="1:18" x14ac:dyDescent="0.25">
      <c r="A660" t="str">
        <f>PROPER(TRIM(CLEAN(RAW_DATA!A660)))</f>
        <v>Emp1658</v>
      </c>
      <c r="B660" t="str">
        <f>RAW_DATA!B660</f>
        <v>Frank</v>
      </c>
      <c r="C660" t="str">
        <f>RAW_DATA!C660</f>
        <v>Brown</v>
      </c>
      <c r="D660">
        <f>RAW_DATA!D660</f>
        <v>40</v>
      </c>
      <c r="E660" t="str">
        <f>RAW_DATA!E660</f>
        <v>HR-California</v>
      </c>
      <c r="F660" t="str">
        <f t="shared" si="30"/>
        <v>HR</v>
      </c>
      <c r="G660" t="str">
        <f t="shared" si="31"/>
        <v>California</v>
      </c>
      <c r="P660">
        <f t="shared" si="32"/>
        <v>89748.42</v>
      </c>
      <c r="Q660">
        <f>IF(PQ_Cleansing!L660="Excellent", P660 * 0.1, IF(PQ_Cleansing!L660="Good", P660 * 0.05, IF(PQ_Cleansing!L660="Average", P660 * 0.02, IF(PQ_Cleansing!L660="Poor", 0, 0))))</f>
        <v>4487.4210000000003</v>
      </c>
      <c r="R660">
        <f>IFERROR(VALUE(SUBSTITUTE(SUBSTITUTE(PQ_Cleansing!I660, "$", ""), ",", "")), "")</f>
        <v>89748.42</v>
      </c>
    </row>
    <row r="661" spans="1:18" x14ac:dyDescent="0.25">
      <c r="A661" t="str">
        <f>PROPER(TRIM(CLEAN(RAW_DATA!A661)))</f>
        <v>Emp1659</v>
      </c>
      <c r="B661" t="str">
        <f>RAW_DATA!B661</f>
        <v>Charlie</v>
      </c>
      <c r="C661" t="str">
        <f>RAW_DATA!C661</f>
        <v>Johnson</v>
      </c>
      <c r="D661">
        <f>RAW_DATA!D661</f>
        <v>25</v>
      </c>
      <c r="E661" t="str">
        <f>RAW_DATA!E661</f>
        <v>Admin-California</v>
      </c>
      <c r="F661" t="str">
        <f t="shared" si="30"/>
        <v>Admin</v>
      </c>
      <c r="G661" t="str">
        <f t="shared" si="31"/>
        <v>California</v>
      </c>
      <c r="P661">
        <f t="shared" si="32"/>
        <v>94090.35</v>
      </c>
      <c r="Q661">
        <f>IF(PQ_Cleansing!L661="Excellent", P661 * 0.1, IF(PQ_Cleansing!L661="Good", P661 * 0.05, IF(PQ_Cleansing!L661="Average", P661 * 0.02, IF(PQ_Cleansing!L661="Poor", 0, 0))))</f>
        <v>4704.5175000000008</v>
      </c>
      <c r="R661">
        <f>IFERROR(VALUE(SUBSTITUTE(SUBSTITUTE(PQ_Cleansing!I661, "$", ""), ",", "")), "")</f>
        <v>94090.35</v>
      </c>
    </row>
    <row r="662" spans="1:18" x14ac:dyDescent="0.25">
      <c r="A662" t="str">
        <f>PROPER(TRIM(CLEAN(RAW_DATA!A662)))</f>
        <v>Emp1660</v>
      </c>
      <c r="B662" t="str">
        <f>RAW_DATA!B662</f>
        <v>Frank</v>
      </c>
      <c r="C662" t="str">
        <f>RAW_DATA!C662</f>
        <v>Garcia</v>
      </c>
      <c r="D662">
        <f>RAW_DATA!D662</f>
        <v>35</v>
      </c>
      <c r="E662" t="str">
        <f>RAW_DATA!E662</f>
        <v>HR-California</v>
      </c>
      <c r="F662" t="str">
        <f t="shared" si="30"/>
        <v>HR</v>
      </c>
      <c r="G662" t="str">
        <f t="shared" si="31"/>
        <v>California</v>
      </c>
      <c r="P662">
        <f t="shared" si="32"/>
        <v>115229.12</v>
      </c>
      <c r="Q662">
        <f>IF(PQ_Cleansing!L662="Excellent", P662 * 0.1, IF(PQ_Cleansing!L662="Good", P662 * 0.05, IF(PQ_Cleansing!L662="Average", P662 * 0.02, IF(PQ_Cleansing!L662="Poor", 0, 0))))</f>
        <v>0</v>
      </c>
      <c r="R662">
        <f>IFERROR(VALUE(SUBSTITUTE(SUBSTITUTE(PQ_Cleansing!I662, "$", ""), ",", "")), "")</f>
        <v>115229.12</v>
      </c>
    </row>
    <row r="663" spans="1:18" x14ac:dyDescent="0.25">
      <c r="A663" t="str">
        <f>PROPER(TRIM(CLEAN(RAW_DATA!A663)))</f>
        <v>Emp1661</v>
      </c>
      <c r="B663" t="str">
        <f>RAW_DATA!B663</f>
        <v>Alice</v>
      </c>
      <c r="C663" t="str">
        <f>RAW_DATA!C663</f>
        <v>Williams</v>
      </c>
      <c r="D663">
        <f>RAW_DATA!D663</f>
        <v>40</v>
      </c>
      <c r="E663" t="str">
        <f>RAW_DATA!E663</f>
        <v>Cloud Tech-California</v>
      </c>
      <c r="F663" t="str">
        <f t="shared" si="30"/>
        <v>Cloud Tech</v>
      </c>
      <c r="G663" t="str">
        <f t="shared" si="31"/>
        <v>California</v>
      </c>
      <c r="P663">
        <f t="shared" si="32"/>
        <v>63927.07</v>
      </c>
      <c r="Q663">
        <f>IF(PQ_Cleansing!L663="Excellent", P663 * 0.1, IF(PQ_Cleansing!L663="Good", P663 * 0.05, IF(PQ_Cleansing!L663="Average", P663 * 0.02, IF(PQ_Cleansing!L663="Poor", 0, 0))))</f>
        <v>3196.3535000000002</v>
      </c>
      <c r="R663">
        <f>IFERROR(VALUE(SUBSTITUTE(SUBSTITUTE(PQ_Cleansing!I663, "$", ""), ",", "")), "")</f>
        <v>63927.07</v>
      </c>
    </row>
    <row r="664" spans="1:18" x14ac:dyDescent="0.25">
      <c r="A664" t="str">
        <f>PROPER(TRIM(CLEAN(RAW_DATA!A664)))</f>
        <v>Emp1662</v>
      </c>
      <c r="B664" t="str">
        <f>RAW_DATA!B664</f>
        <v>Charlie</v>
      </c>
      <c r="C664" t="str">
        <f>RAW_DATA!C664</f>
        <v>Jones</v>
      </c>
      <c r="D664">
        <f>RAW_DATA!D664</f>
        <v>35</v>
      </c>
      <c r="E664" t="str">
        <f>RAW_DATA!E664</f>
        <v>HR-California</v>
      </c>
      <c r="F664" t="str">
        <f t="shared" si="30"/>
        <v>HR</v>
      </c>
      <c r="G664" t="str">
        <f t="shared" si="31"/>
        <v>California</v>
      </c>
      <c r="P664">
        <f t="shared" si="32"/>
        <v>84124.56</v>
      </c>
      <c r="Q664">
        <f>IF(PQ_Cleansing!L664="Excellent", P664 * 0.1, IF(PQ_Cleansing!L664="Good", P664 * 0.05, IF(PQ_Cleansing!L664="Average", P664 * 0.02, IF(PQ_Cleansing!L664="Poor", 0, 0))))</f>
        <v>8412.4560000000001</v>
      </c>
      <c r="R664">
        <f>IFERROR(VALUE(SUBSTITUTE(SUBSTITUTE(PQ_Cleansing!I664, "$", ""), ",", "")), "")</f>
        <v>84124.56</v>
      </c>
    </row>
    <row r="665" spans="1:18" x14ac:dyDescent="0.25">
      <c r="A665" t="str">
        <f>PROPER(TRIM(CLEAN(RAW_DATA!A665)))</f>
        <v>Emp1663</v>
      </c>
      <c r="B665" t="str">
        <f>RAW_DATA!B665</f>
        <v>Bob</v>
      </c>
      <c r="C665" t="str">
        <f>RAW_DATA!C665</f>
        <v>Miller</v>
      </c>
      <c r="D665">
        <f>RAW_DATA!D665</f>
        <v>40</v>
      </c>
      <c r="E665" t="str">
        <f>RAW_DATA!E665</f>
        <v>Sales-California</v>
      </c>
      <c r="F665" t="str">
        <f t="shared" si="30"/>
        <v>Sales</v>
      </c>
      <c r="G665" t="str">
        <f t="shared" si="31"/>
        <v>California</v>
      </c>
      <c r="P665">
        <f t="shared" si="32"/>
        <v>116961.61</v>
      </c>
      <c r="Q665">
        <f>IF(PQ_Cleansing!L665="Excellent", P665 * 0.1, IF(PQ_Cleansing!L665="Good", P665 * 0.05, IF(PQ_Cleansing!L665="Average", P665 * 0.02, IF(PQ_Cleansing!L665="Poor", 0, 0))))</f>
        <v>11696.161</v>
      </c>
      <c r="R665">
        <f>IFERROR(VALUE(SUBSTITUTE(SUBSTITUTE(PQ_Cleansing!I665, "$", ""), ",", "")), "")</f>
        <v>116961.61</v>
      </c>
    </row>
    <row r="666" spans="1:18" x14ac:dyDescent="0.25">
      <c r="A666" t="str">
        <f>PROPER(TRIM(CLEAN(RAW_DATA!A666)))</f>
        <v>Emp1664</v>
      </c>
      <c r="B666" t="str">
        <f>RAW_DATA!B666</f>
        <v>Frank</v>
      </c>
      <c r="C666" t="str">
        <f>RAW_DATA!C666</f>
        <v>Smith</v>
      </c>
      <c r="D666">
        <f>RAW_DATA!D666</f>
        <v>40</v>
      </c>
      <c r="E666" t="str">
        <f>RAW_DATA!E666</f>
        <v>DevOps-Illinois</v>
      </c>
      <c r="F666" t="str">
        <f t="shared" si="30"/>
        <v>DevOps</v>
      </c>
      <c r="G666" t="str">
        <f t="shared" si="31"/>
        <v>Illinois</v>
      </c>
      <c r="P666">
        <f t="shared" si="32"/>
        <v>109423.05</v>
      </c>
      <c r="Q666">
        <f>IF(PQ_Cleansing!L666="Excellent", P666 * 0.1, IF(PQ_Cleansing!L666="Good", P666 * 0.05, IF(PQ_Cleansing!L666="Average", P666 * 0.02, IF(PQ_Cleansing!L666="Poor", 0, 0))))</f>
        <v>2188.4610000000002</v>
      </c>
      <c r="R666">
        <f>IFERROR(VALUE(SUBSTITUTE(SUBSTITUTE(PQ_Cleansing!I666, "$", ""), ",", "")), "")</f>
        <v>109423.05</v>
      </c>
    </row>
    <row r="667" spans="1:18" x14ac:dyDescent="0.25">
      <c r="A667" t="str">
        <f>PROPER(TRIM(CLEAN(RAW_DATA!A667)))</f>
        <v>Emp1665</v>
      </c>
      <c r="B667" t="str">
        <f>RAW_DATA!B667</f>
        <v>Charlie</v>
      </c>
      <c r="C667" t="str">
        <f>RAW_DATA!C667</f>
        <v>Jones</v>
      </c>
      <c r="D667">
        <f>RAW_DATA!D667</f>
        <v>35</v>
      </c>
      <c r="E667" t="str">
        <f>RAW_DATA!E667</f>
        <v>Admin-California</v>
      </c>
      <c r="F667" t="str">
        <f t="shared" si="30"/>
        <v>Admin</v>
      </c>
      <c r="G667" t="str">
        <f t="shared" si="31"/>
        <v>California</v>
      </c>
      <c r="P667">
        <f t="shared" si="32"/>
        <v>70394.94</v>
      </c>
      <c r="Q667">
        <f>IF(PQ_Cleansing!L667="Excellent", P667 * 0.1, IF(PQ_Cleansing!L667="Good", P667 * 0.05, IF(PQ_Cleansing!L667="Average", P667 * 0.02, IF(PQ_Cleansing!L667="Poor", 0, 0))))</f>
        <v>7039.4940000000006</v>
      </c>
      <c r="R667">
        <f>IFERROR(VALUE(SUBSTITUTE(SUBSTITUTE(PQ_Cleansing!I667, "$", ""), ",", "")), "")</f>
        <v>70394.94</v>
      </c>
    </row>
    <row r="668" spans="1:18" x14ac:dyDescent="0.25">
      <c r="A668" t="str">
        <f>PROPER(TRIM(CLEAN(RAW_DATA!A668)))</f>
        <v>Emp1666</v>
      </c>
      <c r="B668" t="str">
        <f>RAW_DATA!B668</f>
        <v>Grace</v>
      </c>
      <c r="C668" t="str">
        <f>RAW_DATA!C668</f>
        <v>Miller</v>
      </c>
      <c r="D668">
        <f>RAW_DATA!D668</f>
        <v>35</v>
      </c>
      <c r="E668" t="str">
        <f>RAW_DATA!E668</f>
        <v>Finance-California</v>
      </c>
      <c r="F668" t="str">
        <f t="shared" si="30"/>
        <v>Finance</v>
      </c>
      <c r="G668" t="str">
        <f t="shared" si="31"/>
        <v>California</v>
      </c>
      <c r="P668">
        <f t="shared" si="32"/>
        <v>86465.5</v>
      </c>
      <c r="Q668">
        <f>IF(PQ_Cleansing!L668="Excellent", P668 * 0.1, IF(PQ_Cleansing!L668="Good", P668 * 0.05, IF(PQ_Cleansing!L668="Average", P668 * 0.02, IF(PQ_Cleansing!L668="Poor", 0, 0))))</f>
        <v>0</v>
      </c>
      <c r="R668">
        <f>IFERROR(VALUE(SUBSTITUTE(SUBSTITUTE(PQ_Cleansing!I668, "$", ""), ",", "")), "")</f>
        <v>86465.5</v>
      </c>
    </row>
    <row r="669" spans="1:18" x14ac:dyDescent="0.25">
      <c r="A669" t="str">
        <f>PROPER(TRIM(CLEAN(RAW_DATA!A669)))</f>
        <v>Emp1667</v>
      </c>
      <c r="B669" t="str">
        <f>RAW_DATA!B669</f>
        <v>Charlie</v>
      </c>
      <c r="C669" t="str">
        <f>RAW_DATA!C669</f>
        <v>Brown</v>
      </c>
      <c r="D669">
        <f>RAW_DATA!D669</f>
        <v>30</v>
      </c>
      <c r="E669" t="str">
        <f>RAW_DATA!E669</f>
        <v>Cloud Tech-New York</v>
      </c>
      <c r="F669" t="str">
        <f t="shared" si="30"/>
        <v>Cloud Tech</v>
      </c>
      <c r="G669" t="str">
        <f t="shared" si="31"/>
        <v>New York</v>
      </c>
      <c r="P669">
        <f t="shared" si="32"/>
        <v>96341.58</v>
      </c>
      <c r="Q669">
        <f>IF(PQ_Cleansing!L669="Excellent", P669 * 0.1, IF(PQ_Cleansing!L669="Good", P669 * 0.05, IF(PQ_Cleansing!L669="Average", P669 * 0.02, IF(PQ_Cleansing!L669="Poor", 0, 0))))</f>
        <v>9634.1580000000013</v>
      </c>
      <c r="R669">
        <f>IFERROR(VALUE(SUBSTITUTE(SUBSTITUTE(PQ_Cleansing!I669, "$", ""), ",", "")), "")</f>
        <v>96341.58</v>
      </c>
    </row>
    <row r="670" spans="1:18" x14ac:dyDescent="0.25">
      <c r="A670" t="str">
        <f>PROPER(TRIM(CLEAN(RAW_DATA!A670)))</f>
        <v>Emp1668</v>
      </c>
      <c r="B670" t="str">
        <f>RAW_DATA!B670</f>
        <v>Bob</v>
      </c>
      <c r="C670" t="str">
        <f>RAW_DATA!C670</f>
        <v>Jones</v>
      </c>
      <c r="D670">
        <f>RAW_DATA!D670</f>
        <v>30</v>
      </c>
      <c r="E670" t="str">
        <f>RAW_DATA!E670</f>
        <v>Admin-Florida</v>
      </c>
      <c r="F670" t="str">
        <f t="shared" si="30"/>
        <v>Admin</v>
      </c>
      <c r="G670" t="str">
        <f t="shared" si="31"/>
        <v>Florida</v>
      </c>
      <c r="P670">
        <f t="shared" si="32"/>
        <v>54465.47</v>
      </c>
      <c r="Q670">
        <f>IF(PQ_Cleansing!L670="Excellent", P670 * 0.1, IF(PQ_Cleansing!L670="Good", P670 * 0.05, IF(PQ_Cleansing!L670="Average", P670 * 0.02, IF(PQ_Cleansing!L670="Poor", 0, 0))))</f>
        <v>5446.5470000000005</v>
      </c>
      <c r="R670">
        <f>IFERROR(VALUE(SUBSTITUTE(SUBSTITUTE(PQ_Cleansing!I670, "$", ""), ",", "")), "")</f>
        <v>54465.47</v>
      </c>
    </row>
    <row r="671" spans="1:18" x14ac:dyDescent="0.25">
      <c r="A671" t="str">
        <f>PROPER(TRIM(CLEAN(RAW_DATA!A671)))</f>
        <v>Emp1669</v>
      </c>
      <c r="B671" t="str">
        <f>RAW_DATA!B671</f>
        <v>Alice</v>
      </c>
      <c r="C671" t="str">
        <f>RAW_DATA!C671</f>
        <v>Davis</v>
      </c>
      <c r="D671">
        <f>RAW_DATA!D671</f>
        <v>25</v>
      </c>
      <c r="E671" t="str">
        <f>RAW_DATA!E671</f>
        <v>Finance-Illinois</v>
      </c>
      <c r="F671" t="str">
        <f t="shared" si="30"/>
        <v>Finance</v>
      </c>
      <c r="G671" t="str">
        <f t="shared" si="31"/>
        <v>Illinois</v>
      </c>
      <c r="P671">
        <f t="shared" si="32"/>
        <v>68371.66</v>
      </c>
      <c r="Q671">
        <f>IF(PQ_Cleansing!L671="Excellent", P671 * 0.1, IF(PQ_Cleansing!L671="Good", P671 * 0.05, IF(PQ_Cleansing!L671="Average", P671 * 0.02, IF(PQ_Cleansing!L671="Poor", 0, 0))))</f>
        <v>0</v>
      </c>
      <c r="R671">
        <f>IFERROR(VALUE(SUBSTITUTE(SUBSTITUTE(PQ_Cleansing!I671, "$", ""), ",", "")), "")</f>
        <v>68371.66</v>
      </c>
    </row>
    <row r="672" spans="1:18" x14ac:dyDescent="0.25">
      <c r="A672" t="str">
        <f>PROPER(TRIM(CLEAN(RAW_DATA!A672)))</f>
        <v>Emp1670</v>
      </c>
      <c r="B672" t="str">
        <f>RAW_DATA!B672</f>
        <v>Grace</v>
      </c>
      <c r="C672" t="str">
        <f>RAW_DATA!C672</f>
        <v>Smith</v>
      </c>
      <c r="D672">
        <f>RAW_DATA!D672</f>
        <v>35</v>
      </c>
      <c r="E672" t="str">
        <f>RAW_DATA!E672</f>
        <v>Admin-New York</v>
      </c>
      <c r="F672" t="str">
        <f t="shared" si="30"/>
        <v>Admin</v>
      </c>
      <c r="G672" t="str">
        <f t="shared" si="31"/>
        <v>New York</v>
      </c>
      <c r="P672">
        <f t="shared" si="32"/>
        <v>81021.23</v>
      </c>
      <c r="Q672">
        <f>IF(PQ_Cleansing!L672="Excellent", P672 * 0.1, IF(PQ_Cleansing!L672="Good", P672 * 0.05, IF(PQ_Cleansing!L672="Average", P672 * 0.02, IF(PQ_Cleansing!L672="Poor", 0, 0))))</f>
        <v>4051.0614999999998</v>
      </c>
      <c r="R672">
        <f>IFERROR(VALUE(SUBSTITUTE(SUBSTITUTE(PQ_Cleansing!I672, "$", ""), ",", "")), "")</f>
        <v>81021.23</v>
      </c>
    </row>
    <row r="673" spans="1:18" x14ac:dyDescent="0.25">
      <c r="A673" t="str">
        <f>PROPER(TRIM(CLEAN(RAW_DATA!A673)))</f>
        <v>Emp1671</v>
      </c>
      <c r="B673" t="str">
        <f>RAW_DATA!B673</f>
        <v>Charlie</v>
      </c>
      <c r="C673" t="str">
        <f>RAW_DATA!C673</f>
        <v>Miller</v>
      </c>
      <c r="D673">
        <f>RAW_DATA!D673</f>
        <v>25</v>
      </c>
      <c r="E673" t="str">
        <f>RAW_DATA!E673</f>
        <v>Cloud Tech-Nevada</v>
      </c>
      <c r="F673" t="str">
        <f t="shared" si="30"/>
        <v>Cloud Tech</v>
      </c>
      <c r="G673" t="str">
        <f t="shared" si="31"/>
        <v>Nevada</v>
      </c>
      <c r="P673">
        <f t="shared" si="32"/>
        <v>114069.07</v>
      </c>
      <c r="Q673">
        <f>IF(PQ_Cleansing!L673="Excellent", P673 * 0.1, IF(PQ_Cleansing!L673="Good", P673 * 0.05, IF(PQ_Cleansing!L673="Average", P673 * 0.02, IF(PQ_Cleansing!L673="Poor", 0, 0))))</f>
        <v>5703.4535000000005</v>
      </c>
      <c r="R673">
        <f>IFERROR(VALUE(SUBSTITUTE(SUBSTITUTE(PQ_Cleansing!I673, "$", ""), ",", "")), "")</f>
        <v>114069.07</v>
      </c>
    </row>
    <row r="674" spans="1:18" x14ac:dyDescent="0.25">
      <c r="A674" t="str">
        <f>PROPER(TRIM(CLEAN(RAW_DATA!A674)))</f>
        <v>Emp1672</v>
      </c>
      <c r="B674" t="str">
        <f>RAW_DATA!B674</f>
        <v>Heidi</v>
      </c>
      <c r="C674" t="str">
        <f>RAW_DATA!C674</f>
        <v>Miller</v>
      </c>
      <c r="D674">
        <f>RAW_DATA!D674</f>
        <v>0</v>
      </c>
      <c r="E674" t="str">
        <f>RAW_DATA!E674</f>
        <v>HR-Illinois</v>
      </c>
      <c r="F674" t="str">
        <f t="shared" si="30"/>
        <v>HR</v>
      </c>
      <c r="G674" t="str">
        <f t="shared" si="31"/>
        <v>Illinois</v>
      </c>
      <c r="P674">
        <f t="shared" si="32"/>
        <v>117867.96</v>
      </c>
      <c r="Q674">
        <f>IF(PQ_Cleansing!L674="Excellent", P674 * 0.1, IF(PQ_Cleansing!L674="Good", P674 * 0.05, IF(PQ_Cleansing!L674="Average", P674 * 0.02, IF(PQ_Cleansing!L674="Poor", 0, 0))))</f>
        <v>0</v>
      </c>
      <c r="R674">
        <f>IFERROR(VALUE(SUBSTITUTE(SUBSTITUTE(PQ_Cleansing!I674, "$", ""), ",", "")), "")</f>
        <v>117867.96</v>
      </c>
    </row>
    <row r="675" spans="1:18" x14ac:dyDescent="0.25">
      <c r="A675" t="str">
        <f>PROPER(TRIM(CLEAN(RAW_DATA!A675)))</f>
        <v>Emp1673</v>
      </c>
      <c r="B675" t="str">
        <f>RAW_DATA!B675</f>
        <v>Charlie</v>
      </c>
      <c r="C675" t="str">
        <f>RAW_DATA!C675</f>
        <v>Miller</v>
      </c>
      <c r="D675">
        <f>RAW_DATA!D675</f>
        <v>0</v>
      </c>
      <c r="E675" t="str">
        <f>RAW_DATA!E675</f>
        <v>Sales-Florida</v>
      </c>
      <c r="F675" t="str">
        <f t="shared" si="30"/>
        <v>Sales</v>
      </c>
      <c r="G675" t="str">
        <f t="shared" si="31"/>
        <v>Florida</v>
      </c>
      <c r="P675">
        <f t="shared" si="32"/>
        <v>94509.58</v>
      </c>
      <c r="Q675">
        <f>IF(PQ_Cleansing!L675="Excellent", P675 * 0.1, IF(PQ_Cleansing!L675="Good", P675 * 0.05, IF(PQ_Cleansing!L675="Average", P675 * 0.02, IF(PQ_Cleansing!L675="Poor", 0, 0))))</f>
        <v>1890.1916000000001</v>
      </c>
      <c r="R675">
        <f>IFERROR(VALUE(SUBSTITUTE(SUBSTITUTE(PQ_Cleansing!I675, "$", ""), ",", "")), "")</f>
        <v>94509.58</v>
      </c>
    </row>
    <row r="676" spans="1:18" x14ac:dyDescent="0.25">
      <c r="A676" t="str">
        <f>PROPER(TRIM(CLEAN(RAW_DATA!A676)))</f>
        <v>Emp1674</v>
      </c>
      <c r="B676" t="str">
        <f>RAW_DATA!B676</f>
        <v>Eva</v>
      </c>
      <c r="C676" t="str">
        <f>RAW_DATA!C676</f>
        <v>Brown</v>
      </c>
      <c r="D676">
        <f>RAW_DATA!D676</f>
        <v>35</v>
      </c>
      <c r="E676" t="str">
        <f>RAW_DATA!E676</f>
        <v>Finance-Illinois</v>
      </c>
      <c r="F676" t="str">
        <f t="shared" si="30"/>
        <v>Finance</v>
      </c>
      <c r="G676" t="str">
        <f t="shared" si="31"/>
        <v>Illinois</v>
      </c>
      <c r="P676">
        <f t="shared" si="32"/>
        <v>56268.78</v>
      </c>
      <c r="Q676">
        <f>IF(PQ_Cleansing!L676="Excellent", P676 * 0.1, IF(PQ_Cleansing!L676="Good", P676 * 0.05, IF(PQ_Cleansing!L676="Average", P676 * 0.02, IF(PQ_Cleansing!L676="Poor", 0, 0))))</f>
        <v>5626.8780000000006</v>
      </c>
      <c r="R676">
        <f>IFERROR(VALUE(SUBSTITUTE(SUBSTITUTE(PQ_Cleansing!I676, "$", ""), ",", "")), "")</f>
        <v>56268.78</v>
      </c>
    </row>
    <row r="677" spans="1:18" x14ac:dyDescent="0.25">
      <c r="A677" t="str">
        <f>PROPER(TRIM(CLEAN(RAW_DATA!A677)))</f>
        <v>Emp1675</v>
      </c>
      <c r="B677" t="str">
        <f>RAW_DATA!B677</f>
        <v>Grace</v>
      </c>
      <c r="C677" t="str">
        <f>RAW_DATA!C677</f>
        <v>Jones</v>
      </c>
      <c r="D677">
        <f>RAW_DATA!D677</f>
        <v>35</v>
      </c>
      <c r="E677" t="str">
        <f>RAW_DATA!E677</f>
        <v>Admin-California</v>
      </c>
      <c r="F677" t="str">
        <f t="shared" si="30"/>
        <v>Admin</v>
      </c>
      <c r="G677" t="str">
        <f t="shared" si="31"/>
        <v>California</v>
      </c>
      <c r="P677">
        <f t="shared" si="32"/>
        <v>86632.14</v>
      </c>
      <c r="Q677">
        <f>IF(PQ_Cleansing!L677="Excellent", P677 * 0.1, IF(PQ_Cleansing!L677="Good", P677 * 0.05, IF(PQ_Cleansing!L677="Average", P677 * 0.02, IF(PQ_Cleansing!L677="Poor", 0, 0))))</f>
        <v>0</v>
      </c>
      <c r="R677">
        <f>IFERROR(VALUE(SUBSTITUTE(SUBSTITUTE(PQ_Cleansing!I677, "$", ""), ",", "")), "")</f>
        <v>86632.14</v>
      </c>
    </row>
    <row r="678" spans="1:18" x14ac:dyDescent="0.25">
      <c r="A678" t="str">
        <f>PROPER(TRIM(CLEAN(RAW_DATA!A678)))</f>
        <v>Emp1676</v>
      </c>
      <c r="B678" t="str">
        <f>RAW_DATA!B678</f>
        <v>Charlie</v>
      </c>
      <c r="C678" t="str">
        <f>RAW_DATA!C678</f>
        <v>Brown</v>
      </c>
      <c r="D678">
        <f>RAW_DATA!D678</f>
        <v>35</v>
      </c>
      <c r="E678" t="str">
        <f>RAW_DATA!E678</f>
        <v>HR-Florida</v>
      </c>
      <c r="F678" t="str">
        <f t="shared" si="30"/>
        <v>HR</v>
      </c>
      <c r="G678" t="str">
        <f t="shared" si="31"/>
        <v>Florida</v>
      </c>
      <c r="P678">
        <f t="shared" si="32"/>
        <v>98143.9</v>
      </c>
      <c r="Q678">
        <f>IF(PQ_Cleansing!L678="Excellent", P678 * 0.1, IF(PQ_Cleansing!L678="Good", P678 * 0.05, IF(PQ_Cleansing!L678="Average", P678 * 0.02, IF(PQ_Cleansing!L678="Poor", 0, 0))))</f>
        <v>9814.39</v>
      </c>
      <c r="R678">
        <f>IFERROR(VALUE(SUBSTITUTE(SUBSTITUTE(PQ_Cleansing!I678, "$", ""), ",", "")), "")</f>
        <v>98143.9</v>
      </c>
    </row>
    <row r="679" spans="1:18" x14ac:dyDescent="0.25">
      <c r="A679" t="str">
        <f>PROPER(TRIM(CLEAN(RAW_DATA!A679)))</f>
        <v>Emp1677</v>
      </c>
      <c r="B679" t="str">
        <f>RAW_DATA!B679</f>
        <v>Heidi</v>
      </c>
      <c r="C679" t="str">
        <f>RAW_DATA!C679</f>
        <v>Garcia</v>
      </c>
      <c r="D679">
        <f>RAW_DATA!D679</f>
        <v>35</v>
      </c>
      <c r="E679" t="str">
        <f>RAW_DATA!E679</f>
        <v>Cloud Tech-Florida</v>
      </c>
      <c r="F679" t="str">
        <f t="shared" si="30"/>
        <v>Cloud Tech</v>
      </c>
      <c r="G679" t="str">
        <f t="shared" si="31"/>
        <v>Florida</v>
      </c>
      <c r="P679">
        <f t="shared" si="32"/>
        <v>85268.279969293711</v>
      </c>
      <c r="Q679">
        <f>IF(PQ_Cleansing!L679="Excellent", P679 * 0.1, IF(PQ_Cleansing!L679="Good", P679 * 0.05, IF(PQ_Cleansing!L679="Average", P679 * 0.02, IF(PQ_Cleansing!L679="Poor", 0, 0))))</f>
        <v>1705.3655993858742</v>
      </c>
      <c r="R679" t="str">
        <f>IFERROR(VALUE(SUBSTITUTE(SUBSTITUTE(PQ_Cleansing!I679, "$", ""), ",", "")), "")</f>
        <v/>
      </c>
    </row>
    <row r="680" spans="1:18" x14ac:dyDescent="0.25">
      <c r="A680" t="str">
        <f>PROPER(TRIM(CLEAN(RAW_DATA!A680)))</f>
        <v>Emp1678</v>
      </c>
      <c r="B680" t="str">
        <f>RAW_DATA!B680</f>
        <v>Frank</v>
      </c>
      <c r="C680" t="str">
        <f>RAW_DATA!C680</f>
        <v>Johnson</v>
      </c>
      <c r="D680">
        <f>RAW_DATA!D680</f>
        <v>30</v>
      </c>
      <c r="E680" t="str">
        <f>RAW_DATA!E680</f>
        <v>Finance-Illinois</v>
      </c>
      <c r="F680" t="str">
        <f t="shared" si="30"/>
        <v>Finance</v>
      </c>
      <c r="G680" t="str">
        <f t="shared" si="31"/>
        <v>Illinois</v>
      </c>
      <c r="P680">
        <f t="shared" si="32"/>
        <v>67492.73</v>
      </c>
      <c r="Q680">
        <f>IF(PQ_Cleansing!L680="Excellent", P680 * 0.1, IF(PQ_Cleansing!L680="Good", P680 * 0.05, IF(PQ_Cleansing!L680="Average", P680 * 0.02, IF(PQ_Cleansing!L680="Poor", 0, 0))))</f>
        <v>6749.2730000000001</v>
      </c>
      <c r="R680">
        <f>IFERROR(VALUE(SUBSTITUTE(SUBSTITUTE(PQ_Cleansing!I680, "$", ""), ",", "")), "")</f>
        <v>67492.73</v>
      </c>
    </row>
    <row r="681" spans="1:18" x14ac:dyDescent="0.25">
      <c r="A681" t="str">
        <f>PROPER(TRIM(CLEAN(RAW_DATA!A681)))</f>
        <v>Emp1679</v>
      </c>
      <c r="B681" t="str">
        <f>RAW_DATA!B681</f>
        <v>Grace</v>
      </c>
      <c r="C681" t="str">
        <f>RAW_DATA!C681</f>
        <v>Johnson</v>
      </c>
      <c r="D681">
        <f>RAW_DATA!D681</f>
        <v>40</v>
      </c>
      <c r="E681" t="str">
        <f>RAW_DATA!E681</f>
        <v>Admin-California</v>
      </c>
      <c r="F681" t="str">
        <f t="shared" si="30"/>
        <v>Admin</v>
      </c>
      <c r="G681" t="str">
        <f t="shared" si="31"/>
        <v>California</v>
      </c>
      <c r="P681">
        <f t="shared" si="32"/>
        <v>93772.61</v>
      </c>
      <c r="Q681">
        <f>IF(PQ_Cleansing!L681="Excellent", P681 * 0.1, IF(PQ_Cleansing!L681="Good", P681 * 0.05, IF(PQ_Cleansing!L681="Average", P681 * 0.02, IF(PQ_Cleansing!L681="Poor", 0, 0))))</f>
        <v>0</v>
      </c>
      <c r="R681">
        <f>IFERROR(VALUE(SUBSTITUTE(SUBSTITUTE(PQ_Cleansing!I681, "$", ""), ",", "")), "")</f>
        <v>93772.61</v>
      </c>
    </row>
    <row r="682" spans="1:18" x14ac:dyDescent="0.25">
      <c r="A682" t="str">
        <f>PROPER(TRIM(CLEAN(RAW_DATA!A682)))</f>
        <v>Emp1680</v>
      </c>
      <c r="B682" t="str">
        <f>RAW_DATA!B682</f>
        <v>Eva</v>
      </c>
      <c r="C682" t="str">
        <f>RAW_DATA!C682</f>
        <v>Garcia</v>
      </c>
      <c r="D682">
        <f>RAW_DATA!D682</f>
        <v>35</v>
      </c>
      <c r="E682" t="str">
        <f>RAW_DATA!E682</f>
        <v>DevOps-Nevada</v>
      </c>
      <c r="F682" t="str">
        <f t="shared" si="30"/>
        <v>DevOps</v>
      </c>
      <c r="G682" t="str">
        <f t="shared" si="31"/>
        <v>Nevada</v>
      </c>
      <c r="P682">
        <f t="shared" si="32"/>
        <v>68817.539999999994</v>
      </c>
      <c r="Q682">
        <f>IF(PQ_Cleansing!L682="Excellent", P682 * 0.1, IF(PQ_Cleansing!L682="Good", P682 * 0.05, IF(PQ_Cleansing!L682="Average", P682 * 0.02, IF(PQ_Cleansing!L682="Poor", 0, 0))))</f>
        <v>6881.7539999999999</v>
      </c>
      <c r="R682">
        <f>IFERROR(VALUE(SUBSTITUTE(SUBSTITUTE(PQ_Cleansing!I682, "$", ""), ",", "")), "")</f>
        <v>68817.539999999994</v>
      </c>
    </row>
    <row r="683" spans="1:18" x14ac:dyDescent="0.25">
      <c r="A683" t="str">
        <f>PROPER(TRIM(CLEAN(RAW_DATA!A683)))</f>
        <v>Emp1681</v>
      </c>
      <c r="B683" t="str">
        <f>RAW_DATA!B683</f>
        <v>Bob</v>
      </c>
      <c r="C683" t="str">
        <f>RAW_DATA!C683</f>
        <v>Jones</v>
      </c>
      <c r="D683">
        <f>RAW_DATA!D683</f>
        <v>30</v>
      </c>
      <c r="E683" t="str">
        <f>RAW_DATA!E683</f>
        <v>Admin-California</v>
      </c>
      <c r="F683" t="str">
        <f t="shared" si="30"/>
        <v>Admin</v>
      </c>
      <c r="G683" t="str">
        <f t="shared" si="31"/>
        <v>California</v>
      </c>
      <c r="P683">
        <f t="shared" si="32"/>
        <v>81874.009999999995</v>
      </c>
      <c r="Q683">
        <f>IF(PQ_Cleansing!L683="Excellent", P683 * 0.1, IF(PQ_Cleansing!L683="Good", P683 * 0.05, IF(PQ_Cleansing!L683="Average", P683 * 0.02, IF(PQ_Cleansing!L683="Poor", 0, 0))))</f>
        <v>4093.7004999999999</v>
      </c>
      <c r="R683">
        <f>IFERROR(VALUE(SUBSTITUTE(SUBSTITUTE(PQ_Cleansing!I683, "$", ""), ",", "")), "")</f>
        <v>81874.009999999995</v>
      </c>
    </row>
    <row r="684" spans="1:18" x14ac:dyDescent="0.25">
      <c r="A684" t="str">
        <f>PROPER(TRIM(CLEAN(RAW_DATA!A684)))</f>
        <v>Emp1682</v>
      </c>
      <c r="B684" t="str">
        <f>RAW_DATA!B684</f>
        <v>Heidi</v>
      </c>
      <c r="C684" t="str">
        <f>RAW_DATA!C684</f>
        <v>Davis</v>
      </c>
      <c r="D684">
        <f>RAW_DATA!D684</f>
        <v>30</v>
      </c>
      <c r="E684" t="str">
        <f>RAW_DATA!E684</f>
        <v>HR-Texas</v>
      </c>
      <c r="F684" t="str">
        <f t="shared" si="30"/>
        <v>HR</v>
      </c>
      <c r="G684" t="str">
        <f t="shared" si="31"/>
        <v>Texas</v>
      </c>
      <c r="P684">
        <f t="shared" si="32"/>
        <v>117880.14</v>
      </c>
      <c r="Q684">
        <f>IF(PQ_Cleansing!L684="Excellent", P684 * 0.1, IF(PQ_Cleansing!L684="Good", P684 * 0.05, IF(PQ_Cleansing!L684="Average", P684 * 0.02, IF(PQ_Cleansing!L684="Poor", 0, 0))))</f>
        <v>2357.6028000000001</v>
      </c>
      <c r="R684">
        <f>IFERROR(VALUE(SUBSTITUTE(SUBSTITUTE(PQ_Cleansing!I684, "$", ""), ",", "")), "")</f>
        <v>117880.14</v>
      </c>
    </row>
    <row r="685" spans="1:18" x14ac:dyDescent="0.25">
      <c r="A685" t="str">
        <f>PROPER(TRIM(CLEAN(RAW_DATA!A685)))</f>
        <v>Emp1683</v>
      </c>
      <c r="B685" t="str">
        <f>RAW_DATA!B685</f>
        <v>Bob</v>
      </c>
      <c r="C685" t="str">
        <f>RAW_DATA!C685</f>
        <v>Brown</v>
      </c>
      <c r="D685">
        <f>RAW_DATA!D685</f>
        <v>35</v>
      </c>
      <c r="E685" t="str">
        <f>RAW_DATA!E685</f>
        <v>HR-New York</v>
      </c>
      <c r="F685" t="str">
        <f t="shared" si="30"/>
        <v>HR</v>
      </c>
      <c r="G685" t="str">
        <f t="shared" si="31"/>
        <v>New York</v>
      </c>
      <c r="P685">
        <f t="shared" si="32"/>
        <v>100897.49</v>
      </c>
      <c r="Q685">
        <f>IF(PQ_Cleansing!L685="Excellent", P685 * 0.1, IF(PQ_Cleansing!L685="Good", P685 * 0.05, IF(PQ_Cleansing!L685="Average", P685 * 0.02, IF(PQ_Cleansing!L685="Poor", 0, 0))))</f>
        <v>2017.9498000000001</v>
      </c>
      <c r="R685">
        <f>IFERROR(VALUE(SUBSTITUTE(SUBSTITUTE(PQ_Cleansing!I685, "$", ""), ",", "")), "")</f>
        <v>100897.49</v>
      </c>
    </row>
    <row r="686" spans="1:18" x14ac:dyDescent="0.25">
      <c r="A686" t="str">
        <f>PROPER(TRIM(CLEAN(RAW_DATA!A686)))</f>
        <v>Emp1684</v>
      </c>
      <c r="B686" t="str">
        <f>RAW_DATA!B686</f>
        <v>Charlie</v>
      </c>
      <c r="C686" t="str">
        <f>RAW_DATA!C686</f>
        <v>Smith</v>
      </c>
      <c r="D686">
        <f>RAW_DATA!D686</f>
        <v>25</v>
      </c>
      <c r="E686" t="str">
        <f>RAW_DATA!E686</f>
        <v>Finance-New York</v>
      </c>
      <c r="F686" t="str">
        <f t="shared" si="30"/>
        <v>Finance</v>
      </c>
      <c r="G686" t="str">
        <f t="shared" si="31"/>
        <v>New York</v>
      </c>
      <c r="P686">
        <f t="shared" si="32"/>
        <v>71810.37</v>
      </c>
      <c r="Q686">
        <f>IF(PQ_Cleansing!L686="Excellent", P686 * 0.1, IF(PQ_Cleansing!L686="Good", P686 * 0.05, IF(PQ_Cleansing!L686="Average", P686 * 0.02, IF(PQ_Cleansing!L686="Poor", 0, 0))))</f>
        <v>1436.2074</v>
      </c>
      <c r="R686">
        <f>IFERROR(VALUE(SUBSTITUTE(SUBSTITUTE(PQ_Cleansing!I686, "$", ""), ",", "")), "")</f>
        <v>71810.37</v>
      </c>
    </row>
    <row r="687" spans="1:18" x14ac:dyDescent="0.25">
      <c r="A687" t="str">
        <f>PROPER(TRIM(CLEAN(RAW_DATA!A687)))</f>
        <v>Emp1685</v>
      </c>
      <c r="B687" t="str">
        <f>RAW_DATA!B687</f>
        <v>Frank</v>
      </c>
      <c r="C687" t="str">
        <f>RAW_DATA!C687</f>
        <v>Miller</v>
      </c>
      <c r="D687">
        <f>RAW_DATA!D687</f>
        <v>40</v>
      </c>
      <c r="E687" t="str">
        <f>RAW_DATA!E687</f>
        <v>DevOps-Texas</v>
      </c>
      <c r="F687" t="str">
        <f t="shared" si="30"/>
        <v>DevOps</v>
      </c>
      <c r="G687" t="str">
        <f t="shared" si="31"/>
        <v>Texas</v>
      </c>
      <c r="P687">
        <f t="shared" si="32"/>
        <v>109048.24</v>
      </c>
      <c r="Q687">
        <f>IF(PQ_Cleansing!L687="Excellent", P687 * 0.1, IF(PQ_Cleansing!L687="Good", P687 * 0.05, IF(PQ_Cleansing!L687="Average", P687 * 0.02, IF(PQ_Cleansing!L687="Poor", 0, 0))))</f>
        <v>0</v>
      </c>
      <c r="R687">
        <f>IFERROR(VALUE(SUBSTITUTE(SUBSTITUTE(PQ_Cleansing!I687, "$", ""), ",", "")), "")</f>
        <v>109048.24</v>
      </c>
    </row>
    <row r="688" spans="1:18" x14ac:dyDescent="0.25">
      <c r="A688" t="str">
        <f>PROPER(TRIM(CLEAN(RAW_DATA!A688)))</f>
        <v>Emp1686</v>
      </c>
      <c r="B688" t="str">
        <f>RAW_DATA!B688</f>
        <v>Alice</v>
      </c>
      <c r="C688" t="str">
        <f>RAW_DATA!C688</f>
        <v>Miller</v>
      </c>
      <c r="D688">
        <f>RAW_DATA!D688</f>
        <v>35</v>
      </c>
      <c r="E688" t="str">
        <f>RAW_DATA!E688</f>
        <v>Finance-Texas</v>
      </c>
      <c r="F688" t="str">
        <f t="shared" si="30"/>
        <v>Finance</v>
      </c>
      <c r="G688" t="str">
        <f t="shared" si="31"/>
        <v>Texas</v>
      </c>
      <c r="P688">
        <f t="shared" si="32"/>
        <v>62712.26</v>
      </c>
      <c r="Q688">
        <f>IF(PQ_Cleansing!L688="Excellent", P688 * 0.1, IF(PQ_Cleansing!L688="Good", P688 * 0.05, IF(PQ_Cleansing!L688="Average", P688 * 0.02, IF(PQ_Cleansing!L688="Poor", 0, 0))))</f>
        <v>1254.2452000000001</v>
      </c>
      <c r="R688">
        <f>IFERROR(VALUE(SUBSTITUTE(SUBSTITUTE(PQ_Cleansing!I688, "$", ""), ",", "")), "")</f>
        <v>62712.26</v>
      </c>
    </row>
    <row r="689" spans="1:18" x14ac:dyDescent="0.25">
      <c r="A689" t="str">
        <f>PROPER(TRIM(CLEAN(RAW_DATA!A689)))</f>
        <v>Emp1687</v>
      </c>
      <c r="B689" t="str">
        <f>RAW_DATA!B689</f>
        <v>Eva</v>
      </c>
      <c r="C689" t="str">
        <f>RAW_DATA!C689</f>
        <v>Jones</v>
      </c>
      <c r="D689">
        <f>RAW_DATA!D689</f>
        <v>40</v>
      </c>
      <c r="E689" t="str">
        <f>RAW_DATA!E689</f>
        <v>Cloud Tech-Texas</v>
      </c>
      <c r="F689" t="str">
        <f t="shared" si="30"/>
        <v>Cloud Tech</v>
      </c>
      <c r="G689" t="str">
        <f t="shared" si="31"/>
        <v>Texas</v>
      </c>
      <c r="P689">
        <f t="shared" si="32"/>
        <v>76935.850000000006</v>
      </c>
      <c r="Q689">
        <f>IF(PQ_Cleansing!L689="Excellent", P689 * 0.1, IF(PQ_Cleansing!L689="Good", P689 * 0.05, IF(PQ_Cleansing!L689="Average", P689 * 0.02, IF(PQ_Cleansing!L689="Poor", 0, 0))))</f>
        <v>3846.7925000000005</v>
      </c>
      <c r="R689">
        <f>IFERROR(VALUE(SUBSTITUTE(SUBSTITUTE(PQ_Cleansing!I689, "$", ""), ",", "")), "")</f>
        <v>76935.850000000006</v>
      </c>
    </row>
    <row r="690" spans="1:18" x14ac:dyDescent="0.25">
      <c r="A690" t="str">
        <f>PROPER(TRIM(CLEAN(RAW_DATA!A690)))</f>
        <v>Emp1688</v>
      </c>
      <c r="B690" t="str">
        <f>RAW_DATA!B690</f>
        <v>David</v>
      </c>
      <c r="C690" t="str">
        <f>RAW_DATA!C690</f>
        <v>Davis</v>
      </c>
      <c r="D690">
        <f>RAW_DATA!D690</f>
        <v>25</v>
      </c>
      <c r="E690" t="str">
        <f>RAW_DATA!E690</f>
        <v>Admin-Florida</v>
      </c>
      <c r="F690" t="str">
        <f t="shared" si="30"/>
        <v>Admin</v>
      </c>
      <c r="G690" t="str">
        <f t="shared" si="31"/>
        <v>Florida</v>
      </c>
      <c r="P690">
        <f t="shared" si="32"/>
        <v>56577.22</v>
      </c>
      <c r="Q690">
        <f>IF(PQ_Cleansing!L690="Excellent", P690 * 0.1, IF(PQ_Cleansing!L690="Good", P690 * 0.05, IF(PQ_Cleansing!L690="Average", P690 * 0.02, IF(PQ_Cleansing!L690="Poor", 0, 0))))</f>
        <v>0</v>
      </c>
      <c r="R690">
        <f>IFERROR(VALUE(SUBSTITUTE(SUBSTITUTE(PQ_Cleansing!I690, "$", ""), ",", "")), "")</f>
        <v>56577.22</v>
      </c>
    </row>
    <row r="691" spans="1:18" x14ac:dyDescent="0.25">
      <c r="A691" t="str">
        <f>PROPER(TRIM(CLEAN(RAW_DATA!A691)))</f>
        <v>Emp1689</v>
      </c>
      <c r="B691" t="str">
        <f>RAW_DATA!B691</f>
        <v>David</v>
      </c>
      <c r="C691" t="str">
        <f>RAW_DATA!C691</f>
        <v>Johnson</v>
      </c>
      <c r="D691">
        <f>RAW_DATA!D691</f>
        <v>40</v>
      </c>
      <c r="E691" t="str">
        <f>RAW_DATA!E691</f>
        <v>Finance-Nevada</v>
      </c>
      <c r="F691" t="str">
        <f t="shared" si="30"/>
        <v>Finance</v>
      </c>
      <c r="G691" t="str">
        <f t="shared" si="31"/>
        <v>Nevada</v>
      </c>
      <c r="P691">
        <f t="shared" si="32"/>
        <v>61102.8</v>
      </c>
      <c r="Q691">
        <f>IF(PQ_Cleansing!L691="Excellent", P691 * 0.1, IF(PQ_Cleansing!L691="Good", P691 * 0.05, IF(PQ_Cleansing!L691="Average", P691 * 0.02, IF(PQ_Cleansing!L691="Poor", 0, 0))))</f>
        <v>3055.1400000000003</v>
      </c>
      <c r="R691">
        <f>IFERROR(VALUE(SUBSTITUTE(SUBSTITUTE(PQ_Cleansing!I691, "$", ""), ",", "")), "")</f>
        <v>61102.8</v>
      </c>
    </row>
    <row r="692" spans="1:18" x14ac:dyDescent="0.25">
      <c r="A692" t="str">
        <f>PROPER(TRIM(CLEAN(RAW_DATA!A692)))</f>
        <v>Emp1690</v>
      </c>
      <c r="B692" t="str">
        <f>RAW_DATA!B692</f>
        <v>Bob</v>
      </c>
      <c r="C692" t="str">
        <f>RAW_DATA!C692</f>
        <v>Johnson</v>
      </c>
      <c r="D692">
        <f>RAW_DATA!D692</f>
        <v>35</v>
      </c>
      <c r="E692" t="str">
        <f>RAW_DATA!E692</f>
        <v>Finance-Nevada</v>
      </c>
      <c r="F692" t="str">
        <f t="shared" si="30"/>
        <v>Finance</v>
      </c>
      <c r="G692" t="str">
        <f t="shared" si="31"/>
        <v>Nevada</v>
      </c>
      <c r="P692">
        <f t="shared" si="32"/>
        <v>75229.87</v>
      </c>
      <c r="Q692">
        <f>IF(PQ_Cleansing!L692="Excellent", P692 * 0.1, IF(PQ_Cleansing!L692="Good", P692 * 0.05, IF(PQ_Cleansing!L692="Average", P692 * 0.02, IF(PQ_Cleansing!L692="Poor", 0, 0))))</f>
        <v>7522.9870000000001</v>
      </c>
      <c r="R692">
        <f>IFERROR(VALUE(SUBSTITUTE(SUBSTITUTE(PQ_Cleansing!I692, "$", ""), ",", "")), "")</f>
        <v>75229.87</v>
      </c>
    </row>
    <row r="693" spans="1:18" x14ac:dyDescent="0.25">
      <c r="A693" t="str">
        <f>PROPER(TRIM(CLEAN(RAW_DATA!A693)))</f>
        <v>Emp1691</v>
      </c>
      <c r="B693" t="str">
        <f>RAW_DATA!B693</f>
        <v>David</v>
      </c>
      <c r="C693" t="str">
        <f>RAW_DATA!C693</f>
        <v>Miller</v>
      </c>
      <c r="D693">
        <f>RAW_DATA!D693</f>
        <v>25</v>
      </c>
      <c r="E693" t="str">
        <f>RAW_DATA!E693</f>
        <v>Admin-Nevada</v>
      </c>
      <c r="F693" t="str">
        <f t="shared" si="30"/>
        <v>Admin</v>
      </c>
      <c r="G693" t="str">
        <f t="shared" si="31"/>
        <v>Nevada</v>
      </c>
      <c r="P693">
        <f t="shared" si="32"/>
        <v>51054.74</v>
      </c>
      <c r="Q693">
        <f>IF(PQ_Cleansing!L693="Excellent", P693 * 0.1, IF(PQ_Cleansing!L693="Good", P693 * 0.05, IF(PQ_Cleansing!L693="Average", P693 * 0.02, IF(PQ_Cleansing!L693="Poor", 0, 0))))</f>
        <v>5105.4740000000002</v>
      </c>
      <c r="R693">
        <f>IFERROR(VALUE(SUBSTITUTE(SUBSTITUTE(PQ_Cleansing!I693, "$", ""), ",", "")), "")</f>
        <v>51054.74</v>
      </c>
    </row>
    <row r="694" spans="1:18" x14ac:dyDescent="0.25">
      <c r="A694" t="str">
        <f>PROPER(TRIM(CLEAN(RAW_DATA!A694)))</f>
        <v>Emp1692</v>
      </c>
      <c r="B694" t="str">
        <f>RAW_DATA!B694</f>
        <v>Bob</v>
      </c>
      <c r="C694" t="str">
        <f>RAW_DATA!C694</f>
        <v>Jones</v>
      </c>
      <c r="D694">
        <f>RAW_DATA!D694</f>
        <v>40</v>
      </c>
      <c r="E694" t="str">
        <f>RAW_DATA!E694</f>
        <v>Admin-Texas</v>
      </c>
      <c r="F694" t="str">
        <f t="shared" si="30"/>
        <v>Admin</v>
      </c>
      <c r="G694" t="str">
        <f t="shared" si="31"/>
        <v>Texas</v>
      </c>
      <c r="P694">
        <f t="shared" si="32"/>
        <v>104843.27</v>
      </c>
      <c r="Q694">
        <f>IF(PQ_Cleansing!L694="Excellent", P694 * 0.1, IF(PQ_Cleansing!L694="Good", P694 * 0.05, IF(PQ_Cleansing!L694="Average", P694 * 0.02, IF(PQ_Cleansing!L694="Poor", 0, 0))))</f>
        <v>10484.327000000001</v>
      </c>
      <c r="R694">
        <f>IFERROR(VALUE(SUBSTITUTE(SUBSTITUTE(PQ_Cleansing!I694, "$", ""), ",", "")), "")</f>
        <v>104843.27</v>
      </c>
    </row>
    <row r="695" spans="1:18" x14ac:dyDescent="0.25">
      <c r="A695" t="str">
        <f>PROPER(TRIM(CLEAN(RAW_DATA!A695)))</f>
        <v>Emp1693</v>
      </c>
      <c r="B695" t="str">
        <f>RAW_DATA!B695</f>
        <v>Charlie</v>
      </c>
      <c r="C695" t="str">
        <f>RAW_DATA!C695</f>
        <v>Brown</v>
      </c>
      <c r="D695">
        <f>RAW_DATA!D695</f>
        <v>35</v>
      </c>
      <c r="E695" t="str">
        <f>RAW_DATA!E695</f>
        <v>Cloud Tech-New York</v>
      </c>
      <c r="F695" t="str">
        <f t="shared" si="30"/>
        <v>Cloud Tech</v>
      </c>
      <c r="G695" t="str">
        <f t="shared" si="31"/>
        <v>New York</v>
      </c>
      <c r="P695">
        <f t="shared" si="32"/>
        <v>56398.11</v>
      </c>
      <c r="Q695">
        <f>IF(PQ_Cleansing!L695="Excellent", P695 * 0.1, IF(PQ_Cleansing!L695="Good", P695 * 0.05, IF(PQ_Cleansing!L695="Average", P695 * 0.02, IF(PQ_Cleansing!L695="Poor", 0, 0))))</f>
        <v>5639.8110000000006</v>
      </c>
      <c r="R695">
        <f>IFERROR(VALUE(SUBSTITUTE(SUBSTITUTE(PQ_Cleansing!I695, "$", ""), ",", "")), "")</f>
        <v>56398.11</v>
      </c>
    </row>
    <row r="696" spans="1:18" x14ac:dyDescent="0.25">
      <c r="A696" t="str">
        <f>PROPER(TRIM(CLEAN(RAW_DATA!A696)))</f>
        <v>Emp1694</v>
      </c>
      <c r="B696" t="str">
        <f>RAW_DATA!B696</f>
        <v>Alice</v>
      </c>
      <c r="C696" t="str">
        <f>RAW_DATA!C696</f>
        <v>Johnson</v>
      </c>
      <c r="D696">
        <f>RAW_DATA!D696</f>
        <v>25</v>
      </c>
      <c r="E696" t="str">
        <f>RAW_DATA!E696</f>
        <v>HR-Nevada</v>
      </c>
      <c r="F696" t="str">
        <f t="shared" si="30"/>
        <v>HR</v>
      </c>
      <c r="G696" t="str">
        <f t="shared" si="31"/>
        <v>Nevada</v>
      </c>
      <c r="P696">
        <f t="shared" si="32"/>
        <v>87544.73</v>
      </c>
      <c r="Q696">
        <f>IF(PQ_Cleansing!L696="Excellent", P696 * 0.1, IF(PQ_Cleansing!L696="Good", P696 * 0.05, IF(PQ_Cleansing!L696="Average", P696 * 0.02, IF(PQ_Cleansing!L696="Poor", 0, 0))))</f>
        <v>4377.2365</v>
      </c>
      <c r="R696">
        <f>IFERROR(VALUE(SUBSTITUTE(SUBSTITUTE(PQ_Cleansing!I696, "$", ""), ",", "")), "")</f>
        <v>87544.73</v>
      </c>
    </row>
    <row r="697" spans="1:18" x14ac:dyDescent="0.25">
      <c r="A697" t="str">
        <f>PROPER(TRIM(CLEAN(RAW_DATA!A697)))</f>
        <v>Emp1695</v>
      </c>
      <c r="B697" t="str">
        <f>RAW_DATA!B697</f>
        <v>Heidi</v>
      </c>
      <c r="C697" t="str">
        <f>RAW_DATA!C697</f>
        <v>Brown</v>
      </c>
      <c r="D697">
        <f>RAW_DATA!D697</f>
        <v>30</v>
      </c>
      <c r="E697" t="str">
        <f>RAW_DATA!E697</f>
        <v>HR-Illinois</v>
      </c>
      <c r="F697" t="str">
        <f t="shared" si="30"/>
        <v>HR</v>
      </c>
      <c r="G697" t="str">
        <f t="shared" si="31"/>
        <v>Illinois</v>
      </c>
      <c r="P697">
        <f t="shared" si="32"/>
        <v>74312.240000000005</v>
      </c>
      <c r="Q697">
        <f>IF(PQ_Cleansing!L697="Excellent", P697 * 0.1, IF(PQ_Cleansing!L697="Good", P697 * 0.05, IF(PQ_Cleansing!L697="Average", P697 * 0.02, IF(PQ_Cleansing!L697="Poor", 0, 0))))</f>
        <v>0</v>
      </c>
      <c r="R697">
        <f>IFERROR(VALUE(SUBSTITUTE(SUBSTITUTE(PQ_Cleansing!I697, "$", ""), ",", "")), "")</f>
        <v>74312.240000000005</v>
      </c>
    </row>
    <row r="698" spans="1:18" x14ac:dyDescent="0.25">
      <c r="A698" t="str">
        <f>PROPER(TRIM(CLEAN(RAW_DATA!A698)))</f>
        <v>Emp1696</v>
      </c>
      <c r="B698" t="str">
        <f>RAW_DATA!B698</f>
        <v>David</v>
      </c>
      <c r="C698" t="str">
        <f>RAW_DATA!C698</f>
        <v>Davis</v>
      </c>
      <c r="D698">
        <f>RAW_DATA!D698</f>
        <v>25</v>
      </c>
      <c r="E698" t="str">
        <f>RAW_DATA!E698</f>
        <v>DevOps-Florida</v>
      </c>
      <c r="F698" t="str">
        <f t="shared" si="30"/>
        <v>DevOps</v>
      </c>
      <c r="G698" t="str">
        <f t="shared" si="31"/>
        <v>Florida</v>
      </c>
      <c r="P698">
        <f t="shared" si="32"/>
        <v>59431.25</v>
      </c>
      <c r="Q698">
        <f>IF(PQ_Cleansing!L698="Excellent", P698 * 0.1, IF(PQ_Cleansing!L698="Good", P698 * 0.05, IF(PQ_Cleansing!L698="Average", P698 * 0.02, IF(PQ_Cleansing!L698="Poor", 0, 0))))</f>
        <v>0</v>
      </c>
      <c r="R698">
        <f>IFERROR(VALUE(SUBSTITUTE(SUBSTITUTE(PQ_Cleansing!I698, "$", ""), ",", "")), "")</f>
        <v>59431.25</v>
      </c>
    </row>
    <row r="699" spans="1:18" x14ac:dyDescent="0.25">
      <c r="A699" t="str">
        <f>PROPER(TRIM(CLEAN(RAW_DATA!A699)))</f>
        <v>Emp1697</v>
      </c>
      <c r="B699" t="str">
        <f>RAW_DATA!B699</f>
        <v>Heidi</v>
      </c>
      <c r="C699" t="str">
        <f>RAW_DATA!C699</f>
        <v>Johnson</v>
      </c>
      <c r="D699">
        <f>RAW_DATA!D699</f>
        <v>40</v>
      </c>
      <c r="E699" t="str">
        <f>RAW_DATA!E699</f>
        <v>Sales-California</v>
      </c>
      <c r="F699" t="str">
        <f t="shared" si="30"/>
        <v>Sales</v>
      </c>
      <c r="G699" t="str">
        <f t="shared" si="31"/>
        <v>California</v>
      </c>
      <c r="P699">
        <f t="shared" si="32"/>
        <v>84306.44</v>
      </c>
      <c r="Q699">
        <f>IF(PQ_Cleansing!L699="Excellent", P699 * 0.1, IF(PQ_Cleansing!L699="Good", P699 * 0.05, IF(PQ_Cleansing!L699="Average", P699 * 0.02, IF(PQ_Cleansing!L699="Poor", 0, 0))))</f>
        <v>1686.1288000000002</v>
      </c>
      <c r="R699">
        <f>IFERROR(VALUE(SUBSTITUTE(SUBSTITUTE(PQ_Cleansing!I699, "$", ""), ",", "")), "")</f>
        <v>84306.44</v>
      </c>
    </row>
    <row r="700" spans="1:18" x14ac:dyDescent="0.25">
      <c r="A700" t="str">
        <f>PROPER(TRIM(CLEAN(RAW_DATA!A700)))</f>
        <v>Emp1698</v>
      </c>
      <c r="B700" t="str">
        <f>RAW_DATA!B700</f>
        <v>Frank</v>
      </c>
      <c r="C700" t="str">
        <f>RAW_DATA!C700</f>
        <v>Johnson</v>
      </c>
      <c r="D700">
        <f>RAW_DATA!D700</f>
        <v>35</v>
      </c>
      <c r="E700" t="str">
        <f>RAW_DATA!E700</f>
        <v>DevOps-Florida</v>
      </c>
      <c r="F700" t="str">
        <f t="shared" si="30"/>
        <v>DevOps</v>
      </c>
      <c r="G700" t="str">
        <f t="shared" si="31"/>
        <v>Florida</v>
      </c>
      <c r="P700">
        <f t="shared" si="32"/>
        <v>108194.47</v>
      </c>
      <c r="Q700">
        <f>IF(PQ_Cleansing!L700="Excellent", P700 * 0.1, IF(PQ_Cleansing!L700="Good", P700 * 0.05, IF(PQ_Cleansing!L700="Average", P700 * 0.02, IF(PQ_Cleansing!L700="Poor", 0, 0))))</f>
        <v>5409.7235000000001</v>
      </c>
      <c r="R700">
        <f>IFERROR(VALUE(SUBSTITUTE(SUBSTITUTE(PQ_Cleansing!I700, "$", ""), ",", "")), "")</f>
        <v>108194.47</v>
      </c>
    </row>
    <row r="701" spans="1:18" x14ac:dyDescent="0.25">
      <c r="A701" t="str">
        <f>PROPER(TRIM(CLEAN(RAW_DATA!A701)))</f>
        <v>Emp1699</v>
      </c>
      <c r="B701" t="str">
        <f>RAW_DATA!B701</f>
        <v>Charlie</v>
      </c>
      <c r="C701" t="str">
        <f>RAW_DATA!C701</f>
        <v>Williams</v>
      </c>
      <c r="D701">
        <f>RAW_DATA!D701</f>
        <v>25</v>
      </c>
      <c r="E701" t="str">
        <f>RAW_DATA!E701</f>
        <v>Sales-New York</v>
      </c>
      <c r="F701" t="str">
        <f t="shared" si="30"/>
        <v>Sales</v>
      </c>
      <c r="G701" t="str">
        <f t="shared" si="31"/>
        <v>New York</v>
      </c>
      <c r="P701">
        <f t="shared" si="32"/>
        <v>107359.3</v>
      </c>
      <c r="Q701">
        <f>IF(PQ_Cleansing!L701="Excellent", P701 * 0.1, IF(PQ_Cleansing!L701="Good", P701 * 0.05, IF(PQ_Cleansing!L701="Average", P701 * 0.02, IF(PQ_Cleansing!L701="Poor", 0, 0))))</f>
        <v>10735.93</v>
      </c>
      <c r="R701">
        <f>IFERROR(VALUE(SUBSTITUTE(SUBSTITUTE(PQ_Cleansing!I701, "$", ""), ",", "")), "")</f>
        <v>107359.3</v>
      </c>
    </row>
    <row r="702" spans="1:18" x14ac:dyDescent="0.25">
      <c r="A702" t="str">
        <f>PROPER(TRIM(CLEAN(RAW_DATA!A702)))</f>
        <v>Emp1700</v>
      </c>
      <c r="B702" t="str">
        <f>RAW_DATA!B702</f>
        <v>Heidi</v>
      </c>
      <c r="C702" t="str">
        <f>RAW_DATA!C702</f>
        <v>Johnson</v>
      </c>
      <c r="D702">
        <f>RAW_DATA!D702</f>
        <v>25</v>
      </c>
      <c r="E702" t="str">
        <f>RAW_DATA!E702</f>
        <v>DevOps-Illinois</v>
      </c>
      <c r="F702" t="str">
        <f t="shared" si="30"/>
        <v>DevOps</v>
      </c>
      <c r="G702" t="str">
        <f t="shared" si="31"/>
        <v>Illinois</v>
      </c>
      <c r="P702">
        <f t="shared" si="32"/>
        <v>85268.279969293711</v>
      </c>
      <c r="Q702">
        <f>IF(PQ_Cleansing!L702="Excellent", P702 * 0.1, IF(PQ_Cleansing!L702="Good", P702 * 0.05, IF(PQ_Cleansing!L702="Average", P702 * 0.02, IF(PQ_Cleansing!L702="Poor", 0, 0))))</f>
        <v>4263.4139984646854</v>
      </c>
      <c r="R702" t="str">
        <f>IFERROR(VALUE(SUBSTITUTE(SUBSTITUTE(PQ_Cleansing!I702, "$", ""), ",", "")), "")</f>
        <v/>
      </c>
    </row>
    <row r="703" spans="1:18" x14ac:dyDescent="0.25">
      <c r="A703" t="str">
        <f>PROPER(TRIM(CLEAN(RAW_DATA!A703)))</f>
        <v>Emp1701</v>
      </c>
      <c r="B703" t="str">
        <f>RAW_DATA!B703</f>
        <v>Frank</v>
      </c>
      <c r="C703" t="str">
        <f>RAW_DATA!C703</f>
        <v>Garcia</v>
      </c>
      <c r="D703">
        <f>RAW_DATA!D703</f>
        <v>0</v>
      </c>
      <c r="E703" t="str">
        <f>RAW_DATA!E703</f>
        <v>Admin-California</v>
      </c>
      <c r="F703" t="str">
        <f t="shared" si="30"/>
        <v>Admin</v>
      </c>
      <c r="G703" t="str">
        <f t="shared" si="31"/>
        <v>California</v>
      </c>
      <c r="P703">
        <f t="shared" si="32"/>
        <v>96080.26</v>
      </c>
      <c r="Q703">
        <f>IF(PQ_Cleansing!L703="Excellent", P703 * 0.1, IF(PQ_Cleansing!L703="Good", P703 * 0.05, IF(PQ_Cleansing!L703="Average", P703 * 0.02, IF(PQ_Cleansing!L703="Poor", 0, 0))))</f>
        <v>1921.6052</v>
      </c>
      <c r="R703">
        <f>IFERROR(VALUE(SUBSTITUTE(SUBSTITUTE(PQ_Cleansing!I703, "$", ""), ",", "")), "")</f>
        <v>96080.26</v>
      </c>
    </row>
    <row r="704" spans="1:18" x14ac:dyDescent="0.25">
      <c r="A704" t="str">
        <f>PROPER(TRIM(CLEAN(RAW_DATA!A704)))</f>
        <v>Emp1702</v>
      </c>
      <c r="B704" t="str">
        <f>RAW_DATA!B704</f>
        <v>Grace</v>
      </c>
      <c r="C704" t="str">
        <f>RAW_DATA!C704</f>
        <v>Smith</v>
      </c>
      <c r="D704">
        <f>RAW_DATA!D704</f>
        <v>30</v>
      </c>
      <c r="E704" t="str">
        <f>RAW_DATA!E704</f>
        <v>Sales-Nevada</v>
      </c>
      <c r="F704" t="str">
        <f t="shared" si="30"/>
        <v>Sales</v>
      </c>
      <c r="G704" t="str">
        <f t="shared" si="31"/>
        <v>Nevada</v>
      </c>
      <c r="P704">
        <f t="shared" si="32"/>
        <v>88602.75</v>
      </c>
      <c r="Q704">
        <f>IF(PQ_Cleansing!L704="Excellent", P704 * 0.1, IF(PQ_Cleansing!L704="Good", P704 * 0.05, IF(PQ_Cleansing!L704="Average", P704 * 0.02, IF(PQ_Cleansing!L704="Poor", 0, 0))))</f>
        <v>1772.0550000000001</v>
      </c>
      <c r="R704">
        <f>IFERROR(VALUE(SUBSTITUTE(SUBSTITUTE(PQ_Cleansing!I704, "$", ""), ",", "")), "")</f>
        <v>88602.75</v>
      </c>
    </row>
    <row r="705" spans="1:18" x14ac:dyDescent="0.25">
      <c r="A705" t="str">
        <f>PROPER(TRIM(CLEAN(RAW_DATA!A705)))</f>
        <v>Emp1703</v>
      </c>
      <c r="B705" t="str">
        <f>RAW_DATA!B705</f>
        <v>Frank</v>
      </c>
      <c r="C705" t="str">
        <f>RAW_DATA!C705</f>
        <v>Garcia</v>
      </c>
      <c r="D705">
        <f>RAW_DATA!D705</f>
        <v>40</v>
      </c>
      <c r="E705" t="str">
        <f>RAW_DATA!E705</f>
        <v>DevOps-California</v>
      </c>
      <c r="F705" t="str">
        <f t="shared" si="30"/>
        <v>DevOps</v>
      </c>
      <c r="G705" t="str">
        <f t="shared" si="31"/>
        <v>California</v>
      </c>
      <c r="P705">
        <f t="shared" si="32"/>
        <v>86624.04</v>
      </c>
      <c r="Q705">
        <f>IF(PQ_Cleansing!L705="Excellent", P705 * 0.1, IF(PQ_Cleansing!L705="Good", P705 * 0.05, IF(PQ_Cleansing!L705="Average", P705 * 0.02, IF(PQ_Cleansing!L705="Poor", 0, 0))))</f>
        <v>4331.2020000000002</v>
      </c>
      <c r="R705">
        <f>IFERROR(VALUE(SUBSTITUTE(SUBSTITUTE(PQ_Cleansing!I705, "$", ""), ",", "")), "")</f>
        <v>86624.04</v>
      </c>
    </row>
    <row r="706" spans="1:18" x14ac:dyDescent="0.25">
      <c r="A706" t="str">
        <f>PROPER(TRIM(CLEAN(RAW_DATA!A706)))</f>
        <v>Emp1704</v>
      </c>
      <c r="B706" t="str">
        <f>RAW_DATA!B706</f>
        <v>Charlie</v>
      </c>
      <c r="C706" t="str">
        <f>RAW_DATA!C706</f>
        <v>Jones</v>
      </c>
      <c r="D706">
        <f>RAW_DATA!D706</f>
        <v>30</v>
      </c>
      <c r="E706" t="str">
        <f>RAW_DATA!E706</f>
        <v>Cloud Tech-New York</v>
      </c>
      <c r="F706" t="str">
        <f t="shared" si="30"/>
        <v>Cloud Tech</v>
      </c>
      <c r="G706" t="str">
        <f t="shared" si="31"/>
        <v>New York</v>
      </c>
      <c r="P706">
        <f t="shared" si="32"/>
        <v>63413.16</v>
      </c>
      <c r="Q706">
        <f>IF(PQ_Cleansing!L706="Excellent", P706 * 0.1, IF(PQ_Cleansing!L706="Good", P706 * 0.05, IF(PQ_Cleansing!L706="Average", P706 * 0.02, IF(PQ_Cleansing!L706="Poor", 0, 0))))</f>
        <v>3170.6580000000004</v>
      </c>
      <c r="R706">
        <f>IFERROR(VALUE(SUBSTITUTE(SUBSTITUTE(PQ_Cleansing!I706, "$", ""), ",", "")), "")</f>
        <v>63413.16</v>
      </c>
    </row>
    <row r="707" spans="1:18" x14ac:dyDescent="0.25">
      <c r="A707" t="str">
        <f>PROPER(TRIM(CLEAN(RAW_DATA!A707)))</f>
        <v>Emp1705</v>
      </c>
      <c r="B707" t="str">
        <f>RAW_DATA!B707</f>
        <v>Grace</v>
      </c>
      <c r="C707" t="str">
        <f>RAW_DATA!C707</f>
        <v>Jones</v>
      </c>
      <c r="D707">
        <f>RAW_DATA!D707</f>
        <v>40</v>
      </c>
      <c r="E707" t="str">
        <f>RAW_DATA!E707</f>
        <v>Sales-Illinois</v>
      </c>
      <c r="F707" t="str">
        <f t="shared" ref="F707:F770" si="33">LEFT(E707, FIND("-", E707) - 1)</f>
        <v>Sales</v>
      </c>
      <c r="G707" t="str">
        <f t="shared" ref="G707:G770" si="34">RIGHT(E707, LEN(E707) - FIND("-",E707))</f>
        <v>Illinois</v>
      </c>
      <c r="P707">
        <f t="shared" ref="P707:P770" si="35">IF(ISNUMBER(R707), R707, AVERAGEIF($R$2:$R$1000, "&gt;0"))</f>
        <v>67915.7</v>
      </c>
      <c r="Q707">
        <f>IF(PQ_Cleansing!L707="Excellent", P707 * 0.1, IF(PQ_Cleansing!L707="Good", P707 * 0.05, IF(PQ_Cleansing!L707="Average", P707 * 0.02, IF(PQ_Cleansing!L707="Poor", 0, 0))))</f>
        <v>3395.7849999999999</v>
      </c>
      <c r="R707">
        <f>IFERROR(VALUE(SUBSTITUTE(SUBSTITUTE(PQ_Cleansing!I707, "$", ""), ",", "")), "")</f>
        <v>67915.7</v>
      </c>
    </row>
    <row r="708" spans="1:18" x14ac:dyDescent="0.25">
      <c r="A708" t="str">
        <f>PROPER(TRIM(CLEAN(RAW_DATA!A708)))</f>
        <v>Emp1706</v>
      </c>
      <c r="B708" t="str">
        <f>RAW_DATA!B708</f>
        <v>Bob</v>
      </c>
      <c r="C708" t="str">
        <f>RAW_DATA!C708</f>
        <v>Brown</v>
      </c>
      <c r="D708">
        <f>RAW_DATA!D708</f>
        <v>25</v>
      </c>
      <c r="E708" t="str">
        <f>RAW_DATA!E708</f>
        <v>Admin-Nevada</v>
      </c>
      <c r="F708" t="str">
        <f t="shared" si="33"/>
        <v>Admin</v>
      </c>
      <c r="G708" t="str">
        <f t="shared" si="34"/>
        <v>Nevada</v>
      </c>
      <c r="P708">
        <f t="shared" si="35"/>
        <v>108245.44</v>
      </c>
      <c r="Q708">
        <f>IF(PQ_Cleansing!L708="Excellent", P708 * 0.1, IF(PQ_Cleansing!L708="Good", P708 * 0.05, IF(PQ_Cleansing!L708="Average", P708 * 0.02, IF(PQ_Cleansing!L708="Poor", 0, 0))))</f>
        <v>0</v>
      </c>
      <c r="R708">
        <f>IFERROR(VALUE(SUBSTITUTE(SUBSTITUTE(PQ_Cleansing!I708, "$", ""), ",", "")), "")</f>
        <v>108245.44</v>
      </c>
    </row>
    <row r="709" spans="1:18" x14ac:dyDescent="0.25">
      <c r="A709" t="str">
        <f>PROPER(TRIM(CLEAN(RAW_DATA!A709)))</f>
        <v>Emp1707</v>
      </c>
      <c r="B709" t="str">
        <f>RAW_DATA!B709</f>
        <v>Alice</v>
      </c>
      <c r="C709" t="str">
        <f>RAW_DATA!C709</f>
        <v>Garcia</v>
      </c>
      <c r="D709">
        <f>RAW_DATA!D709</f>
        <v>35</v>
      </c>
      <c r="E709" t="str">
        <f>RAW_DATA!E709</f>
        <v>Sales-Nevada</v>
      </c>
      <c r="F709" t="str">
        <f t="shared" si="33"/>
        <v>Sales</v>
      </c>
      <c r="G709" t="str">
        <f t="shared" si="34"/>
        <v>Nevada</v>
      </c>
      <c r="P709">
        <f t="shared" si="35"/>
        <v>75834.81</v>
      </c>
      <c r="Q709">
        <f>IF(PQ_Cleansing!L709="Excellent", P709 * 0.1, IF(PQ_Cleansing!L709="Good", P709 * 0.05, IF(PQ_Cleansing!L709="Average", P709 * 0.02, IF(PQ_Cleansing!L709="Poor", 0, 0))))</f>
        <v>7583.4809999999998</v>
      </c>
      <c r="R709">
        <f>IFERROR(VALUE(SUBSTITUTE(SUBSTITUTE(PQ_Cleansing!I709, "$", ""), ",", "")), "")</f>
        <v>75834.81</v>
      </c>
    </row>
    <row r="710" spans="1:18" x14ac:dyDescent="0.25">
      <c r="A710" t="str">
        <f>PROPER(TRIM(CLEAN(RAW_DATA!A710)))</f>
        <v>Emp1708</v>
      </c>
      <c r="B710" t="str">
        <f>RAW_DATA!B710</f>
        <v>Eva</v>
      </c>
      <c r="C710" t="str">
        <f>RAW_DATA!C710</f>
        <v>Garcia</v>
      </c>
      <c r="D710">
        <f>RAW_DATA!D710</f>
        <v>0</v>
      </c>
      <c r="E710" t="str">
        <f>RAW_DATA!E710</f>
        <v>Cloud Tech-Nevada</v>
      </c>
      <c r="F710" t="str">
        <f t="shared" si="33"/>
        <v>Cloud Tech</v>
      </c>
      <c r="G710" t="str">
        <f t="shared" si="34"/>
        <v>Nevada</v>
      </c>
      <c r="P710">
        <f t="shared" si="35"/>
        <v>71273.320000000007</v>
      </c>
      <c r="Q710">
        <f>IF(PQ_Cleansing!L710="Excellent", P710 * 0.1, IF(PQ_Cleansing!L710="Good", P710 * 0.05, IF(PQ_Cleansing!L710="Average", P710 * 0.02, IF(PQ_Cleansing!L710="Poor", 0, 0))))</f>
        <v>3563.6660000000006</v>
      </c>
      <c r="R710">
        <f>IFERROR(VALUE(SUBSTITUTE(SUBSTITUTE(PQ_Cleansing!I710, "$", ""), ",", "")), "")</f>
        <v>71273.320000000007</v>
      </c>
    </row>
    <row r="711" spans="1:18" x14ac:dyDescent="0.25">
      <c r="A711" t="str">
        <f>PROPER(TRIM(CLEAN(RAW_DATA!A711)))</f>
        <v>Emp1709</v>
      </c>
      <c r="B711" t="str">
        <f>RAW_DATA!B711</f>
        <v>Bob</v>
      </c>
      <c r="C711" t="str">
        <f>RAW_DATA!C711</f>
        <v>Garcia</v>
      </c>
      <c r="D711">
        <f>RAW_DATA!D711</f>
        <v>25</v>
      </c>
      <c r="E711" t="str">
        <f>RAW_DATA!E711</f>
        <v>DevOps-New York</v>
      </c>
      <c r="F711" t="str">
        <f t="shared" si="33"/>
        <v>DevOps</v>
      </c>
      <c r="G711" t="str">
        <f t="shared" si="34"/>
        <v>New York</v>
      </c>
      <c r="P711">
        <f t="shared" si="35"/>
        <v>63262.23</v>
      </c>
      <c r="Q711">
        <f>IF(PQ_Cleansing!L711="Excellent", P711 * 0.1, IF(PQ_Cleansing!L711="Good", P711 * 0.05, IF(PQ_Cleansing!L711="Average", P711 * 0.02, IF(PQ_Cleansing!L711="Poor", 0, 0))))</f>
        <v>3163.1115000000004</v>
      </c>
      <c r="R711">
        <f>IFERROR(VALUE(SUBSTITUTE(SUBSTITUTE(PQ_Cleansing!I711, "$", ""), ",", "")), "")</f>
        <v>63262.23</v>
      </c>
    </row>
    <row r="712" spans="1:18" x14ac:dyDescent="0.25">
      <c r="A712" t="str">
        <f>PROPER(TRIM(CLEAN(RAW_DATA!A712)))</f>
        <v>Emp1710</v>
      </c>
      <c r="B712" t="str">
        <f>RAW_DATA!B712</f>
        <v>David</v>
      </c>
      <c r="C712" t="str">
        <f>RAW_DATA!C712</f>
        <v>Davis</v>
      </c>
      <c r="D712">
        <f>RAW_DATA!D712</f>
        <v>0</v>
      </c>
      <c r="E712" t="str">
        <f>RAW_DATA!E712</f>
        <v>DevOps-New York</v>
      </c>
      <c r="F712" t="str">
        <f t="shared" si="33"/>
        <v>DevOps</v>
      </c>
      <c r="G712" t="str">
        <f t="shared" si="34"/>
        <v>New York</v>
      </c>
      <c r="P712">
        <f t="shared" si="35"/>
        <v>89069.91</v>
      </c>
      <c r="Q712">
        <f>IF(PQ_Cleansing!L712="Excellent", P712 * 0.1, IF(PQ_Cleansing!L712="Good", P712 * 0.05, IF(PQ_Cleansing!L712="Average", P712 * 0.02, IF(PQ_Cleansing!L712="Poor", 0, 0))))</f>
        <v>4453.4955</v>
      </c>
      <c r="R712">
        <f>IFERROR(VALUE(SUBSTITUTE(SUBSTITUTE(PQ_Cleansing!I712, "$", ""), ",", "")), "")</f>
        <v>89069.91</v>
      </c>
    </row>
    <row r="713" spans="1:18" x14ac:dyDescent="0.25">
      <c r="A713" t="str">
        <f>PROPER(TRIM(CLEAN(RAW_DATA!A713)))</f>
        <v>Emp1711</v>
      </c>
      <c r="B713" t="str">
        <f>RAW_DATA!B713</f>
        <v>Frank</v>
      </c>
      <c r="C713" t="str">
        <f>RAW_DATA!C713</f>
        <v>Johnson</v>
      </c>
      <c r="D713">
        <f>RAW_DATA!D713</f>
        <v>40</v>
      </c>
      <c r="E713" t="str">
        <f>RAW_DATA!E713</f>
        <v>DevOps-Nevada</v>
      </c>
      <c r="F713" t="str">
        <f t="shared" si="33"/>
        <v>DevOps</v>
      </c>
      <c r="G713" t="str">
        <f t="shared" si="34"/>
        <v>Nevada</v>
      </c>
      <c r="P713">
        <f t="shared" si="35"/>
        <v>57287.17</v>
      </c>
      <c r="Q713">
        <f>IF(PQ_Cleansing!L713="Excellent", P713 * 0.1, IF(PQ_Cleansing!L713="Good", P713 * 0.05, IF(PQ_Cleansing!L713="Average", P713 * 0.02, IF(PQ_Cleansing!L713="Poor", 0, 0))))</f>
        <v>1145.7434000000001</v>
      </c>
      <c r="R713">
        <f>IFERROR(VALUE(SUBSTITUTE(SUBSTITUTE(PQ_Cleansing!I713, "$", ""), ",", "")), "")</f>
        <v>57287.17</v>
      </c>
    </row>
    <row r="714" spans="1:18" x14ac:dyDescent="0.25">
      <c r="A714" t="str">
        <f>PROPER(TRIM(CLEAN(RAW_DATA!A714)))</f>
        <v>Emp1712</v>
      </c>
      <c r="B714" t="str">
        <f>RAW_DATA!B714</f>
        <v>Grace</v>
      </c>
      <c r="C714" t="str">
        <f>RAW_DATA!C714</f>
        <v>Smith</v>
      </c>
      <c r="D714">
        <f>RAW_DATA!D714</f>
        <v>0</v>
      </c>
      <c r="E714" t="str">
        <f>RAW_DATA!E714</f>
        <v>HR-Nevada</v>
      </c>
      <c r="F714" t="str">
        <f t="shared" si="33"/>
        <v>HR</v>
      </c>
      <c r="G714" t="str">
        <f t="shared" si="34"/>
        <v>Nevada</v>
      </c>
      <c r="P714">
        <f t="shared" si="35"/>
        <v>119890.35</v>
      </c>
      <c r="Q714">
        <f>IF(PQ_Cleansing!L714="Excellent", P714 * 0.1, IF(PQ_Cleansing!L714="Good", P714 * 0.05, IF(PQ_Cleansing!L714="Average", P714 * 0.02, IF(PQ_Cleansing!L714="Poor", 0, 0))))</f>
        <v>2397.8070000000002</v>
      </c>
      <c r="R714">
        <f>IFERROR(VALUE(SUBSTITUTE(SUBSTITUTE(PQ_Cleansing!I714, "$", ""), ",", "")), "")</f>
        <v>119890.35</v>
      </c>
    </row>
    <row r="715" spans="1:18" x14ac:dyDescent="0.25">
      <c r="A715" t="str">
        <f>PROPER(TRIM(CLEAN(RAW_DATA!A715)))</f>
        <v>Emp1713</v>
      </c>
      <c r="B715" t="str">
        <f>RAW_DATA!B715</f>
        <v>Frank</v>
      </c>
      <c r="C715" t="str">
        <f>RAW_DATA!C715</f>
        <v>Brown</v>
      </c>
      <c r="D715">
        <f>RAW_DATA!D715</f>
        <v>35</v>
      </c>
      <c r="E715" t="str">
        <f>RAW_DATA!E715</f>
        <v>Sales-California</v>
      </c>
      <c r="F715" t="str">
        <f t="shared" si="33"/>
        <v>Sales</v>
      </c>
      <c r="G715" t="str">
        <f t="shared" si="34"/>
        <v>California</v>
      </c>
      <c r="P715">
        <f t="shared" si="35"/>
        <v>103492.91</v>
      </c>
      <c r="Q715">
        <f>IF(PQ_Cleansing!L715="Excellent", P715 * 0.1, IF(PQ_Cleansing!L715="Good", P715 * 0.05, IF(PQ_Cleansing!L715="Average", P715 * 0.02, IF(PQ_Cleansing!L715="Poor", 0, 0))))</f>
        <v>0</v>
      </c>
      <c r="R715">
        <f>IFERROR(VALUE(SUBSTITUTE(SUBSTITUTE(PQ_Cleansing!I715, "$", ""), ",", "")), "")</f>
        <v>103492.91</v>
      </c>
    </row>
    <row r="716" spans="1:18" x14ac:dyDescent="0.25">
      <c r="A716" t="str">
        <f>PROPER(TRIM(CLEAN(RAW_DATA!A716)))</f>
        <v>Emp1714</v>
      </c>
      <c r="B716" t="str">
        <f>RAW_DATA!B716</f>
        <v>Frank</v>
      </c>
      <c r="C716" t="str">
        <f>RAW_DATA!C716</f>
        <v>Garcia</v>
      </c>
      <c r="D716">
        <f>RAW_DATA!D716</f>
        <v>0</v>
      </c>
      <c r="E716" t="str">
        <f>RAW_DATA!E716</f>
        <v>Admin-Illinois</v>
      </c>
      <c r="F716" t="str">
        <f t="shared" si="33"/>
        <v>Admin</v>
      </c>
      <c r="G716" t="str">
        <f t="shared" si="34"/>
        <v>Illinois</v>
      </c>
      <c r="P716">
        <f t="shared" si="35"/>
        <v>76254.42</v>
      </c>
      <c r="Q716">
        <f>IF(PQ_Cleansing!L716="Excellent", P716 * 0.1, IF(PQ_Cleansing!L716="Good", P716 * 0.05, IF(PQ_Cleansing!L716="Average", P716 * 0.02, IF(PQ_Cleansing!L716="Poor", 0, 0))))</f>
        <v>7625.442</v>
      </c>
      <c r="R716">
        <f>IFERROR(VALUE(SUBSTITUTE(SUBSTITUTE(PQ_Cleansing!I716, "$", ""), ",", "")), "")</f>
        <v>76254.42</v>
      </c>
    </row>
    <row r="717" spans="1:18" x14ac:dyDescent="0.25">
      <c r="A717" t="str">
        <f>PROPER(TRIM(CLEAN(RAW_DATA!A717)))</f>
        <v>Emp1715</v>
      </c>
      <c r="B717" t="str">
        <f>RAW_DATA!B717</f>
        <v>Eva</v>
      </c>
      <c r="C717" t="str">
        <f>RAW_DATA!C717</f>
        <v>Garcia</v>
      </c>
      <c r="D717">
        <f>RAW_DATA!D717</f>
        <v>35</v>
      </c>
      <c r="E717" t="str">
        <f>RAW_DATA!E717</f>
        <v>Finance-Florida</v>
      </c>
      <c r="F717" t="str">
        <f t="shared" si="33"/>
        <v>Finance</v>
      </c>
      <c r="G717" t="str">
        <f t="shared" si="34"/>
        <v>Florida</v>
      </c>
      <c r="P717">
        <f t="shared" si="35"/>
        <v>100841.93</v>
      </c>
      <c r="Q717">
        <f>IF(PQ_Cleansing!L717="Excellent", P717 * 0.1, IF(PQ_Cleansing!L717="Good", P717 * 0.05, IF(PQ_Cleansing!L717="Average", P717 * 0.02, IF(PQ_Cleansing!L717="Poor", 0, 0))))</f>
        <v>0</v>
      </c>
      <c r="R717">
        <f>IFERROR(VALUE(SUBSTITUTE(SUBSTITUTE(PQ_Cleansing!I717, "$", ""), ",", "")), "")</f>
        <v>100841.93</v>
      </c>
    </row>
    <row r="718" spans="1:18" x14ac:dyDescent="0.25">
      <c r="A718" t="str">
        <f>PROPER(TRIM(CLEAN(RAW_DATA!A718)))</f>
        <v>Emp1716</v>
      </c>
      <c r="B718" t="str">
        <f>RAW_DATA!B718</f>
        <v>Alice</v>
      </c>
      <c r="C718" t="str">
        <f>RAW_DATA!C718</f>
        <v>Williams</v>
      </c>
      <c r="D718">
        <f>RAW_DATA!D718</f>
        <v>0</v>
      </c>
      <c r="E718" t="str">
        <f>RAW_DATA!E718</f>
        <v>Admin-California</v>
      </c>
      <c r="F718" t="str">
        <f t="shared" si="33"/>
        <v>Admin</v>
      </c>
      <c r="G718" t="str">
        <f t="shared" si="34"/>
        <v>California</v>
      </c>
      <c r="P718">
        <f t="shared" si="35"/>
        <v>118907.61</v>
      </c>
      <c r="Q718">
        <f>IF(PQ_Cleansing!L718="Excellent", P718 * 0.1, IF(PQ_Cleansing!L718="Good", P718 * 0.05, IF(PQ_Cleansing!L718="Average", P718 * 0.02, IF(PQ_Cleansing!L718="Poor", 0, 0))))</f>
        <v>11890.761</v>
      </c>
      <c r="R718">
        <f>IFERROR(VALUE(SUBSTITUTE(SUBSTITUTE(PQ_Cleansing!I718, "$", ""), ",", "")), "")</f>
        <v>118907.61</v>
      </c>
    </row>
    <row r="719" spans="1:18" x14ac:dyDescent="0.25">
      <c r="A719" t="str">
        <f>PROPER(TRIM(CLEAN(RAW_DATA!A719)))</f>
        <v>Emp1717</v>
      </c>
      <c r="B719" t="str">
        <f>RAW_DATA!B719</f>
        <v>Frank</v>
      </c>
      <c r="C719" t="str">
        <f>RAW_DATA!C719</f>
        <v>Brown</v>
      </c>
      <c r="D719">
        <f>RAW_DATA!D719</f>
        <v>25</v>
      </c>
      <c r="E719" t="str">
        <f>RAW_DATA!E719</f>
        <v>DevOps-California</v>
      </c>
      <c r="F719" t="str">
        <f t="shared" si="33"/>
        <v>DevOps</v>
      </c>
      <c r="G719" t="str">
        <f t="shared" si="34"/>
        <v>California</v>
      </c>
      <c r="P719">
        <f t="shared" si="35"/>
        <v>88942.62</v>
      </c>
      <c r="Q719">
        <f>IF(PQ_Cleansing!L719="Excellent", P719 * 0.1, IF(PQ_Cleansing!L719="Good", P719 * 0.05, IF(PQ_Cleansing!L719="Average", P719 * 0.02, IF(PQ_Cleansing!L719="Poor", 0, 0))))</f>
        <v>1778.8524</v>
      </c>
      <c r="R719">
        <f>IFERROR(VALUE(SUBSTITUTE(SUBSTITUTE(PQ_Cleansing!I719, "$", ""), ",", "")), "")</f>
        <v>88942.62</v>
      </c>
    </row>
    <row r="720" spans="1:18" x14ac:dyDescent="0.25">
      <c r="A720" t="str">
        <f>PROPER(TRIM(CLEAN(RAW_DATA!A720)))</f>
        <v>Emp1718</v>
      </c>
      <c r="B720" t="str">
        <f>RAW_DATA!B720</f>
        <v>Charlie</v>
      </c>
      <c r="C720" t="str">
        <f>RAW_DATA!C720</f>
        <v>Garcia</v>
      </c>
      <c r="D720">
        <f>RAW_DATA!D720</f>
        <v>25</v>
      </c>
      <c r="E720" t="str">
        <f>RAW_DATA!E720</f>
        <v>Cloud Tech-Florida</v>
      </c>
      <c r="F720" t="str">
        <f t="shared" si="33"/>
        <v>Cloud Tech</v>
      </c>
      <c r="G720" t="str">
        <f t="shared" si="34"/>
        <v>Florida</v>
      </c>
      <c r="P720">
        <f t="shared" si="35"/>
        <v>59688.57</v>
      </c>
      <c r="Q720">
        <f>IF(PQ_Cleansing!L720="Excellent", P720 * 0.1, IF(PQ_Cleansing!L720="Good", P720 * 0.05, IF(PQ_Cleansing!L720="Average", P720 * 0.02, IF(PQ_Cleansing!L720="Poor", 0, 0))))</f>
        <v>1193.7714000000001</v>
      </c>
      <c r="R720">
        <f>IFERROR(VALUE(SUBSTITUTE(SUBSTITUTE(PQ_Cleansing!I720, "$", ""), ",", "")), "")</f>
        <v>59688.57</v>
      </c>
    </row>
    <row r="721" spans="1:18" x14ac:dyDescent="0.25">
      <c r="A721" t="str">
        <f>PROPER(TRIM(CLEAN(RAW_DATA!A721)))</f>
        <v>Emp1719</v>
      </c>
      <c r="B721" t="str">
        <f>RAW_DATA!B721</f>
        <v>David</v>
      </c>
      <c r="C721" t="str">
        <f>RAW_DATA!C721</f>
        <v>Brown</v>
      </c>
      <c r="D721">
        <f>RAW_DATA!D721</f>
        <v>30</v>
      </c>
      <c r="E721" t="str">
        <f>RAW_DATA!E721</f>
        <v>HR-California</v>
      </c>
      <c r="F721" t="str">
        <f t="shared" si="33"/>
        <v>HR</v>
      </c>
      <c r="G721" t="str">
        <f t="shared" si="34"/>
        <v>California</v>
      </c>
      <c r="P721">
        <f t="shared" si="35"/>
        <v>77985.88</v>
      </c>
      <c r="Q721">
        <f>IF(PQ_Cleansing!L721="Excellent", P721 * 0.1, IF(PQ_Cleansing!L721="Good", P721 * 0.05, IF(PQ_Cleansing!L721="Average", P721 * 0.02, IF(PQ_Cleansing!L721="Poor", 0, 0))))</f>
        <v>1559.7176000000002</v>
      </c>
      <c r="R721">
        <f>IFERROR(VALUE(SUBSTITUTE(SUBSTITUTE(PQ_Cleansing!I721, "$", ""), ",", "")), "")</f>
        <v>77985.88</v>
      </c>
    </row>
    <row r="722" spans="1:18" x14ac:dyDescent="0.25">
      <c r="A722" t="str">
        <f>PROPER(TRIM(CLEAN(RAW_DATA!A722)))</f>
        <v>Emp1720</v>
      </c>
      <c r="B722" t="str">
        <f>RAW_DATA!B722</f>
        <v>Bob</v>
      </c>
      <c r="C722" t="str">
        <f>RAW_DATA!C722</f>
        <v>Johnson</v>
      </c>
      <c r="D722">
        <f>RAW_DATA!D722</f>
        <v>35</v>
      </c>
      <c r="E722" t="str">
        <f>RAW_DATA!E722</f>
        <v>Finance-New York</v>
      </c>
      <c r="F722" t="str">
        <f t="shared" si="33"/>
        <v>Finance</v>
      </c>
      <c r="G722" t="str">
        <f t="shared" si="34"/>
        <v>New York</v>
      </c>
      <c r="P722">
        <f t="shared" si="35"/>
        <v>112931.69</v>
      </c>
      <c r="Q722">
        <f>IF(PQ_Cleansing!L722="Excellent", P722 * 0.1, IF(PQ_Cleansing!L722="Good", P722 * 0.05, IF(PQ_Cleansing!L722="Average", P722 * 0.02, IF(PQ_Cleansing!L722="Poor", 0, 0))))</f>
        <v>0</v>
      </c>
      <c r="R722">
        <f>IFERROR(VALUE(SUBSTITUTE(SUBSTITUTE(PQ_Cleansing!I722, "$", ""), ",", "")), "")</f>
        <v>112931.69</v>
      </c>
    </row>
    <row r="723" spans="1:18" x14ac:dyDescent="0.25">
      <c r="A723" t="str">
        <f>PROPER(TRIM(CLEAN(RAW_DATA!A723)))</f>
        <v>Emp1721</v>
      </c>
      <c r="B723" t="str">
        <f>RAW_DATA!B723</f>
        <v>Bob</v>
      </c>
      <c r="C723" t="str">
        <f>RAW_DATA!C723</f>
        <v>Williams</v>
      </c>
      <c r="D723">
        <f>RAW_DATA!D723</f>
        <v>0</v>
      </c>
      <c r="E723" t="str">
        <f>RAW_DATA!E723</f>
        <v>DevOps-California</v>
      </c>
      <c r="F723" t="str">
        <f t="shared" si="33"/>
        <v>DevOps</v>
      </c>
      <c r="G723" t="str">
        <f t="shared" si="34"/>
        <v>California</v>
      </c>
      <c r="P723">
        <f t="shared" si="35"/>
        <v>106583.88</v>
      </c>
      <c r="Q723">
        <f>IF(PQ_Cleansing!L723="Excellent", P723 * 0.1, IF(PQ_Cleansing!L723="Good", P723 * 0.05, IF(PQ_Cleansing!L723="Average", P723 * 0.02, IF(PQ_Cleansing!L723="Poor", 0, 0))))</f>
        <v>5329.1940000000004</v>
      </c>
      <c r="R723">
        <f>IFERROR(VALUE(SUBSTITUTE(SUBSTITUTE(PQ_Cleansing!I723, "$", ""), ",", "")), "")</f>
        <v>106583.88</v>
      </c>
    </row>
    <row r="724" spans="1:18" x14ac:dyDescent="0.25">
      <c r="A724" t="str">
        <f>PROPER(TRIM(CLEAN(RAW_DATA!A724)))</f>
        <v>Emp1722</v>
      </c>
      <c r="B724" t="str">
        <f>RAW_DATA!B724</f>
        <v>Alice</v>
      </c>
      <c r="C724" t="str">
        <f>RAW_DATA!C724</f>
        <v>Brown</v>
      </c>
      <c r="D724">
        <f>RAW_DATA!D724</f>
        <v>35</v>
      </c>
      <c r="E724" t="str">
        <f>RAW_DATA!E724</f>
        <v>HR-Florida</v>
      </c>
      <c r="F724" t="str">
        <f t="shared" si="33"/>
        <v>HR</v>
      </c>
      <c r="G724" t="str">
        <f t="shared" si="34"/>
        <v>Florida</v>
      </c>
      <c r="P724">
        <f t="shared" si="35"/>
        <v>58437.84</v>
      </c>
      <c r="Q724">
        <f>IF(PQ_Cleansing!L724="Excellent", P724 * 0.1, IF(PQ_Cleansing!L724="Good", P724 * 0.05, IF(PQ_Cleansing!L724="Average", P724 * 0.02, IF(PQ_Cleansing!L724="Poor", 0, 0))))</f>
        <v>2921.8919999999998</v>
      </c>
      <c r="R724">
        <f>IFERROR(VALUE(SUBSTITUTE(SUBSTITUTE(PQ_Cleansing!I724, "$", ""), ",", "")), "")</f>
        <v>58437.84</v>
      </c>
    </row>
    <row r="725" spans="1:18" x14ac:dyDescent="0.25">
      <c r="A725" t="str">
        <f>PROPER(TRIM(CLEAN(RAW_DATA!A725)))</f>
        <v>Emp1723</v>
      </c>
      <c r="B725" t="str">
        <f>RAW_DATA!B725</f>
        <v>Alice</v>
      </c>
      <c r="C725" t="str">
        <f>RAW_DATA!C725</f>
        <v>Smith</v>
      </c>
      <c r="D725">
        <f>RAW_DATA!D725</f>
        <v>40</v>
      </c>
      <c r="E725" t="str">
        <f>RAW_DATA!E725</f>
        <v>Cloud Tech-California</v>
      </c>
      <c r="F725" t="str">
        <f t="shared" si="33"/>
        <v>Cloud Tech</v>
      </c>
      <c r="G725" t="str">
        <f t="shared" si="34"/>
        <v>California</v>
      </c>
      <c r="P725">
        <f t="shared" si="35"/>
        <v>72352.160000000003</v>
      </c>
      <c r="Q725">
        <f>IF(PQ_Cleansing!L725="Excellent", P725 * 0.1, IF(PQ_Cleansing!L725="Good", P725 * 0.05, IF(PQ_Cleansing!L725="Average", P725 * 0.02, IF(PQ_Cleansing!L725="Poor", 0, 0))))</f>
        <v>1447.0432000000001</v>
      </c>
      <c r="R725">
        <f>IFERROR(VALUE(SUBSTITUTE(SUBSTITUTE(PQ_Cleansing!I725, "$", ""), ",", "")), "")</f>
        <v>72352.160000000003</v>
      </c>
    </row>
    <row r="726" spans="1:18" x14ac:dyDescent="0.25">
      <c r="A726" t="str">
        <f>PROPER(TRIM(CLEAN(RAW_DATA!A726)))</f>
        <v>Emp1724</v>
      </c>
      <c r="B726" t="str">
        <f>RAW_DATA!B726</f>
        <v>Frank</v>
      </c>
      <c r="C726" t="str">
        <f>RAW_DATA!C726</f>
        <v>Smith</v>
      </c>
      <c r="D726">
        <f>RAW_DATA!D726</f>
        <v>0</v>
      </c>
      <c r="E726" t="str">
        <f>RAW_DATA!E726</f>
        <v>DevOps-New York</v>
      </c>
      <c r="F726" t="str">
        <f t="shared" si="33"/>
        <v>DevOps</v>
      </c>
      <c r="G726" t="str">
        <f t="shared" si="34"/>
        <v>New York</v>
      </c>
      <c r="P726">
        <f t="shared" si="35"/>
        <v>97154.47</v>
      </c>
      <c r="Q726">
        <f>IF(PQ_Cleansing!L726="Excellent", P726 * 0.1, IF(PQ_Cleansing!L726="Good", P726 * 0.05, IF(PQ_Cleansing!L726="Average", P726 * 0.02, IF(PQ_Cleansing!L726="Poor", 0, 0))))</f>
        <v>4857.7235000000001</v>
      </c>
      <c r="R726">
        <f>IFERROR(VALUE(SUBSTITUTE(SUBSTITUTE(PQ_Cleansing!I726, "$", ""), ",", "")), "")</f>
        <v>97154.47</v>
      </c>
    </row>
    <row r="727" spans="1:18" x14ac:dyDescent="0.25">
      <c r="A727" t="str">
        <f>PROPER(TRIM(CLEAN(RAW_DATA!A727)))</f>
        <v>Emp1725</v>
      </c>
      <c r="B727" t="str">
        <f>RAW_DATA!B727</f>
        <v>Heidi</v>
      </c>
      <c r="C727" t="str">
        <f>RAW_DATA!C727</f>
        <v>Jones</v>
      </c>
      <c r="D727">
        <f>RAW_DATA!D727</f>
        <v>0</v>
      </c>
      <c r="E727" t="str">
        <f>RAW_DATA!E727</f>
        <v>Sales-Illinois</v>
      </c>
      <c r="F727" t="str">
        <f t="shared" si="33"/>
        <v>Sales</v>
      </c>
      <c r="G727" t="str">
        <f t="shared" si="34"/>
        <v>Illinois</v>
      </c>
      <c r="P727">
        <f t="shared" si="35"/>
        <v>80235.5</v>
      </c>
      <c r="Q727">
        <f>IF(PQ_Cleansing!L727="Excellent", P727 * 0.1, IF(PQ_Cleansing!L727="Good", P727 * 0.05, IF(PQ_Cleansing!L727="Average", P727 * 0.02, IF(PQ_Cleansing!L727="Poor", 0, 0))))</f>
        <v>4011.7750000000001</v>
      </c>
      <c r="R727">
        <f>IFERROR(VALUE(SUBSTITUTE(SUBSTITUTE(PQ_Cleansing!I727, "$", ""), ",", "")), "")</f>
        <v>80235.5</v>
      </c>
    </row>
    <row r="728" spans="1:18" x14ac:dyDescent="0.25">
      <c r="A728" t="str">
        <f>PROPER(TRIM(CLEAN(RAW_DATA!A728)))</f>
        <v>Emp1726</v>
      </c>
      <c r="B728" t="str">
        <f>RAW_DATA!B728</f>
        <v>Charlie</v>
      </c>
      <c r="C728" t="str">
        <f>RAW_DATA!C728</f>
        <v>Williams</v>
      </c>
      <c r="D728">
        <f>RAW_DATA!D728</f>
        <v>30</v>
      </c>
      <c r="E728" t="str">
        <f>RAW_DATA!E728</f>
        <v>HR-Texas</v>
      </c>
      <c r="F728" t="str">
        <f t="shared" si="33"/>
        <v>HR</v>
      </c>
      <c r="G728" t="str">
        <f t="shared" si="34"/>
        <v>Texas</v>
      </c>
      <c r="P728">
        <f t="shared" si="35"/>
        <v>102172.05</v>
      </c>
      <c r="Q728">
        <f>IF(PQ_Cleansing!L728="Excellent", P728 * 0.1, IF(PQ_Cleansing!L728="Good", P728 * 0.05, IF(PQ_Cleansing!L728="Average", P728 * 0.02, IF(PQ_Cleansing!L728="Poor", 0, 0))))</f>
        <v>0</v>
      </c>
      <c r="R728">
        <f>IFERROR(VALUE(SUBSTITUTE(SUBSTITUTE(PQ_Cleansing!I728, "$", ""), ",", "")), "")</f>
        <v>102172.05</v>
      </c>
    </row>
    <row r="729" spans="1:18" x14ac:dyDescent="0.25">
      <c r="A729" t="str">
        <f>PROPER(TRIM(CLEAN(RAW_DATA!A729)))</f>
        <v>Emp1727</v>
      </c>
      <c r="B729" t="str">
        <f>RAW_DATA!B729</f>
        <v>Eva</v>
      </c>
      <c r="C729" t="str">
        <f>RAW_DATA!C729</f>
        <v>Williams</v>
      </c>
      <c r="D729">
        <f>RAW_DATA!D729</f>
        <v>25</v>
      </c>
      <c r="E729" t="str">
        <f>RAW_DATA!E729</f>
        <v>Finance-Illinois</v>
      </c>
      <c r="F729" t="str">
        <f t="shared" si="33"/>
        <v>Finance</v>
      </c>
      <c r="G729" t="str">
        <f t="shared" si="34"/>
        <v>Illinois</v>
      </c>
      <c r="P729">
        <f t="shared" si="35"/>
        <v>98850.94</v>
      </c>
      <c r="Q729">
        <f>IF(PQ_Cleansing!L729="Excellent", P729 * 0.1, IF(PQ_Cleansing!L729="Good", P729 * 0.05, IF(PQ_Cleansing!L729="Average", P729 * 0.02, IF(PQ_Cleansing!L729="Poor", 0, 0))))</f>
        <v>9885.094000000001</v>
      </c>
      <c r="R729">
        <f>IFERROR(VALUE(SUBSTITUTE(SUBSTITUTE(PQ_Cleansing!I729, "$", ""), ",", "")), "")</f>
        <v>98850.94</v>
      </c>
    </row>
    <row r="730" spans="1:18" x14ac:dyDescent="0.25">
      <c r="A730" t="str">
        <f>PROPER(TRIM(CLEAN(RAW_DATA!A730)))</f>
        <v>Emp1728</v>
      </c>
      <c r="B730" t="str">
        <f>RAW_DATA!B730</f>
        <v>Heidi</v>
      </c>
      <c r="C730" t="str">
        <f>RAW_DATA!C730</f>
        <v>Jones</v>
      </c>
      <c r="D730">
        <f>RAW_DATA!D730</f>
        <v>0</v>
      </c>
      <c r="E730" t="str">
        <f>RAW_DATA!E730</f>
        <v>Admin-Florida</v>
      </c>
      <c r="F730" t="str">
        <f t="shared" si="33"/>
        <v>Admin</v>
      </c>
      <c r="G730" t="str">
        <f t="shared" si="34"/>
        <v>Florida</v>
      </c>
      <c r="P730">
        <f t="shared" si="35"/>
        <v>89993.15</v>
      </c>
      <c r="Q730">
        <f>IF(PQ_Cleansing!L730="Excellent", P730 * 0.1, IF(PQ_Cleansing!L730="Good", P730 * 0.05, IF(PQ_Cleansing!L730="Average", P730 * 0.02, IF(PQ_Cleansing!L730="Poor", 0, 0))))</f>
        <v>1799.8629999999998</v>
      </c>
      <c r="R730">
        <f>IFERROR(VALUE(SUBSTITUTE(SUBSTITUTE(PQ_Cleansing!I730, "$", ""), ",", "")), "")</f>
        <v>89993.15</v>
      </c>
    </row>
    <row r="731" spans="1:18" x14ac:dyDescent="0.25">
      <c r="A731" t="str">
        <f>PROPER(TRIM(CLEAN(RAW_DATA!A731)))</f>
        <v>Emp1729</v>
      </c>
      <c r="B731" t="str">
        <f>RAW_DATA!B731</f>
        <v>David</v>
      </c>
      <c r="C731" t="str">
        <f>RAW_DATA!C731</f>
        <v>Brown</v>
      </c>
      <c r="D731">
        <f>RAW_DATA!D731</f>
        <v>30</v>
      </c>
      <c r="E731" t="str">
        <f>RAW_DATA!E731</f>
        <v>Cloud Tech-California</v>
      </c>
      <c r="F731" t="str">
        <f t="shared" si="33"/>
        <v>Cloud Tech</v>
      </c>
      <c r="G731" t="str">
        <f t="shared" si="34"/>
        <v>California</v>
      </c>
      <c r="P731">
        <f t="shared" si="35"/>
        <v>97931.66</v>
      </c>
      <c r="Q731">
        <f>IF(PQ_Cleansing!L731="Excellent", P731 * 0.1, IF(PQ_Cleansing!L731="Good", P731 * 0.05, IF(PQ_Cleansing!L731="Average", P731 * 0.02, IF(PQ_Cleansing!L731="Poor", 0, 0))))</f>
        <v>1958.6332000000002</v>
      </c>
      <c r="R731">
        <f>IFERROR(VALUE(SUBSTITUTE(SUBSTITUTE(PQ_Cleansing!I731, "$", ""), ",", "")), "")</f>
        <v>97931.66</v>
      </c>
    </row>
    <row r="732" spans="1:18" x14ac:dyDescent="0.25">
      <c r="A732" t="str">
        <f>PROPER(TRIM(CLEAN(RAW_DATA!A732)))</f>
        <v>Emp1730</v>
      </c>
      <c r="B732" t="str">
        <f>RAW_DATA!B732</f>
        <v>Bob</v>
      </c>
      <c r="C732" t="str">
        <f>RAW_DATA!C732</f>
        <v>Williams</v>
      </c>
      <c r="D732">
        <f>RAW_DATA!D732</f>
        <v>40</v>
      </c>
      <c r="E732" t="str">
        <f>RAW_DATA!E732</f>
        <v>Finance-California</v>
      </c>
      <c r="F732" t="str">
        <f t="shared" si="33"/>
        <v>Finance</v>
      </c>
      <c r="G732" t="str">
        <f t="shared" si="34"/>
        <v>California</v>
      </c>
      <c r="P732">
        <f t="shared" si="35"/>
        <v>72451.69</v>
      </c>
      <c r="Q732">
        <f>IF(PQ_Cleansing!L732="Excellent", P732 * 0.1, IF(PQ_Cleansing!L732="Good", P732 * 0.05, IF(PQ_Cleansing!L732="Average", P732 * 0.02, IF(PQ_Cleansing!L732="Poor", 0, 0))))</f>
        <v>0</v>
      </c>
      <c r="R732">
        <f>IFERROR(VALUE(SUBSTITUTE(SUBSTITUTE(PQ_Cleansing!I732, "$", ""), ",", "")), "")</f>
        <v>72451.69</v>
      </c>
    </row>
    <row r="733" spans="1:18" x14ac:dyDescent="0.25">
      <c r="A733" t="str">
        <f>PROPER(TRIM(CLEAN(RAW_DATA!A733)))</f>
        <v>Emp1731</v>
      </c>
      <c r="B733" t="str">
        <f>RAW_DATA!B733</f>
        <v>Alice</v>
      </c>
      <c r="C733" t="str">
        <f>RAW_DATA!C733</f>
        <v>Smith</v>
      </c>
      <c r="D733">
        <f>RAW_DATA!D733</f>
        <v>35</v>
      </c>
      <c r="E733" t="str">
        <f>RAW_DATA!E733</f>
        <v>Admin-California</v>
      </c>
      <c r="F733" t="str">
        <f t="shared" si="33"/>
        <v>Admin</v>
      </c>
      <c r="G733" t="str">
        <f t="shared" si="34"/>
        <v>California</v>
      </c>
      <c r="P733">
        <f t="shared" si="35"/>
        <v>119311.14</v>
      </c>
      <c r="Q733">
        <f>IF(PQ_Cleansing!L733="Excellent", P733 * 0.1, IF(PQ_Cleansing!L733="Good", P733 * 0.05, IF(PQ_Cleansing!L733="Average", P733 * 0.02, IF(PQ_Cleansing!L733="Poor", 0, 0))))</f>
        <v>0</v>
      </c>
      <c r="R733">
        <f>IFERROR(VALUE(SUBSTITUTE(SUBSTITUTE(PQ_Cleansing!I733, "$", ""), ",", "")), "")</f>
        <v>119311.14</v>
      </c>
    </row>
    <row r="734" spans="1:18" x14ac:dyDescent="0.25">
      <c r="A734" t="str">
        <f>PROPER(TRIM(CLEAN(RAW_DATA!A734)))</f>
        <v>Emp1732</v>
      </c>
      <c r="B734" t="str">
        <f>RAW_DATA!B734</f>
        <v>Charlie</v>
      </c>
      <c r="C734" t="str">
        <f>RAW_DATA!C734</f>
        <v>Smith</v>
      </c>
      <c r="D734">
        <f>RAW_DATA!D734</f>
        <v>40</v>
      </c>
      <c r="E734" t="str">
        <f>RAW_DATA!E734</f>
        <v>Cloud Tech-New York</v>
      </c>
      <c r="F734" t="str">
        <f t="shared" si="33"/>
        <v>Cloud Tech</v>
      </c>
      <c r="G734" t="str">
        <f t="shared" si="34"/>
        <v>New York</v>
      </c>
      <c r="P734">
        <f t="shared" si="35"/>
        <v>76167.460000000006</v>
      </c>
      <c r="Q734">
        <f>IF(PQ_Cleansing!L734="Excellent", P734 * 0.1, IF(PQ_Cleansing!L734="Good", P734 * 0.05, IF(PQ_Cleansing!L734="Average", P734 * 0.02, IF(PQ_Cleansing!L734="Poor", 0, 0))))</f>
        <v>3808.3730000000005</v>
      </c>
      <c r="R734">
        <f>IFERROR(VALUE(SUBSTITUTE(SUBSTITUTE(PQ_Cleansing!I734, "$", ""), ",", "")), "")</f>
        <v>76167.460000000006</v>
      </c>
    </row>
    <row r="735" spans="1:18" x14ac:dyDescent="0.25">
      <c r="A735" t="str">
        <f>PROPER(TRIM(CLEAN(RAW_DATA!A735)))</f>
        <v>Emp1733</v>
      </c>
      <c r="B735" t="str">
        <f>RAW_DATA!B735</f>
        <v>Bob</v>
      </c>
      <c r="C735" t="str">
        <f>RAW_DATA!C735</f>
        <v>Garcia</v>
      </c>
      <c r="D735">
        <f>RAW_DATA!D735</f>
        <v>25</v>
      </c>
      <c r="E735" t="str">
        <f>RAW_DATA!E735</f>
        <v>DevOps-Texas</v>
      </c>
      <c r="F735" t="str">
        <f t="shared" si="33"/>
        <v>DevOps</v>
      </c>
      <c r="G735" t="str">
        <f t="shared" si="34"/>
        <v>Texas</v>
      </c>
      <c r="P735">
        <f t="shared" si="35"/>
        <v>114871.08</v>
      </c>
      <c r="Q735">
        <f>IF(PQ_Cleansing!L735="Excellent", P735 * 0.1, IF(PQ_Cleansing!L735="Good", P735 * 0.05, IF(PQ_Cleansing!L735="Average", P735 * 0.02, IF(PQ_Cleansing!L735="Poor", 0, 0))))</f>
        <v>2297.4216000000001</v>
      </c>
      <c r="R735">
        <f>IFERROR(VALUE(SUBSTITUTE(SUBSTITUTE(PQ_Cleansing!I735, "$", ""), ",", "")), "")</f>
        <v>114871.08</v>
      </c>
    </row>
    <row r="736" spans="1:18" x14ac:dyDescent="0.25">
      <c r="A736" t="str">
        <f>PROPER(TRIM(CLEAN(RAW_DATA!A736)))</f>
        <v>Emp1734</v>
      </c>
      <c r="B736" t="str">
        <f>RAW_DATA!B736</f>
        <v>Eva</v>
      </c>
      <c r="C736" t="str">
        <f>RAW_DATA!C736</f>
        <v>Johnson</v>
      </c>
      <c r="D736">
        <f>RAW_DATA!D736</f>
        <v>25</v>
      </c>
      <c r="E736" t="str">
        <f>RAW_DATA!E736</f>
        <v>HR-Nevada</v>
      </c>
      <c r="F736" t="str">
        <f t="shared" si="33"/>
        <v>HR</v>
      </c>
      <c r="G736" t="str">
        <f t="shared" si="34"/>
        <v>Nevada</v>
      </c>
      <c r="P736">
        <f t="shared" si="35"/>
        <v>81504.31</v>
      </c>
      <c r="Q736">
        <f>IF(PQ_Cleansing!L736="Excellent", P736 * 0.1, IF(PQ_Cleansing!L736="Good", P736 * 0.05, IF(PQ_Cleansing!L736="Average", P736 * 0.02, IF(PQ_Cleansing!L736="Poor", 0, 0))))</f>
        <v>8150.4310000000005</v>
      </c>
      <c r="R736">
        <f>IFERROR(VALUE(SUBSTITUTE(SUBSTITUTE(PQ_Cleansing!I736, "$", ""), ",", "")), "")</f>
        <v>81504.31</v>
      </c>
    </row>
    <row r="737" spans="1:18" x14ac:dyDescent="0.25">
      <c r="A737" t="str">
        <f>PROPER(TRIM(CLEAN(RAW_DATA!A737)))</f>
        <v>Emp1735</v>
      </c>
      <c r="B737" t="str">
        <f>RAW_DATA!B737</f>
        <v>David</v>
      </c>
      <c r="C737" t="str">
        <f>RAW_DATA!C737</f>
        <v>Williams</v>
      </c>
      <c r="D737">
        <f>RAW_DATA!D737</f>
        <v>0</v>
      </c>
      <c r="E737" t="str">
        <f>RAW_DATA!E737</f>
        <v>Admin-New York</v>
      </c>
      <c r="F737" t="str">
        <f t="shared" si="33"/>
        <v>Admin</v>
      </c>
      <c r="G737" t="str">
        <f t="shared" si="34"/>
        <v>New York</v>
      </c>
      <c r="P737">
        <f t="shared" si="35"/>
        <v>102524.86</v>
      </c>
      <c r="Q737">
        <f>IF(PQ_Cleansing!L737="Excellent", P737 * 0.1, IF(PQ_Cleansing!L737="Good", P737 * 0.05, IF(PQ_Cleansing!L737="Average", P737 * 0.02, IF(PQ_Cleansing!L737="Poor", 0, 0))))</f>
        <v>0</v>
      </c>
      <c r="R737">
        <f>IFERROR(VALUE(SUBSTITUTE(SUBSTITUTE(PQ_Cleansing!I737, "$", ""), ",", "")), "")</f>
        <v>102524.86</v>
      </c>
    </row>
    <row r="738" spans="1:18" x14ac:dyDescent="0.25">
      <c r="A738" t="str">
        <f>PROPER(TRIM(CLEAN(RAW_DATA!A738)))</f>
        <v>Emp1736</v>
      </c>
      <c r="B738" t="str">
        <f>RAW_DATA!B738</f>
        <v>Charlie</v>
      </c>
      <c r="C738" t="str">
        <f>RAW_DATA!C738</f>
        <v>Brown</v>
      </c>
      <c r="D738">
        <f>RAW_DATA!D738</f>
        <v>25</v>
      </c>
      <c r="E738" t="str">
        <f>RAW_DATA!E738</f>
        <v>Finance-Illinois</v>
      </c>
      <c r="F738" t="str">
        <f t="shared" si="33"/>
        <v>Finance</v>
      </c>
      <c r="G738" t="str">
        <f t="shared" si="34"/>
        <v>Illinois</v>
      </c>
      <c r="P738">
        <f t="shared" si="35"/>
        <v>53043.74</v>
      </c>
      <c r="Q738">
        <f>IF(PQ_Cleansing!L738="Excellent", P738 * 0.1, IF(PQ_Cleansing!L738="Good", P738 * 0.05, IF(PQ_Cleansing!L738="Average", P738 * 0.02, IF(PQ_Cleansing!L738="Poor", 0, 0))))</f>
        <v>5304.3739999999998</v>
      </c>
      <c r="R738">
        <f>IFERROR(VALUE(SUBSTITUTE(SUBSTITUTE(PQ_Cleansing!I738, "$", ""), ",", "")), "")</f>
        <v>53043.74</v>
      </c>
    </row>
    <row r="739" spans="1:18" x14ac:dyDescent="0.25">
      <c r="A739" t="str">
        <f>PROPER(TRIM(CLEAN(RAW_DATA!A739)))</f>
        <v>Emp1737</v>
      </c>
      <c r="B739" t="str">
        <f>RAW_DATA!B739</f>
        <v>Eva</v>
      </c>
      <c r="C739" t="str">
        <f>RAW_DATA!C739</f>
        <v>Jones</v>
      </c>
      <c r="D739">
        <f>RAW_DATA!D739</f>
        <v>30</v>
      </c>
      <c r="E739" t="str">
        <f>RAW_DATA!E739</f>
        <v>DevOps-Illinois</v>
      </c>
      <c r="F739" t="str">
        <f t="shared" si="33"/>
        <v>DevOps</v>
      </c>
      <c r="G739" t="str">
        <f t="shared" si="34"/>
        <v>Illinois</v>
      </c>
      <c r="P739">
        <f t="shared" si="35"/>
        <v>82547.259999999995</v>
      </c>
      <c r="Q739">
        <f>IF(PQ_Cleansing!L739="Excellent", P739 * 0.1, IF(PQ_Cleansing!L739="Good", P739 * 0.05, IF(PQ_Cleansing!L739="Average", P739 * 0.02, IF(PQ_Cleansing!L739="Poor", 0, 0))))</f>
        <v>8254.7260000000006</v>
      </c>
      <c r="R739">
        <f>IFERROR(VALUE(SUBSTITUTE(SUBSTITUTE(PQ_Cleansing!I739, "$", ""), ",", "")), "")</f>
        <v>82547.259999999995</v>
      </c>
    </row>
    <row r="740" spans="1:18" x14ac:dyDescent="0.25">
      <c r="A740" t="str">
        <f>PROPER(TRIM(CLEAN(RAW_DATA!A740)))</f>
        <v>Emp1738</v>
      </c>
      <c r="B740" t="str">
        <f>RAW_DATA!B740</f>
        <v>Bob</v>
      </c>
      <c r="C740" t="str">
        <f>RAW_DATA!C740</f>
        <v>Jones</v>
      </c>
      <c r="D740">
        <f>RAW_DATA!D740</f>
        <v>40</v>
      </c>
      <c r="E740" t="str">
        <f>RAW_DATA!E740</f>
        <v>DevOps-California</v>
      </c>
      <c r="F740" t="str">
        <f t="shared" si="33"/>
        <v>DevOps</v>
      </c>
      <c r="G740" t="str">
        <f t="shared" si="34"/>
        <v>California</v>
      </c>
      <c r="P740">
        <f t="shared" si="35"/>
        <v>113900.81</v>
      </c>
      <c r="Q740">
        <f>IF(PQ_Cleansing!L740="Excellent", P740 * 0.1, IF(PQ_Cleansing!L740="Good", P740 * 0.05, IF(PQ_Cleansing!L740="Average", P740 * 0.02, IF(PQ_Cleansing!L740="Poor", 0, 0))))</f>
        <v>2278.0162</v>
      </c>
      <c r="R740">
        <f>IFERROR(VALUE(SUBSTITUTE(SUBSTITUTE(PQ_Cleansing!I740, "$", ""), ",", "")), "")</f>
        <v>113900.81</v>
      </c>
    </row>
    <row r="741" spans="1:18" x14ac:dyDescent="0.25">
      <c r="A741" t="str">
        <f>PROPER(TRIM(CLEAN(RAW_DATA!A741)))</f>
        <v>Emp1739</v>
      </c>
      <c r="B741" t="str">
        <f>RAW_DATA!B741</f>
        <v>Bob</v>
      </c>
      <c r="C741" t="str">
        <f>RAW_DATA!C741</f>
        <v>Brown</v>
      </c>
      <c r="D741">
        <f>RAW_DATA!D741</f>
        <v>25</v>
      </c>
      <c r="E741" t="str">
        <f>RAW_DATA!E741</f>
        <v>HR-Nevada</v>
      </c>
      <c r="F741" t="str">
        <f t="shared" si="33"/>
        <v>HR</v>
      </c>
      <c r="G741" t="str">
        <f t="shared" si="34"/>
        <v>Nevada</v>
      </c>
      <c r="P741">
        <f t="shared" si="35"/>
        <v>118585.5</v>
      </c>
      <c r="Q741">
        <f>IF(PQ_Cleansing!L741="Excellent", P741 * 0.1, IF(PQ_Cleansing!L741="Good", P741 * 0.05, IF(PQ_Cleansing!L741="Average", P741 * 0.02, IF(PQ_Cleansing!L741="Poor", 0, 0))))</f>
        <v>2371.71</v>
      </c>
      <c r="R741">
        <f>IFERROR(VALUE(SUBSTITUTE(SUBSTITUTE(PQ_Cleansing!I741, "$", ""), ",", "")), "")</f>
        <v>118585.5</v>
      </c>
    </row>
    <row r="742" spans="1:18" x14ac:dyDescent="0.25">
      <c r="A742" t="str">
        <f>PROPER(TRIM(CLEAN(RAW_DATA!A742)))</f>
        <v>Emp1740</v>
      </c>
      <c r="B742" t="str">
        <f>RAW_DATA!B742</f>
        <v>Bob</v>
      </c>
      <c r="C742" t="str">
        <f>RAW_DATA!C742</f>
        <v>Davis</v>
      </c>
      <c r="D742">
        <f>RAW_DATA!D742</f>
        <v>35</v>
      </c>
      <c r="E742" t="str">
        <f>RAW_DATA!E742</f>
        <v>Finance-Illinois</v>
      </c>
      <c r="F742" t="str">
        <f t="shared" si="33"/>
        <v>Finance</v>
      </c>
      <c r="G742" t="str">
        <f t="shared" si="34"/>
        <v>Illinois</v>
      </c>
      <c r="P742">
        <f t="shared" si="35"/>
        <v>63049.22</v>
      </c>
      <c r="Q742">
        <f>IF(PQ_Cleansing!L742="Excellent", P742 * 0.1, IF(PQ_Cleansing!L742="Good", P742 * 0.05, IF(PQ_Cleansing!L742="Average", P742 * 0.02, IF(PQ_Cleansing!L742="Poor", 0, 0))))</f>
        <v>0</v>
      </c>
      <c r="R742">
        <f>IFERROR(VALUE(SUBSTITUTE(SUBSTITUTE(PQ_Cleansing!I742, "$", ""), ",", "")), "")</f>
        <v>63049.22</v>
      </c>
    </row>
    <row r="743" spans="1:18" x14ac:dyDescent="0.25">
      <c r="A743" t="str">
        <f>PROPER(TRIM(CLEAN(RAW_DATA!A743)))</f>
        <v>Emp1741</v>
      </c>
      <c r="B743" t="str">
        <f>RAW_DATA!B743</f>
        <v>Heidi</v>
      </c>
      <c r="C743" t="str">
        <f>RAW_DATA!C743</f>
        <v>Miller</v>
      </c>
      <c r="D743">
        <f>RAW_DATA!D743</f>
        <v>0</v>
      </c>
      <c r="E743" t="str">
        <f>RAW_DATA!E743</f>
        <v>DevOps-Texas</v>
      </c>
      <c r="F743" t="str">
        <f t="shared" si="33"/>
        <v>DevOps</v>
      </c>
      <c r="G743" t="str">
        <f t="shared" si="34"/>
        <v>Texas</v>
      </c>
      <c r="P743">
        <f t="shared" si="35"/>
        <v>114558.91</v>
      </c>
      <c r="Q743">
        <f>IF(PQ_Cleansing!L743="Excellent", P743 * 0.1, IF(PQ_Cleansing!L743="Good", P743 * 0.05, IF(PQ_Cleansing!L743="Average", P743 * 0.02, IF(PQ_Cleansing!L743="Poor", 0, 0))))</f>
        <v>2291.1782000000003</v>
      </c>
      <c r="R743">
        <f>IFERROR(VALUE(SUBSTITUTE(SUBSTITUTE(PQ_Cleansing!I743, "$", ""), ",", "")), "")</f>
        <v>114558.91</v>
      </c>
    </row>
    <row r="744" spans="1:18" x14ac:dyDescent="0.25">
      <c r="A744" t="str">
        <f>PROPER(TRIM(CLEAN(RAW_DATA!A744)))</f>
        <v>Emp1742</v>
      </c>
      <c r="B744" t="str">
        <f>RAW_DATA!B744</f>
        <v>Heidi</v>
      </c>
      <c r="C744" t="str">
        <f>RAW_DATA!C744</f>
        <v>Johnson</v>
      </c>
      <c r="D744">
        <f>RAW_DATA!D744</f>
        <v>40</v>
      </c>
      <c r="E744" t="str">
        <f>RAW_DATA!E744</f>
        <v>DevOps-New York</v>
      </c>
      <c r="F744" t="str">
        <f t="shared" si="33"/>
        <v>DevOps</v>
      </c>
      <c r="G744" t="str">
        <f t="shared" si="34"/>
        <v>New York</v>
      </c>
      <c r="P744">
        <f t="shared" si="35"/>
        <v>97901.79</v>
      </c>
      <c r="Q744">
        <f>IF(PQ_Cleansing!L744="Excellent", P744 * 0.1, IF(PQ_Cleansing!L744="Good", P744 * 0.05, IF(PQ_Cleansing!L744="Average", P744 * 0.02, IF(PQ_Cleansing!L744="Poor", 0, 0))))</f>
        <v>1958.0357999999999</v>
      </c>
      <c r="R744">
        <f>IFERROR(VALUE(SUBSTITUTE(SUBSTITUTE(PQ_Cleansing!I744, "$", ""), ",", "")), "")</f>
        <v>97901.79</v>
      </c>
    </row>
    <row r="745" spans="1:18" x14ac:dyDescent="0.25">
      <c r="A745" t="str">
        <f>PROPER(TRIM(CLEAN(RAW_DATA!A745)))</f>
        <v>Emp1743</v>
      </c>
      <c r="B745" t="str">
        <f>RAW_DATA!B745</f>
        <v>Eva</v>
      </c>
      <c r="C745" t="str">
        <f>RAW_DATA!C745</f>
        <v>Jones</v>
      </c>
      <c r="D745">
        <f>RAW_DATA!D745</f>
        <v>30</v>
      </c>
      <c r="E745" t="str">
        <f>RAW_DATA!E745</f>
        <v>Sales-California</v>
      </c>
      <c r="F745" t="str">
        <f t="shared" si="33"/>
        <v>Sales</v>
      </c>
      <c r="G745" t="str">
        <f t="shared" si="34"/>
        <v>California</v>
      </c>
      <c r="P745">
        <f t="shared" si="35"/>
        <v>68037.56</v>
      </c>
      <c r="Q745">
        <f>IF(PQ_Cleansing!L745="Excellent", P745 * 0.1, IF(PQ_Cleansing!L745="Good", P745 * 0.05, IF(PQ_Cleansing!L745="Average", P745 * 0.02, IF(PQ_Cleansing!L745="Poor", 0, 0))))</f>
        <v>1360.7511999999999</v>
      </c>
      <c r="R745">
        <f>IFERROR(VALUE(SUBSTITUTE(SUBSTITUTE(PQ_Cleansing!I745, "$", ""), ",", "")), "")</f>
        <v>68037.56</v>
      </c>
    </row>
    <row r="746" spans="1:18" x14ac:dyDescent="0.25">
      <c r="A746" t="str">
        <f>PROPER(TRIM(CLEAN(RAW_DATA!A746)))</f>
        <v>Emp1744</v>
      </c>
      <c r="B746" t="str">
        <f>RAW_DATA!B746</f>
        <v>Alice</v>
      </c>
      <c r="C746" t="str">
        <f>RAW_DATA!C746</f>
        <v>Williams</v>
      </c>
      <c r="D746">
        <f>RAW_DATA!D746</f>
        <v>0</v>
      </c>
      <c r="E746" t="str">
        <f>RAW_DATA!E746</f>
        <v>HR-New York</v>
      </c>
      <c r="F746" t="str">
        <f t="shared" si="33"/>
        <v>HR</v>
      </c>
      <c r="G746" t="str">
        <f t="shared" si="34"/>
        <v>New York</v>
      </c>
      <c r="P746">
        <f t="shared" si="35"/>
        <v>112802.27</v>
      </c>
      <c r="Q746">
        <f>IF(PQ_Cleansing!L746="Excellent", P746 * 0.1, IF(PQ_Cleansing!L746="Good", P746 * 0.05, IF(PQ_Cleansing!L746="Average", P746 * 0.02, IF(PQ_Cleansing!L746="Poor", 0, 0))))</f>
        <v>11280.227000000001</v>
      </c>
      <c r="R746">
        <f>IFERROR(VALUE(SUBSTITUTE(SUBSTITUTE(PQ_Cleansing!I746, "$", ""), ",", "")), "")</f>
        <v>112802.27</v>
      </c>
    </row>
    <row r="747" spans="1:18" x14ac:dyDescent="0.25">
      <c r="A747" t="str">
        <f>PROPER(TRIM(CLEAN(RAW_DATA!A747)))</f>
        <v>Emp1745</v>
      </c>
      <c r="B747" t="str">
        <f>RAW_DATA!B747</f>
        <v>Bob</v>
      </c>
      <c r="C747" t="str">
        <f>RAW_DATA!C747</f>
        <v>Johnson</v>
      </c>
      <c r="D747">
        <f>RAW_DATA!D747</f>
        <v>40</v>
      </c>
      <c r="E747" t="str">
        <f>RAW_DATA!E747</f>
        <v>Sales-Nevada</v>
      </c>
      <c r="F747" t="str">
        <f t="shared" si="33"/>
        <v>Sales</v>
      </c>
      <c r="G747" t="str">
        <f t="shared" si="34"/>
        <v>Nevada</v>
      </c>
      <c r="P747">
        <f t="shared" si="35"/>
        <v>93786.72</v>
      </c>
      <c r="Q747">
        <f>IF(PQ_Cleansing!L747="Excellent", P747 * 0.1, IF(PQ_Cleansing!L747="Good", P747 * 0.05, IF(PQ_Cleansing!L747="Average", P747 * 0.02, IF(PQ_Cleansing!L747="Poor", 0, 0))))</f>
        <v>0</v>
      </c>
      <c r="R747">
        <f>IFERROR(VALUE(SUBSTITUTE(SUBSTITUTE(PQ_Cleansing!I747, "$", ""), ",", "")), "")</f>
        <v>93786.72</v>
      </c>
    </row>
    <row r="748" spans="1:18" x14ac:dyDescent="0.25">
      <c r="A748" t="str">
        <f>PROPER(TRIM(CLEAN(RAW_DATA!A748)))</f>
        <v>Emp1746</v>
      </c>
      <c r="B748" t="str">
        <f>RAW_DATA!B748</f>
        <v>David</v>
      </c>
      <c r="C748" t="str">
        <f>RAW_DATA!C748</f>
        <v>Williams</v>
      </c>
      <c r="D748">
        <f>RAW_DATA!D748</f>
        <v>0</v>
      </c>
      <c r="E748" t="str">
        <f>RAW_DATA!E748</f>
        <v>Admin-Florida</v>
      </c>
      <c r="F748" t="str">
        <f t="shared" si="33"/>
        <v>Admin</v>
      </c>
      <c r="G748" t="str">
        <f t="shared" si="34"/>
        <v>Florida</v>
      </c>
      <c r="P748">
        <f t="shared" si="35"/>
        <v>73049.929999999993</v>
      </c>
      <c r="Q748">
        <f>IF(PQ_Cleansing!L748="Excellent", P748 * 0.1, IF(PQ_Cleansing!L748="Good", P748 * 0.05, IF(PQ_Cleansing!L748="Average", P748 * 0.02, IF(PQ_Cleansing!L748="Poor", 0, 0))))</f>
        <v>3652.4964999999997</v>
      </c>
      <c r="R748">
        <f>IFERROR(VALUE(SUBSTITUTE(SUBSTITUTE(PQ_Cleansing!I748, "$", ""), ",", "")), "")</f>
        <v>73049.929999999993</v>
      </c>
    </row>
    <row r="749" spans="1:18" x14ac:dyDescent="0.25">
      <c r="A749" t="str">
        <f>PROPER(TRIM(CLEAN(RAW_DATA!A749)))</f>
        <v>Emp1747</v>
      </c>
      <c r="B749" t="str">
        <f>RAW_DATA!B749</f>
        <v>David</v>
      </c>
      <c r="C749" t="str">
        <f>RAW_DATA!C749</f>
        <v>Davis</v>
      </c>
      <c r="D749">
        <f>RAW_DATA!D749</f>
        <v>30</v>
      </c>
      <c r="E749" t="str">
        <f>RAW_DATA!E749</f>
        <v>Sales-Illinois</v>
      </c>
      <c r="F749" t="str">
        <f t="shared" si="33"/>
        <v>Sales</v>
      </c>
      <c r="G749" t="str">
        <f t="shared" si="34"/>
        <v>Illinois</v>
      </c>
      <c r="P749">
        <f t="shared" si="35"/>
        <v>64161.72</v>
      </c>
      <c r="Q749">
        <f>IF(PQ_Cleansing!L749="Excellent", P749 * 0.1, IF(PQ_Cleansing!L749="Good", P749 * 0.05, IF(PQ_Cleansing!L749="Average", P749 * 0.02, IF(PQ_Cleansing!L749="Poor", 0, 0))))</f>
        <v>6416.1720000000005</v>
      </c>
      <c r="R749">
        <f>IFERROR(VALUE(SUBSTITUTE(SUBSTITUTE(PQ_Cleansing!I749, "$", ""), ",", "")), "")</f>
        <v>64161.72</v>
      </c>
    </row>
    <row r="750" spans="1:18" x14ac:dyDescent="0.25">
      <c r="A750" t="str">
        <f>PROPER(TRIM(CLEAN(RAW_DATA!A750)))</f>
        <v>Emp1748</v>
      </c>
      <c r="B750" t="str">
        <f>RAW_DATA!B750</f>
        <v>Charlie</v>
      </c>
      <c r="C750" t="str">
        <f>RAW_DATA!C750</f>
        <v>Smith</v>
      </c>
      <c r="D750">
        <f>RAW_DATA!D750</f>
        <v>40</v>
      </c>
      <c r="E750" t="str">
        <f>RAW_DATA!E750</f>
        <v>Admin-Nevada</v>
      </c>
      <c r="F750" t="str">
        <f t="shared" si="33"/>
        <v>Admin</v>
      </c>
      <c r="G750" t="str">
        <f t="shared" si="34"/>
        <v>Nevada</v>
      </c>
      <c r="P750">
        <f t="shared" si="35"/>
        <v>72224.73</v>
      </c>
      <c r="Q750">
        <f>IF(PQ_Cleansing!L750="Excellent", P750 * 0.1, IF(PQ_Cleansing!L750="Good", P750 * 0.05, IF(PQ_Cleansing!L750="Average", P750 * 0.02, IF(PQ_Cleansing!L750="Poor", 0, 0))))</f>
        <v>1444.4946</v>
      </c>
      <c r="R750">
        <f>IFERROR(VALUE(SUBSTITUTE(SUBSTITUTE(PQ_Cleansing!I750, "$", ""), ",", "")), "")</f>
        <v>72224.73</v>
      </c>
    </row>
    <row r="751" spans="1:18" x14ac:dyDescent="0.25">
      <c r="A751" t="str">
        <f>PROPER(TRIM(CLEAN(RAW_DATA!A751)))</f>
        <v>Emp1749</v>
      </c>
      <c r="B751" t="str">
        <f>RAW_DATA!B751</f>
        <v>Bob</v>
      </c>
      <c r="C751" t="str">
        <f>RAW_DATA!C751</f>
        <v>Johnson</v>
      </c>
      <c r="D751">
        <f>RAW_DATA!D751</f>
        <v>30</v>
      </c>
      <c r="E751" t="str">
        <f>RAW_DATA!E751</f>
        <v>HR-New York</v>
      </c>
      <c r="F751" t="str">
        <f t="shared" si="33"/>
        <v>HR</v>
      </c>
      <c r="G751" t="str">
        <f t="shared" si="34"/>
        <v>New York</v>
      </c>
      <c r="P751">
        <f t="shared" si="35"/>
        <v>103580.45</v>
      </c>
      <c r="Q751">
        <f>IF(PQ_Cleansing!L751="Excellent", P751 * 0.1, IF(PQ_Cleansing!L751="Good", P751 * 0.05, IF(PQ_Cleansing!L751="Average", P751 * 0.02, IF(PQ_Cleansing!L751="Poor", 0, 0))))</f>
        <v>10358.045</v>
      </c>
      <c r="R751">
        <f>IFERROR(VALUE(SUBSTITUTE(SUBSTITUTE(PQ_Cleansing!I751, "$", ""), ",", "")), "")</f>
        <v>103580.45</v>
      </c>
    </row>
    <row r="752" spans="1:18" x14ac:dyDescent="0.25">
      <c r="A752" t="str">
        <f>PROPER(TRIM(CLEAN(RAW_DATA!A752)))</f>
        <v>Emp1750</v>
      </c>
      <c r="B752" t="str">
        <f>RAW_DATA!B752</f>
        <v>Grace</v>
      </c>
      <c r="C752" t="str">
        <f>RAW_DATA!C752</f>
        <v>Garcia</v>
      </c>
      <c r="D752">
        <f>RAW_DATA!D752</f>
        <v>40</v>
      </c>
      <c r="E752" t="str">
        <f>RAW_DATA!E752</f>
        <v>HR-Florida</v>
      </c>
      <c r="F752" t="str">
        <f t="shared" si="33"/>
        <v>HR</v>
      </c>
      <c r="G752" t="str">
        <f t="shared" si="34"/>
        <v>Florida</v>
      </c>
      <c r="P752">
        <f t="shared" si="35"/>
        <v>112589.11</v>
      </c>
      <c r="Q752">
        <f>IF(PQ_Cleansing!L752="Excellent", P752 * 0.1, IF(PQ_Cleansing!L752="Good", P752 * 0.05, IF(PQ_Cleansing!L752="Average", P752 * 0.02, IF(PQ_Cleansing!L752="Poor", 0, 0))))</f>
        <v>2251.7822000000001</v>
      </c>
      <c r="R752">
        <f>IFERROR(VALUE(SUBSTITUTE(SUBSTITUTE(PQ_Cleansing!I752, "$", ""), ",", "")), "")</f>
        <v>112589.11</v>
      </c>
    </row>
    <row r="753" spans="1:18" x14ac:dyDescent="0.25">
      <c r="A753" t="str">
        <f>PROPER(TRIM(CLEAN(RAW_DATA!A753)))</f>
        <v>Emp1751</v>
      </c>
      <c r="B753" t="str">
        <f>RAW_DATA!B753</f>
        <v>Eva</v>
      </c>
      <c r="C753" t="str">
        <f>RAW_DATA!C753</f>
        <v>Jones</v>
      </c>
      <c r="D753">
        <f>RAW_DATA!D753</f>
        <v>30</v>
      </c>
      <c r="E753" t="str">
        <f>RAW_DATA!E753</f>
        <v>Admin-Texas</v>
      </c>
      <c r="F753" t="str">
        <f t="shared" si="33"/>
        <v>Admin</v>
      </c>
      <c r="G753" t="str">
        <f t="shared" si="34"/>
        <v>Texas</v>
      </c>
      <c r="P753">
        <f t="shared" si="35"/>
        <v>51833.88</v>
      </c>
      <c r="Q753">
        <f>IF(PQ_Cleansing!L753="Excellent", P753 * 0.1, IF(PQ_Cleansing!L753="Good", P753 * 0.05, IF(PQ_Cleansing!L753="Average", P753 * 0.02, IF(PQ_Cleansing!L753="Poor", 0, 0))))</f>
        <v>1036.6776</v>
      </c>
      <c r="R753">
        <f>IFERROR(VALUE(SUBSTITUTE(SUBSTITUTE(PQ_Cleansing!I753, "$", ""), ",", "")), "")</f>
        <v>51833.88</v>
      </c>
    </row>
    <row r="754" spans="1:18" x14ac:dyDescent="0.25">
      <c r="A754" t="str">
        <f>PROPER(TRIM(CLEAN(RAW_DATA!A754)))</f>
        <v>Emp1752</v>
      </c>
      <c r="B754" t="str">
        <f>RAW_DATA!B754</f>
        <v>Eva</v>
      </c>
      <c r="C754" t="str">
        <f>RAW_DATA!C754</f>
        <v>Johnson</v>
      </c>
      <c r="D754">
        <f>RAW_DATA!D754</f>
        <v>0</v>
      </c>
      <c r="E754" t="str">
        <f>RAW_DATA!E754</f>
        <v>Sales-Illinois</v>
      </c>
      <c r="F754" t="str">
        <f t="shared" si="33"/>
        <v>Sales</v>
      </c>
      <c r="G754" t="str">
        <f t="shared" si="34"/>
        <v>Illinois</v>
      </c>
      <c r="P754">
        <f t="shared" si="35"/>
        <v>66252.78</v>
      </c>
      <c r="Q754">
        <f>IF(PQ_Cleansing!L754="Excellent", P754 * 0.1, IF(PQ_Cleansing!L754="Good", P754 * 0.05, IF(PQ_Cleansing!L754="Average", P754 * 0.02, IF(PQ_Cleansing!L754="Poor", 0, 0))))</f>
        <v>6625.2780000000002</v>
      </c>
      <c r="R754">
        <f>IFERROR(VALUE(SUBSTITUTE(SUBSTITUTE(PQ_Cleansing!I754, "$", ""), ",", "")), "")</f>
        <v>66252.78</v>
      </c>
    </row>
    <row r="755" spans="1:18" x14ac:dyDescent="0.25">
      <c r="A755" t="str">
        <f>PROPER(TRIM(CLEAN(RAW_DATA!A755)))</f>
        <v>Emp1753</v>
      </c>
      <c r="B755" t="str">
        <f>RAW_DATA!B755</f>
        <v>Frank</v>
      </c>
      <c r="C755" t="str">
        <f>RAW_DATA!C755</f>
        <v>Johnson</v>
      </c>
      <c r="D755">
        <f>RAW_DATA!D755</f>
        <v>25</v>
      </c>
      <c r="E755" t="str">
        <f>RAW_DATA!E755</f>
        <v>DevOps-Florida</v>
      </c>
      <c r="F755" t="str">
        <f t="shared" si="33"/>
        <v>DevOps</v>
      </c>
      <c r="G755" t="str">
        <f t="shared" si="34"/>
        <v>Florida</v>
      </c>
      <c r="P755">
        <f t="shared" si="35"/>
        <v>109229.68</v>
      </c>
      <c r="Q755">
        <f>IF(PQ_Cleansing!L755="Excellent", P755 * 0.1, IF(PQ_Cleansing!L755="Good", P755 * 0.05, IF(PQ_Cleansing!L755="Average", P755 * 0.02, IF(PQ_Cleansing!L755="Poor", 0, 0))))</f>
        <v>0</v>
      </c>
      <c r="R755">
        <f>IFERROR(VALUE(SUBSTITUTE(SUBSTITUTE(PQ_Cleansing!I755, "$", ""), ",", "")), "")</f>
        <v>109229.68</v>
      </c>
    </row>
    <row r="756" spans="1:18" x14ac:dyDescent="0.25">
      <c r="A756" t="str">
        <f>PROPER(TRIM(CLEAN(RAW_DATA!A756)))</f>
        <v>Emp1754</v>
      </c>
      <c r="B756" t="str">
        <f>RAW_DATA!B756</f>
        <v>Frank</v>
      </c>
      <c r="C756" t="str">
        <f>RAW_DATA!C756</f>
        <v>Johnson</v>
      </c>
      <c r="D756">
        <f>RAW_DATA!D756</f>
        <v>30</v>
      </c>
      <c r="E756" t="str">
        <f>RAW_DATA!E756</f>
        <v>Finance-Florida</v>
      </c>
      <c r="F756" t="str">
        <f t="shared" si="33"/>
        <v>Finance</v>
      </c>
      <c r="G756" t="str">
        <f t="shared" si="34"/>
        <v>Florida</v>
      </c>
      <c r="P756">
        <f t="shared" si="35"/>
        <v>61465.05</v>
      </c>
      <c r="Q756">
        <f>IF(PQ_Cleansing!L756="Excellent", P756 * 0.1, IF(PQ_Cleansing!L756="Good", P756 * 0.05, IF(PQ_Cleansing!L756="Average", P756 * 0.02, IF(PQ_Cleansing!L756="Poor", 0, 0))))</f>
        <v>1229.3010000000002</v>
      </c>
      <c r="R756">
        <f>IFERROR(VALUE(SUBSTITUTE(SUBSTITUTE(PQ_Cleansing!I756, "$", ""), ",", "")), "")</f>
        <v>61465.05</v>
      </c>
    </row>
    <row r="757" spans="1:18" x14ac:dyDescent="0.25">
      <c r="A757" t="str">
        <f>PROPER(TRIM(CLEAN(RAW_DATA!A757)))</f>
        <v>Emp1755</v>
      </c>
      <c r="B757" t="str">
        <f>RAW_DATA!B757</f>
        <v>Grace</v>
      </c>
      <c r="C757" t="str">
        <f>RAW_DATA!C757</f>
        <v>Miller</v>
      </c>
      <c r="D757">
        <f>RAW_DATA!D757</f>
        <v>25</v>
      </c>
      <c r="E757" t="str">
        <f>RAW_DATA!E757</f>
        <v>HR-Florida</v>
      </c>
      <c r="F757" t="str">
        <f t="shared" si="33"/>
        <v>HR</v>
      </c>
      <c r="G757" t="str">
        <f t="shared" si="34"/>
        <v>Florida</v>
      </c>
      <c r="P757">
        <f t="shared" si="35"/>
        <v>96993.74</v>
      </c>
      <c r="Q757">
        <f>IF(PQ_Cleansing!L757="Excellent", P757 * 0.1, IF(PQ_Cleansing!L757="Good", P757 * 0.05, IF(PQ_Cleansing!L757="Average", P757 * 0.02, IF(PQ_Cleansing!L757="Poor", 0, 0))))</f>
        <v>0</v>
      </c>
      <c r="R757">
        <f>IFERROR(VALUE(SUBSTITUTE(SUBSTITUTE(PQ_Cleansing!I757, "$", ""), ",", "")), "")</f>
        <v>96993.74</v>
      </c>
    </row>
    <row r="758" spans="1:18" x14ac:dyDescent="0.25">
      <c r="A758" t="str">
        <f>PROPER(TRIM(CLEAN(RAW_DATA!A758)))</f>
        <v>Emp1756</v>
      </c>
      <c r="B758" t="str">
        <f>RAW_DATA!B758</f>
        <v>David</v>
      </c>
      <c r="C758" t="str">
        <f>RAW_DATA!C758</f>
        <v>Johnson</v>
      </c>
      <c r="D758">
        <f>RAW_DATA!D758</f>
        <v>25</v>
      </c>
      <c r="E758" t="str">
        <f>RAW_DATA!E758</f>
        <v>Admin-Florida</v>
      </c>
      <c r="F758" t="str">
        <f t="shared" si="33"/>
        <v>Admin</v>
      </c>
      <c r="G758" t="str">
        <f t="shared" si="34"/>
        <v>Florida</v>
      </c>
      <c r="P758">
        <f t="shared" si="35"/>
        <v>98150.39</v>
      </c>
      <c r="Q758">
        <f>IF(PQ_Cleansing!L758="Excellent", P758 * 0.1, IF(PQ_Cleansing!L758="Good", P758 * 0.05, IF(PQ_Cleansing!L758="Average", P758 * 0.02, IF(PQ_Cleansing!L758="Poor", 0, 0))))</f>
        <v>4907.5195000000003</v>
      </c>
      <c r="R758">
        <f>IFERROR(VALUE(SUBSTITUTE(SUBSTITUTE(PQ_Cleansing!I758, "$", ""), ",", "")), "")</f>
        <v>98150.39</v>
      </c>
    </row>
    <row r="759" spans="1:18" x14ac:dyDescent="0.25">
      <c r="A759" t="str">
        <f>PROPER(TRIM(CLEAN(RAW_DATA!A759)))</f>
        <v>Emp1757</v>
      </c>
      <c r="B759" t="str">
        <f>RAW_DATA!B759</f>
        <v>David</v>
      </c>
      <c r="C759" t="str">
        <f>RAW_DATA!C759</f>
        <v>Williams</v>
      </c>
      <c r="D759">
        <f>RAW_DATA!D759</f>
        <v>40</v>
      </c>
      <c r="E759" t="str">
        <f>RAW_DATA!E759</f>
        <v>Finance-Texas</v>
      </c>
      <c r="F759" t="str">
        <f t="shared" si="33"/>
        <v>Finance</v>
      </c>
      <c r="G759" t="str">
        <f t="shared" si="34"/>
        <v>Texas</v>
      </c>
      <c r="P759">
        <f t="shared" si="35"/>
        <v>107703</v>
      </c>
      <c r="Q759">
        <f>IF(PQ_Cleansing!L759="Excellent", P759 * 0.1, IF(PQ_Cleansing!L759="Good", P759 * 0.05, IF(PQ_Cleansing!L759="Average", P759 * 0.02, IF(PQ_Cleansing!L759="Poor", 0, 0))))</f>
        <v>2154.06</v>
      </c>
      <c r="R759">
        <f>IFERROR(VALUE(SUBSTITUTE(SUBSTITUTE(PQ_Cleansing!I759, "$", ""), ",", "")), "")</f>
        <v>107703</v>
      </c>
    </row>
    <row r="760" spans="1:18" x14ac:dyDescent="0.25">
      <c r="A760" t="str">
        <f>PROPER(TRIM(CLEAN(RAW_DATA!A760)))</f>
        <v>Emp1758</v>
      </c>
      <c r="B760" t="str">
        <f>RAW_DATA!B760</f>
        <v>Grace</v>
      </c>
      <c r="C760" t="str">
        <f>RAW_DATA!C760</f>
        <v>Smith</v>
      </c>
      <c r="D760">
        <f>RAW_DATA!D760</f>
        <v>0</v>
      </c>
      <c r="E760" t="str">
        <f>RAW_DATA!E760</f>
        <v>DevOps-Illinois</v>
      </c>
      <c r="F760" t="str">
        <f t="shared" si="33"/>
        <v>DevOps</v>
      </c>
      <c r="G760" t="str">
        <f t="shared" si="34"/>
        <v>Illinois</v>
      </c>
      <c r="P760">
        <f t="shared" si="35"/>
        <v>86766.14</v>
      </c>
      <c r="Q760">
        <f>IF(PQ_Cleansing!L760="Excellent", P760 * 0.1, IF(PQ_Cleansing!L760="Good", P760 * 0.05, IF(PQ_Cleansing!L760="Average", P760 * 0.02, IF(PQ_Cleansing!L760="Poor", 0, 0))))</f>
        <v>0</v>
      </c>
      <c r="R760">
        <f>IFERROR(VALUE(SUBSTITUTE(SUBSTITUTE(PQ_Cleansing!I760, "$", ""), ",", "")), "")</f>
        <v>86766.14</v>
      </c>
    </row>
    <row r="761" spans="1:18" x14ac:dyDescent="0.25">
      <c r="A761" t="str">
        <f>PROPER(TRIM(CLEAN(RAW_DATA!A761)))</f>
        <v>Emp1759</v>
      </c>
      <c r="B761" t="str">
        <f>RAW_DATA!B761</f>
        <v>Alice</v>
      </c>
      <c r="C761" t="str">
        <f>RAW_DATA!C761</f>
        <v>Davis</v>
      </c>
      <c r="D761">
        <f>RAW_DATA!D761</f>
        <v>0</v>
      </c>
      <c r="E761" t="str">
        <f>RAW_DATA!E761</f>
        <v>Cloud Tech-Florida</v>
      </c>
      <c r="F761" t="str">
        <f t="shared" si="33"/>
        <v>Cloud Tech</v>
      </c>
      <c r="G761" t="str">
        <f t="shared" si="34"/>
        <v>Florida</v>
      </c>
      <c r="P761">
        <f t="shared" si="35"/>
        <v>111443.69</v>
      </c>
      <c r="Q761">
        <f>IF(PQ_Cleansing!L761="Excellent", P761 * 0.1, IF(PQ_Cleansing!L761="Good", P761 * 0.05, IF(PQ_Cleansing!L761="Average", P761 * 0.02, IF(PQ_Cleansing!L761="Poor", 0, 0))))</f>
        <v>0</v>
      </c>
      <c r="R761">
        <f>IFERROR(VALUE(SUBSTITUTE(SUBSTITUTE(PQ_Cleansing!I761, "$", ""), ",", "")), "")</f>
        <v>111443.69</v>
      </c>
    </row>
    <row r="762" spans="1:18" x14ac:dyDescent="0.25">
      <c r="A762" t="str">
        <f>PROPER(TRIM(CLEAN(RAW_DATA!A762)))</f>
        <v>Emp1760</v>
      </c>
      <c r="B762" t="str">
        <f>RAW_DATA!B762</f>
        <v>David</v>
      </c>
      <c r="C762" t="str">
        <f>RAW_DATA!C762</f>
        <v>Brown</v>
      </c>
      <c r="D762">
        <f>RAW_DATA!D762</f>
        <v>0</v>
      </c>
      <c r="E762" t="str">
        <f>RAW_DATA!E762</f>
        <v>Sales-Florida</v>
      </c>
      <c r="F762" t="str">
        <f t="shared" si="33"/>
        <v>Sales</v>
      </c>
      <c r="G762" t="str">
        <f t="shared" si="34"/>
        <v>Florida</v>
      </c>
      <c r="P762">
        <f t="shared" si="35"/>
        <v>89039.07</v>
      </c>
      <c r="Q762">
        <f>IF(PQ_Cleansing!L762="Excellent", P762 * 0.1, IF(PQ_Cleansing!L762="Good", P762 * 0.05, IF(PQ_Cleansing!L762="Average", P762 * 0.02, IF(PQ_Cleansing!L762="Poor", 0, 0))))</f>
        <v>4451.9535000000005</v>
      </c>
      <c r="R762">
        <f>IFERROR(VALUE(SUBSTITUTE(SUBSTITUTE(PQ_Cleansing!I762, "$", ""), ",", "")), "")</f>
        <v>89039.07</v>
      </c>
    </row>
    <row r="763" spans="1:18" x14ac:dyDescent="0.25">
      <c r="A763" t="str">
        <f>PROPER(TRIM(CLEAN(RAW_DATA!A763)))</f>
        <v>Emp1761</v>
      </c>
      <c r="B763" t="str">
        <f>RAW_DATA!B763</f>
        <v>Alice</v>
      </c>
      <c r="C763" t="str">
        <f>RAW_DATA!C763</f>
        <v>Johnson</v>
      </c>
      <c r="D763">
        <f>RAW_DATA!D763</f>
        <v>30</v>
      </c>
      <c r="E763" t="str">
        <f>RAW_DATA!E763</f>
        <v>HR-Florida</v>
      </c>
      <c r="F763" t="str">
        <f t="shared" si="33"/>
        <v>HR</v>
      </c>
      <c r="G763" t="str">
        <f t="shared" si="34"/>
        <v>Florida</v>
      </c>
      <c r="P763">
        <f t="shared" si="35"/>
        <v>71318.789999999994</v>
      </c>
      <c r="Q763">
        <f>IF(PQ_Cleansing!L763="Excellent", P763 * 0.1, IF(PQ_Cleansing!L763="Good", P763 * 0.05, IF(PQ_Cleansing!L763="Average", P763 * 0.02, IF(PQ_Cleansing!L763="Poor", 0, 0))))</f>
        <v>0</v>
      </c>
      <c r="R763">
        <f>IFERROR(VALUE(SUBSTITUTE(SUBSTITUTE(PQ_Cleansing!I763, "$", ""), ",", "")), "")</f>
        <v>71318.789999999994</v>
      </c>
    </row>
    <row r="764" spans="1:18" x14ac:dyDescent="0.25">
      <c r="A764" t="str">
        <f>PROPER(TRIM(CLEAN(RAW_DATA!A764)))</f>
        <v>Emp1762</v>
      </c>
      <c r="B764" t="str">
        <f>RAW_DATA!B764</f>
        <v>Heidi</v>
      </c>
      <c r="C764" t="str">
        <f>RAW_DATA!C764</f>
        <v>Jones</v>
      </c>
      <c r="D764">
        <f>RAW_DATA!D764</f>
        <v>30</v>
      </c>
      <c r="E764" t="str">
        <f>RAW_DATA!E764</f>
        <v>Finance-California</v>
      </c>
      <c r="F764" t="str">
        <f t="shared" si="33"/>
        <v>Finance</v>
      </c>
      <c r="G764" t="str">
        <f t="shared" si="34"/>
        <v>California</v>
      </c>
      <c r="P764">
        <f t="shared" si="35"/>
        <v>98296.71</v>
      </c>
      <c r="Q764">
        <f>IF(PQ_Cleansing!L764="Excellent", P764 * 0.1, IF(PQ_Cleansing!L764="Good", P764 * 0.05, IF(PQ_Cleansing!L764="Average", P764 * 0.02, IF(PQ_Cleansing!L764="Poor", 0, 0))))</f>
        <v>0</v>
      </c>
      <c r="R764">
        <f>IFERROR(VALUE(SUBSTITUTE(SUBSTITUTE(PQ_Cleansing!I764, "$", ""), ",", "")), "")</f>
        <v>98296.71</v>
      </c>
    </row>
    <row r="765" spans="1:18" x14ac:dyDescent="0.25">
      <c r="A765" t="str">
        <f>PROPER(TRIM(CLEAN(RAW_DATA!A765)))</f>
        <v>Emp1763</v>
      </c>
      <c r="B765" t="str">
        <f>RAW_DATA!B765</f>
        <v>Heidi</v>
      </c>
      <c r="C765" t="str">
        <f>RAW_DATA!C765</f>
        <v>Johnson</v>
      </c>
      <c r="D765">
        <f>RAW_DATA!D765</f>
        <v>40</v>
      </c>
      <c r="E765" t="str">
        <f>RAW_DATA!E765</f>
        <v>Cloud Tech-Nevada</v>
      </c>
      <c r="F765" t="str">
        <f t="shared" si="33"/>
        <v>Cloud Tech</v>
      </c>
      <c r="G765" t="str">
        <f t="shared" si="34"/>
        <v>Nevada</v>
      </c>
      <c r="P765">
        <f t="shared" si="35"/>
        <v>62584</v>
      </c>
      <c r="Q765">
        <f>IF(PQ_Cleansing!L765="Excellent", P765 * 0.1, IF(PQ_Cleansing!L765="Good", P765 * 0.05, IF(PQ_Cleansing!L765="Average", P765 * 0.02, IF(PQ_Cleansing!L765="Poor", 0, 0))))</f>
        <v>3129.2000000000003</v>
      </c>
      <c r="R765">
        <f>IFERROR(VALUE(SUBSTITUTE(SUBSTITUTE(PQ_Cleansing!I765, "$", ""), ",", "")), "")</f>
        <v>62584</v>
      </c>
    </row>
    <row r="766" spans="1:18" x14ac:dyDescent="0.25">
      <c r="A766" t="str">
        <f>PROPER(TRIM(CLEAN(RAW_DATA!A766)))</f>
        <v>Emp1764</v>
      </c>
      <c r="B766" t="str">
        <f>RAW_DATA!B766</f>
        <v>Charlie</v>
      </c>
      <c r="C766" t="str">
        <f>RAW_DATA!C766</f>
        <v>Jones</v>
      </c>
      <c r="D766">
        <f>RAW_DATA!D766</f>
        <v>40</v>
      </c>
      <c r="E766" t="str">
        <f>RAW_DATA!E766</f>
        <v>Finance-California</v>
      </c>
      <c r="F766" t="str">
        <f t="shared" si="33"/>
        <v>Finance</v>
      </c>
      <c r="G766" t="str">
        <f t="shared" si="34"/>
        <v>California</v>
      </c>
      <c r="P766">
        <f t="shared" si="35"/>
        <v>62521.5</v>
      </c>
      <c r="Q766">
        <f>IF(PQ_Cleansing!L766="Excellent", P766 * 0.1, IF(PQ_Cleansing!L766="Good", P766 * 0.05, IF(PQ_Cleansing!L766="Average", P766 * 0.02, IF(PQ_Cleansing!L766="Poor", 0, 0))))</f>
        <v>1250.43</v>
      </c>
      <c r="R766">
        <f>IFERROR(VALUE(SUBSTITUTE(SUBSTITUTE(PQ_Cleansing!I766, "$", ""), ",", "")), "")</f>
        <v>62521.5</v>
      </c>
    </row>
    <row r="767" spans="1:18" x14ac:dyDescent="0.25">
      <c r="A767" t="str">
        <f>PROPER(TRIM(CLEAN(RAW_DATA!A767)))</f>
        <v>Emp1765</v>
      </c>
      <c r="B767" t="str">
        <f>RAW_DATA!B767</f>
        <v>David</v>
      </c>
      <c r="C767" t="str">
        <f>RAW_DATA!C767</f>
        <v>Williams</v>
      </c>
      <c r="D767">
        <f>RAW_DATA!D767</f>
        <v>40</v>
      </c>
      <c r="E767" t="str">
        <f>RAW_DATA!E767</f>
        <v>Cloud Tech-California</v>
      </c>
      <c r="F767" t="str">
        <f t="shared" si="33"/>
        <v>Cloud Tech</v>
      </c>
      <c r="G767" t="str">
        <f t="shared" si="34"/>
        <v>California</v>
      </c>
      <c r="P767">
        <f t="shared" si="35"/>
        <v>95400.35</v>
      </c>
      <c r="Q767">
        <f>IF(PQ_Cleansing!L767="Excellent", P767 * 0.1, IF(PQ_Cleansing!L767="Good", P767 * 0.05, IF(PQ_Cleansing!L767="Average", P767 * 0.02, IF(PQ_Cleansing!L767="Poor", 0, 0))))</f>
        <v>0</v>
      </c>
      <c r="R767">
        <f>IFERROR(VALUE(SUBSTITUTE(SUBSTITUTE(PQ_Cleansing!I767, "$", ""), ",", "")), "")</f>
        <v>95400.35</v>
      </c>
    </row>
    <row r="768" spans="1:18" x14ac:dyDescent="0.25">
      <c r="A768" t="str">
        <f>PROPER(TRIM(CLEAN(RAW_DATA!A768)))</f>
        <v>Emp1766</v>
      </c>
      <c r="B768" t="str">
        <f>RAW_DATA!B768</f>
        <v>Charlie</v>
      </c>
      <c r="C768" t="str">
        <f>RAW_DATA!C768</f>
        <v>Jones</v>
      </c>
      <c r="D768">
        <f>RAW_DATA!D768</f>
        <v>25</v>
      </c>
      <c r="E768" t="str">
        <f>RAW_DATA!E768</f>
        <v>Cloud Tech-Texas</v>
      </c>
      <c r="F768" t="str">
        <f t="shared" si="33"/>
        <v>Cloud Tech</v>
      </c>
      <c r="G768" t="str">
        <f t="shared" si="34"/>
        <v>Texas</v>
      </c>
      <c r="P768">
        <f t="shared" si="35"/>
        <v>94385.07</v>
      </c>
      <c r="Q768">
        <f>IF(PQ_Cleansing!L768="Excellent", P768 * 0.1, IF(PQ_Cleansing!L768="Good", P768 * 0.05, IF(PQ_Cleansing!L768="Average", P768 * 0.02, IF(PQ_Cleansing!L768="Poor", 0, 0))))</f>
        <v>0</v>
      </c>
      <c r="R768">
        <f>IFERROR(VALUE(SUBSTITUTE(SUBSTITUTE(PQ_Cleansing!I768, "$", ""), ",", "")), "")</f>
        <v>94385.07</v>
      </c>
    </row>
    <row r="769" spans="1:18" x14ac:dyDescent="0.25">
      <c r="A769" t="str">
        <f>PROPER(TRIM(CLEAN(RAW_DATA!A769)))</f>
        <v>Emp1767</v>
      </c>
      <c r="B769" t="str">
        <f>RAW_DATA!B769</f>
        <v>Grace</v>
      </c>
      <c r="C769" t="str">
        <f>RAW_DATA!C769</f>
        <v>Garcia</v>
      </c>
      <c r="D769">
        <f>RAW_DATA!D769</f>
        <v>0</v>
      </c>
      <c r="E769" t="str">
        <f>RAW_DATA!E769</f>
        <v>Sales-New York</v>
      </c>
      <c r="F769" t="str">
        <f t="shared" si="33"/>
        <v>Sales</v>
      </c>
      <c r="G769" t="str">
        <f t="shared" si="34"/>
        <v>New York</v>
      </c>
      <c r="P769">
        <f t="shared" si="35"/>
        <v>76642.490000000005</v>
      </c>
      <c r="Q769">
        <f>IF(PQ_Cleansing!L769="Excellent", P769 * 0.1, IF(PQ_Cleansing!L769="Good", P769 * 0.05, IF(PQ_Cleansing!L769="Average", P769 * 0.02, IF(PQ_Cleansing!L769="Poor", 0, 0))))</f>
        <v>0</v>
      </c>
      <c r="R769">
        <f>IFERROR(VALUE(SUBSTITUTE(SUBSTITUTE(PQ_Cleansing!I769, "$", ""), ",", "")), "")</f>
        <v>76642.490000000005</v>
      </c>
    </row>
    <row r="770" spans="1:18" x14ac:dyDescent="0.25">
      <c r="A770" t="str">
        <f>PROPER(TRIM(CLEAN(RAW_DATA!A770)))</f>
        <v>Emp1768</v>
      </c>
      <c r="B770" t="str">
        <f>RAW_DATA!B770</f>
        <v>Frank</v>
      </c>
      <c r="C770" t="str">
        <f>RAW_DATA!C770</f>
        <v>Brown</v>
      </c>
      <c r="D770">
        <f>RAW_DATA!D770</f>
        <v>0</v>
      </c>
      <c r="E770" t="str">
        <f>RAW_DATA!E770</f>
        <v>DevOps-New York</v>
      </c>
      <c r="F770" t="str">
        <f t="shared" si="33"/>
        <v>DevOps</v>
      </c>
      <c r="G770" t="str">
        <f t="shared" si="34"/>
        <v>New York</v>
      </c>
      <c r="P770">
        <f t="shared" si="35"/>
        <v>60122.52</v>
      </c>
      <c r="Q770">
        <f>IF(PQ_Cleansing!L770="Excellent", P770 * 0.1, IF(PQ_Cleansing!L770="Good", P770 * 0.05, IF(PQ_Cleansing!L770="Average", P770 * 0.02, IF(PQ_Cleansing!L770="Poor", 0, 0))))</f>
        <v>6012.2520000000004</v>
      </c>
      <c r="R770">
        <f>IFERROR(VALUE(SUBSTITUTE(SUBSTITUTE(PQ_Cleansing!I770, "$", ""), ",", "")), "")</f>
        <v>60122.52</v>
      </c>
    </row>
    <row r="771" spans="1:18" x14ac:dyDescent="0.25">
      <c r="A771" t="str">
        <f>PROPER(TRIM(CLEAN(RAW_DATA!A771)))</f>
        <v>Emp1769</v>
      </c>
      <c r="B771" t="str">
        <f>RAW_DATA!B771</f>
        <v>Alice</v>
      </c>
      <c r="C771" t="str">
        <f>RAW_DATA!C771</f>
        <v>Smith</v>
      </c>
      <c r="D771">
        <f>RAW_DATA!D771</f>
        <v>40</v>
      </c>
      <c r="E771" t="str">
        <f>RAW_DATA!E771</f>
        <v>HR-California</v>
      </c>
      <c r="F771" t="str">
        <f t="shared" ref="F771:F834" si="36">LEFT(E771, FIND("-", E771) - 1)</f>
        <v>HR</v>
      </c>
      <c r="G771" t="str">
        <f t="shared" ref="G771:G834" si="37">RIGHT(E771, LEN(E771) - FIND("-",E771))</f>
        <v>California</v>
      </c>
      <c r="P771">
        <f t="shared" ref="P771:P834" si="38">IF(ISNUMBER(R771), R771, AVERAGEIF($R$2:$R$1000, "&gt;0"))</f>
        <v>117267.63</v>
      </c>
      <c r="Q771">
        <f>IF(PQ_Cleansing!L771="Excellent", P771 * 0.1, IF(PQ_Cleansing!L771="Good", P771 * 0.05, IF(PQ_Cleansing!L771="Average", P771 * 0.02, IF(PQ_Cleansing!L771="Poor", 0, 0))))</f>
        <v>5863.3815000000004</v>
      </c>
      <c r="R771">
        <f>IFERROR(VALUE(SUBSTITUTE(SUBSTITUTE(PQ_Cleansing!I771, "$", ""), ",", "")), "")</f>
        <v>117267.63</v>
      </c>
    </row>
    <row r="772" spans="1:18" x14ac:dyDescent="0.25">
      <c r="A772" t="str">
        <f>PROPER(TRIM(CLEAN(RAW_DATA!A772)))</f>
        <v>Emp1770</v>
      </c>
      <c r="B772" t="str">
        <f>RAW_DATA!B772</f>
        <v>Charlie</v>
      </c>
      <c r="C772" t="str">
        <f>RAW_DATA!C772</f>
        <v>Jones</v>
      </c>
      <c r="D772">
        <f>RAW_DATA!D772</f>
        <v>25</v>
      </c>
      <c r="E772" t="str">
        <f>RAW_DATA!E772</f>
        <v>Admin-New York</v>
      </c>
      <c r="F772" t="str">
        <f t="shared" si="36"/>
        <v>Admin</v>
      </c>
      <c r="G772" t="str">
        <f t="shared" si="37"/>
        <v>New York</v>
      </c>
      <c r="P772">
        <f t="shared" si="38"/>
        <v>85268.279969293711</v>
      </c>
      <c r="Q772">
        <f>IF(PQ_Cleansing!L772="Excellent", P772 * 0.1, IF(PQ_Cleansing!L772="Good", P772 * 0.05, IF(PQ_Cleansing!L772="Average", P772 * 0.02, IF(PQ_Cleansing!L772="Poor", 0, 0))))</f>
        <v>8526.8279969293708</v>
      </c>
      <c r="R772" t="str">
        <f>IFERROR(VALUE(SUBSTITUTE(SUBSTITUTE(PQ_Cleansing!I772, "$", ""), ",", "")), "")</f>
        <v/>
      </c>
    </row>
    <row r="773" spans="1:18" x14ac:dyDescent="0.25">
      <c r="A773" t="str">
        <f>PROPER(TRIM(CLEAN(RAW_DATA!A773)))</f>
        <v>Emp1771</v>
      </c>
      <c r="B773" t="str">
        <f>RAW_DATA!B773</f>
        <v>Heidi</v>
      </c>
      <c r="C773" t="str">
        <f>RAW_DATA!C773</f>
        <v>Jones</v>
      </c>
      <c r="D773">
        <f>RAW_DATA!D773</f>
        <v>40</v>
      </c>
      <c r="E773" t="str">
        <f>RAW_DATA!E773</f>
        <v>Sales-Texas</v>
      </c>
      <c r="F773" t="str">
        <f t="shared" si="36"/>
        <v>Sales</v>
      </c>
      <c r="G773" t="str">
        <f t="shared" si="37"/>
        <v>Texas</v>
      </c>
      <c r="P773">
        <f t="shared" si="38"/>
        <v>84542.68</v>
      </c>
      <c r="Q773">
        <f>IF(PQ_Cleansing!L773="Excellent", P773 * 0.1, IF(PQ_Cleansing!L773="Good", P773 * 0.05, IF(PQ_Cleansing!L773="Average", P773 * 0.02, IF(PQ_Cleansing!L773="Poor", 0, 0))))</f>
        <v>4227.134</v>
      </c>
      <c r="R773">
        <f>IFERROR(VALUE(SUBSTITUTE(SUBSTITUTE(PQ_Cleansing!I773, "$", ""), ",", "")), "")</f>
        <v>84542.68</v>
      </c>
    </row>
    <row r="774" spans="1:18" x14ac:dyDescent="0.25">
      <c r="A774" t="str">
        <f>PROPER(TRIM(CLEAN(RAW_DATA!A774)))</f>
        <v>Emp1772</v>
      </c>
      <c r="B774" t="str">
        <f>RAW_DATA!B774</f>
        <v>Heidi</v>
      </c>
      <c r="C774" t="str">
        <f>RAW_DATA!C774</f>
        <v>Smith</v>
      </c>
      <c r="D774">
        <f>RAW_DATA!D774</f>
        <v>40</v>
      </c>
      <c r="E774" t="str">
        <f>RAW_DATA!E774</f>
        <v>Finance-Florida</v>
      </c>
      <c r="F774" t="str">
        <f t="shared" si="36"/>
        <v>Finance</v>
      </c>
      <c r="G774" t="str">
        <f t="shared" si="37"/>
        <v>Florida</v>
      </c>
      <c r="P774">
        <f t="shared" si="38"/>
        <v>92007.15</v>
      </c>
      <c r="Q774">
        <f>IF(PQ_Cleansing!L774="Excellent", P774 * 0.1, IF(PQ_Cleansing!L774="Good", P774 * 0.05, IF(PQ_Cleansing!L774="Average", P774 * 0.02, IF(PQ_Cleansing!L774="Poor", 0, 0))))</f>
        <v>1840.143</v>
      </c>
      <c r="R774">
        <f>IFERROR(VALUE(SUBSTITUTE(SUBSTITUTE(PQ_Cleansing!I774, "$", ""), ",", "")), "")</f>
        <v>92007.15</v>
      </c>
    </row>
    <row r="775" spans="1:18" x14ac:dyDescent="0.25">
      <c r="A775" t="str">
        <f>PROPER(TRIM(CLEAN(RAW_DATA!A775)))</f>
        <v>Emp1773</v>
      </c>
      <c r="B775" t="str">
        <f>RAW_DATA!B775</f>
        <v>Eva</v>
      </c>
      <c r="C775" t="str">
        <f>RAW_DATA!C775</f>
        <v>Brown</v>
      </c>
      <c r="D775">
        <f>RAW_DATA!D775</f>
        <v>0</v>
      </c>
      <c r="E775" t="str">
        <f>RAW_DATA!E775</f>
        <v>DevOps-Illinois</v>
      </c>
      <c r="F775" t="str">
        <f t="shared" si="36"/>
        <v>DevOps</v>
      </c>
      <c r="G775" t="str">
        <f t="shared" si="37"/>
        <v>Illinois</v>
      </c>
      <c r="P775">
        <f t="shared" si="38"/>
        <v>62938.8</v>
      </c>
      <c r="Q775">
        <f>IF(PQ_Cleansing!L775="Excellent", P775 * 0.1, IF(PQ_Cleansing!L775="Good", P775 * 0.05, IF(PQ_Cleansing!L775="Average", P775 * 0.02, IF(PQ_Cleansing!L775="Poor", 0, 0))))</f>
        <v>1258.7760000000001</v>
      </c>
      <c r="R775">
        <f>IFERROR(VALUE(SUBSTITUTE(SUBSTITUTE(PQ_Cleansing!I775, "$", ""), ",", "")), "")</f>
        <v>62938.8</v>
      </c>
    </row>
    <row r="776" spans="1:18" x14ac:dyDescent="0.25">
      <c r="A776" t="str">
        <f>PROPER(TRIM(CLEAN(RAW_DATA!A776)))</f>
        <v>Emp1774</v>
      </c>
      <c r="B776" t="str">
        <f>RAW_DATA!B776</f>
        <v>Frank</v>
      </c>
      <c r="C776" t="str">
        <f>RAW_DATA!C776</f>
        <v>Johnson</v>
      </c>
      <c r="D776">
        <f>RAW_DATA!D776</f>
        <v>25</v>
      </c>
      <c r="E776" t="str">
        <f>RAW_DATA!E776</f>
        <v>Admin-Texas</v>
      </c>
      <c r="F776" t="str">
        <f t="shared" si="36"/>
        <v>Admin</v>
      </c>
      <c r="G776" t="str">
        <f t="shared" si="37"/>
        <v>Texas</v>
      </c>
      <c r="P776">
        <f t="shared" si="38"/>
        <v>108661.01</v>
      </c>
      <c r="Q776">
        <f>IF(PQ_Cleansing!L776="Excellent", P776 * 0.1, IF(PQ_Cleansing!L776="Good", P776 * 0.05, IF(PQ_Cleansing!L776="Average", P776 * 0.02, IF(PQ_Cleansing!L776="Poor", 0, 0))))</f>
        <v>0</v>
      </c>
      <c r="R776">
        <f>IFERROR(VALUE(SUBSTITUTE(SUBSTITUTE(PQ_Cleansing!I776, "$", ""), ",", "")), "")</f>
        <v>108661.01</v>
      </c>
    </row>
    <row r="777" spans="1:18" x14ac:dyDescent="0.25">
      <c r="A777" t="str">
        <f>PROPER(TRIM(CLEAN(RAW_DATA!A777)))</f>
        <v>Emp1775</v>
      </c>
      <c r="B777" t="str">
        <f>RAW_DATA!B777</f>
        <v>Bob</v>
      </c>
      <c r="C777" t="str">
        <f>RAW_DATA!C777</f>
        <v>Jones</v>
      </c>
      <c r="D777">
        <f>RAW_DATA!D777</f>
        <v>25</v>
      </c>
      <c r="E777" t="str">
        <f>RAW_DATA!E777</f>
        <v>Cloud Tech-Florida</v>
      </c>
      <c r="F777" t="str">
        <f t="shared" si="36"/>
        <v>Cloud Tech</v>
      </c>
      <c r="G777" t="str">
        <f t="shared" si="37"/>
        <v>Florida</v>
      </c>
      <c r="P777">
        <f t="shared" si="38"/>
        <v>97046.33</v>
      </c>
      <c r="Q777">
        <f>IF(PQ_Cleansing!L777="Excellent", P777 * 0.1, IF(PQ_Cleansing!L777="Good", P777 * 0.05, IF(PQ_Cleansing!L777="Average", P777 * 0.02, IF(PQ_Cleansing!L777="Poor", 0, 0))))</f>
        <v>4852.3164999999999</v>
      </c>
      <c r="R777">
        <f>IFERROR(VALUE(SUBSTITUTE(SUBSTITUTE(PQ_Cleansing!I777, "$", ""), ",", "")), "")</f>
        <v>97046.33</v>
      </c>
    </row>
    <row r="778" spans="1:18" x14ac:dyDescent="0.25">
      <c r="A778" t="str">
        <f>PROPER(TRIM(CLEAN(RAW_DATA!A778)))</f>
        <v>Emp1776</v>
      </c>
      <c r="B778" t="str">
        <f>RAW_DATA!B778</f>
        <v>Charlie</v>
      </c>
      <c r="C778" t="str">
        <f>RAW_DATA!C778</f>
        <v>Smith</v>
      </c>
      <c r="D778">
        <f>RAW_DATA!D778</f>
        <v>40</v>
      </c>
      <c r="E778" t="str">
        <f>RAW_DATA!E778</f>
        <v>DevOps-Illinois</v>
      </c>
      <c r="F778" t="str">
        <f t="shared" si="36"/>
        <v>DevOps</v>
      </c>
      <c r="G778" t="str">
        <f t="shared" si="37"/>
        <v>Illinois</v>
      </c>
      <c r="P778">
        <f t="shared" si="38"/>
        <v>56518.84</v>
      </c>
      <c r="Q778">
        <f>IF(PQ_Cleansing!L778="Excellent", P778 * 0.1, IF(PQ_Cleansing!L778="Good", P778 * 0.05, IF(PQ_Cleansing!L778="Average", P778 * 0.02, IF(PQ_Cleansing!L778="Poor", 0, 0))))</f>
        <v>1130.3768</v>
      </c>
      <c r="R778">
        <f>IFERROR(VALUE(SUBSTITUTE(SUBSTITUTE(PQ_Cleansing!I778, "$", ""), ",", "")), "")</f>
        <v>56518.84</v>
      </c>
    </row>
    <row r="779" spans="1:18" x14ac:dyDescent="0.25">
      <c r="A779" t="str">
        <f>PROPER(TRIM(CLEAN(RAW_DATA!A779)))</f>
        <v>Emp1777</v>
      </c>
      <c r="B779" t="str">
        <f>RAW_DATA!B779</f>
        <v>Frank</v>
      </c>
      <c r="C779" t="str">
        <f>RAW_DATA!C779</f>
        <v>Garcia</v>
      </c>
      <c r="D779">
        <f>RAW_DATA!D779</f>
        <v>40</v>
      </c>
      <c r="E779" t="str">
        <f>RAW_DATA!E779</f>
        <v>Cloud Tech-Florida</v>
      </c>
      <c r="F779" t="str">
        <f t="shared" si="36"/>
        <v>Cloud Tech</v>
      </c>
      <c r="G779" t="str">
        <f t="shared" si="37"/>
        <v>Florida</v>
      </c>
      <c r="P779">
        <f t="shared" si="38"/>
        <v>70498.289999999994</v>
      </c>
      <c r="Q779">
        <f>IF(PQ_Cleansing!L779="Excellent", P779 * 0.1, IF(PQ_Cleansing!L779="Good", P779 * 0.05, IF(PQ_Cleansing!L779="Average", P779 * 0.02, IF(PQ_Cleansing!L779="Poor", 0, 0))))</f>
        <v>3524.9144999999999</v>
      </c>
      <c r="R779">
        <f>IFERROR(VALUE(SUBSTITUTE(SUBSTITUTE(PQ_Cleansing!I779, "$", ""), ",", "")), "")</f>
        <v>70498.289999999994</v>
      </c>
    </row>
    <row r="780" spans="1:18" x14ac:dyDescent="0.25">
      <c r="A780" t="str">
        <f>PROPER(TRIM(CLEAN(RAW_DATA!A780)))</f>
        <v>Emp1778</v>
      </c>
      <c r="B780" t="str">
        <f>RAW_DATA!B780</f>
        <v>Eva</v>
      </c>
      <c r="C780" t="str">
        <f>RAW_DATA!C780</f>
        <v>Garcia</v>
      </c>
      <c r="D780">
        <f>RAW_DATA!D780</f>
        <v>35</v>
      </c>
      <c r="E780" t="str">
        <f>RAW_DATA!E780</f>
        <v>Sales-Florida</v>
      </c>
      <c r="F780" t="str">
        <f t="shared" si="36"/>
        <v>Sales</v>
      </c>
      <c r="G780" t="str">
        <f t="shared" si="37"/>
        <v>Florida</v>
      </c>
      <c r="P780">
        <f t="shared" si="38"/>
        <v>98708.06</v>
      </c>
      <c r="Q780">
        <f>IF(PQ_Cleansing!L780="Excellent", P780 * 0.1, IF(PQ_Cleansing!L780="Good", P780 * 0.05, IF(PQ_Cleansing!L780="Average", P780 * 0.02, IF(PQ_Cleansing!L780="Poor", 0, 0))))</f>
        <v>1974.1612</v>
      </c>
      <c r="R780">
        <f>IFERROR(VALUE(SUBSTITUTE(SUBSTITUTE(PQ_Cleansing!I780, "$", ""), ",", "")), "")</f>
        <v>98708.06</v>
      </c>
    </row>
    <row r="781" spans="1:18" x14ac:dyDescent="0.25">
      <c r="A781" t="str">
        <f>PROPER(TRIM(CLEAN(RAW_DATA!A781)))</f>
        <v>Emp1779</v>
      </c>
      <c r="B781" t="str">
        <f>RAW_DATA!B781</f>
        <v>Bob</v>
      </c>
      <c r="C781" t="str">
        <f>RAW_DATA!C781</f>
        <v>Williams</v>
      </c>
      <c r="D781">
        <f>RAW_DATA!D781</f>
        <v>0</v>
      </c>
      <c r="E781" t="str">
        <f>RAW_DATA!E781</f>
        <v>DevOps-Nevada</v>
      </c>
      <c r="F781" t="str">
        <f t="shared" si="36"/>
        <v>DevOps</v>
      </c>
      <c r="G781" t="str">
        <f t="shared" si="37"/>
        <v>Nevada</v>
      </c>
      <c r="P781">
        <f t="shared" si="38"/>
        <v>83856.41</v>
      </c>
      <c r="Q781">
        <f>IF(PQ_Cleansing!L781="Excellent", P781 * 0.1, IF(PQ_Cleansing!L781="Good", P781 * 0.05, IF(PQ_Cleansing!L781="Average", P781 * 0.02, IF(PQ_Cleansing!L781="Poor", 0, 0))))</f>
        <v>8385.6410000000014</v>
      </c>
      <c r="R781">
        <f>IFERROR(VALUE(SUBSTITUTE(SUBSTITUTE(PQ_Cleansing!I781, "$", ""), ",", "")), "")</f>
        <v>83856.41</v>
      </c>
    </row>
    <row r="782" spans="1:18" x14ac:dyDescent="0.25">
      <c r="A782" t="str">
        <f>PROPER(TRIM(CLEAN(RAW_DATA!A782)))</f>
        <v>Emp1780</v>
      </c>
      <c r="B782" t="str">
        <f>RAW_DATA!B782</f>
        <v>Eva</v>
      </c>
      <c r="C782" t="str">
        <f>RAW_DATA!C782</f>
        <v>Smith</v>
      </c>
      <c r="D782">
        <f>RAW_DATA!D782</f>
        <v>40</v>
      </c>
      <c r="E782" t="str">
        <f>RAW_DATA!E782</f>
        <v>Sales-California</v>
      </c>
      <c r="F782" t="str">
        <f t="shared" si="36"/>
        <v>Sales</v>
      </c>
      <c r="G782" t="str">
        <f t="shared" si="37"/>
        <v>California</v>
      </c>
      <c r="P782">
        <f t="shared" si="38"/>
        <v>90259.99</v>
      </c>
      <c r="Q782">
        <f>IF(PQ_Cleansing!L782="Excellent", P782 * 0.1, IF(PQ_Cleansing!L782="Good", P782 * 0.05, IF(PQ_Cleansing!L782="Average", P782 * 0.02, IF(PQ_Cleansing!L782="Poor", 0, 0))))</f>
        <v>1805.1998000000001</v>
      </c>
      <c r="R782">
        <f>IFERROR(VALUE(SUBSTITUTE(SUBSTITUTE(PQ_Cleansing!I782, "$", ""), ",", "")), "")</f>
        <v>90259.99</v>
      </c>
    </row>
    <row r="783" spans="1:18" x14ac:dyDescent="0.25">
      <c r="A783" t="str">
        <f>PROPER(TRIM(CLEAN(RAW_DATA!A783)))</f>
        <v>Emp1781</v>
      </c>
      <c r="B783" t="str">
        <f>RAW_DATA!B783</f>
        <v>Charlie</v>
      </c>
      <c r="C783" t="str">
        <f>RAW_DATA!C783</f>
        <v>Williams</v>
      </c>
      <c r="D783">
        <f>RAW_DATA!D783</f>
        <v>0</v>
      </c>
      <c r="E783" t="str">
        <f>RAW_DATA!E783</f>
        <v>Sales-Florida</v>
      </c>
      <c r="F783" t="str">
        <f t="shared" si="36"/>
        <v>Sales</v>
      </c>
      <c r="G783" t="str">
        <f t="shared" si="37"/>
        <v>Florida</v>
      </c>
      <c r="P783">
        <f t="shared" si="38"/>
        <v>94230.03</v>
      </c>
      <c r="Q783">
        <f>IF(PQ_Cleansing!L783="Excellent", P783 * 0.1, IF(PQ_Cleansing!L783="Good", P783 * 0.05, IF(PQ_Cleansing!L783="Average", P783 * 0.02, IF(PQ_Cleansing!L783="Poor", 0, 0))))</f>
        <v>9423.0030000000006</v>
      </c>
      <c r="R783">
        <f>IFERROR(VALUE(SUBSTITUTE(SUBSTITUTE(PQ_Cleansing!I783, "$", ""), ",", "")), "")</f>
        <v>94230.03</v>
      </c>
    </row>
    <row r="784" spans="1:18" x14ac:dyDescent="0.25">
      <c r="A784" t="str">
        <f>PROPER(TRIM(CLEAN(RAW_DATA!A784)))</f>
        <v>Emp1782</v>
      </c>
      <c r="B784" t="str">
        <f>RAW_DATA!B784</f>
        <v>Charlie</v>
      </c>
      <c r="C784" t="str">
        <f>RAW_DATA!C784</f>
        <v>Garcia</v>
      </c>
      <c r="D784">
        <f>RAW_DATA!D784</f>
        <v>0</v>
      </c>
      <c r="E784" t="str">
        <f>RAW_DATA!E784</f>
        <v>Admin-Nevada</v>
      </c>
      <c r="F784" t="str">
        <f t="shared" si="36"/>
        <v>Admin</v>
      </c>
      <c r="G784" t="str">
        <f t="shared" si="37"/>
        <v>Nevada</v>
      </c>
      <c r="P784">
        <f t="shared" si="38"/>
        <v>50110.66</v>
      </c>
      <c r="Q784">
        <f>IF(PQ_Cleansing!L784="Excellent", P784 * 0.1, IF(PQ_Cleansing!L784="Good", P784 * 0.05, IF(PQ_Cleansing!L784="Average", P784 * 0.02, IF(PQ_Cleansing!L784="Poor", 0, 0))))</f>
        <v>1002.2132000000001</v>
      </c>
      <c r="R784">
        <f>IFERROR(VALUE(SUBSTITUTE(SUBSTITUTE(PQ_Cleansing!I784, "$", ""), ",", "")), "")</f>
        <v>50110.66</v>
      </c>
    </row>
    <row r="785" spans="1:18" x14ac:dyDescent="0.25">
      <c r="A785" t="str">
        <f>PROPER(TRIM(CLEAN(RAW_DATA!A785)))</f>
        <v>Emp1783</v>
      </c>
      <c r="B785" t="str">
        <f>RAW_DATA!B785</f>
        <v>Bob</v>
      </c>
      <c r="C785" t="str">
        <f>RAW_DATA!C785</f>
        <v>Brown</v>
      </c>
      <c r="D785">
        <f>RAW_DATA!D785</f>
        <v>30</v>
      </c>
      <c r="E785" t="str">
        <f>RAW_DATA!E785</f>
        <v>Sales-Florida</v>
      </c>
      <c r="F785" t="str">
        <f t="shared" si="36"/>
        <v>Sales</v>
      </c>
      <c r="G785" t="str">
        <f t="shared" si="37"/>
        <v>Florida</v>
      </c>
      <c r="P785">
        <f t="shared" si="38"/>
        <v>73365.460000000006</v>
      </c>
      <c r="Q785">
        <f>IF(PQ_Cleansing!L785="Excellent", P785 * 0.1, IF(PQ_Cleansing!L785="Good", P785 * 0.05, IF(PQ_Cleansing!L785="Average", P785 * 0.02, IF(PQ_Cleansing!L785="Poor", 0, 0))))</f>
        <v>0</v>
      </c>
      <c r="R785">
        <f>IFERROR(VALUE(SUBSTITUTE(SUBSTITUTE(PQ_Cleansing!I785, "$", ""), ",", "")), "")</f>
        <v>73365.460000000006</v>
      </c>
    </row>
    <row r="786" spans="1:18" x14ac:dyDescent="0.25">
      <c r="A786" t="str">
        <f>PROPER(TRIM(CLEAN(RAW_DATA!A786)))</f>
        <v>Emp1784</v>
      </c>
      <c r="B786" t="str">
        <f>RAW_DATA!B786</f>
        <v>David</v>
      </c>
      <c r="C786" t="str">
        <f>RAW_DATA!C786</f>
        <v>Johnson</v>
      </c>
      <c r="D786">
        <f>RAW_DATA!D786</f>
        <v>25</v>
      </c>
      <c r="E786" t="str">
        <f>RAW_DATA!E786</f>
        <v>DevOps-New York</v>
      </c>
      <c r="F786" t="str">
        <f t="shared" si="36"/>
        <v>DevOps</v>
      </c>
      <c r="G786" t="str">
        <f t="shared" si="37"/>
        <v>New York</v>
      </c>
      <c r="P786">
        <f t="shared" si="38"/>
        <v>67809.23</v>
      </c>
      <c r="Q786">
        <f>IF(PQ_Cleansing!L786="Excellent", P786 * 0.1, IF(PQ_Cleansing!L786="Good", P786 * 0.05, IF(PQ_Cleansing!L786="Average", P786 * 0.02, IF(PQ_Cleansing!L786="Poor", 0, 0))))</f>
        <v>6780.9229999999998</v>
      </c>
      <c r="R786">
        <f>IFERROR(VALUE(SUBSTITUTE(SUBSTITUTE(PQ_Cleansing!I786, "$", ""), ",", "")), "")</f>
        <v>67809.23</v>
      </c>
    </row>
    <row r="787" spans="1:18" x14ac:dyDescent="0.25">
      <c r="A787" t="str">
        <f>PROPER(TRIM(CLEAN(RAW_DATA!A787)))</f>
        <v>Emp1785</v>
      </c>
      <c r="B787" t="str">
        <f>RAW_DATA!B787</f>
        <v>Eva</v>
      </c>
      <c r="C787" t="str">
        <f>RAW_DATA!C787</f>
        <v>Smith</v>
      </c>
      <c r="D787">
        <f>RAW_DATA!D787</f>
        <v>0</v>
      </c>
      <c r="E787" t="str">
        <f>RAW_DATA!E787</f>
        <v>Sales-California</v>
      </c>
      <c r="F787" t="str">
        <f t="shared" si="36"/>
        <v>Sales</v>
      </c>
      <c r="G787" t="str">
        <f t="shared" si="37"/>
        <v>California</v>
      </c>
      <c r="P787">
        <f t="shared" si="38"/>
        <v>98008.51</v>
      </c>
      <c r="Q787">
        <f>IF(PQ_Cleansing!L787="Excellent", P787 * 0.1, IF(PQ_Cleansing!L787="Good", P787 * 0.05, IF(PQ_Cleansing!L787="Average", P787 * 0.02, IF(PQ_Cleansing!L787="Poor", 0, 0))))</f>
        <v>1960.1702</v>
      </c>
      <c r="R787">
        <f>IFERROR(VALUE(SUBSTITUTE(SUBSTITUTE(PQ_Cleansing!I787, "$", ""), ",", "")), "")</f>
        <v>98008.51</v>
      </c>
    </row>
    <row r="788" spans="1:18" x14ac:dyDescent="0.25">
      <c r="A788" t="str">
        <f>PROPER(TRIM(CLEAN(RAW_DATA!A788)))</f>
        <v>Emp1786</v>
      </c>
      <c r="B788" t="str">
        <f>RAW_DATA!B788</f>
        <v>Alice</v>
      </c>
      <c r="C788" t="str">
        <f>RAW_DATA!C788</f>
        <v>Davis</v>
      </c>
      <c r="D788">
        <f>RAW_DATA!D788</f>
        <v>30</v>
      </c>
      <c r="E788" t="str">
        <f>RAW_DATA!E788</f>
        <v>Admin-California</v>
      </c>
      <c r="F788" t="str">
        <f t="shared" si="36"/>
        <v>Admin</v>
      </c>
      <c r="G788" t="str">
        <f t="shared" si="37"/>
        <v>California</v>
      </c>
      <c r="P788">
        <f t="shared" si="38"/>
        <v>83537.58</v>
      </c>
      <c r="Q788">
        <f>IF(PQ_Cleansing!L788="Excellent", P788 * 0.1, IF(PQ_Cleansing!L788="Good", P788 * 0.05, IF(PQ_Cleansing!L788="Average", P788 * 0.02, IF(PQ_Cleansing!L788="Poor", 0, 0))))</f>
        <v>0</v>
      </c>
      <c r="R788">
        <f>IFERROR(VALUE(SUBSTITUTE(SUBSTITUTE(PQ_Cleansing!I788, "$", ""), ",", "")), "")</f>
        <v>83537.58</v>
      </c>
    </row>
    <row r="789" spans="1:18" x14ac:dyDescent="0.25">
      <c r="A789" t="str">
        <f>PROPER(TRIM(CLEAN(RAW_DATA!A789)))</f>
        <v>Emp1787</v>
      </c>
      <c r="B789" t="str">
        <f>RAW_DATA!B789</f>
        <v>Alice</v>
      </c>
      <c r="C789" t="str">
        <f>RAW_DATA!C789</f>
        <v>Garcia</v>
      </c>
      <c r="D789">
        <f>RAW_DATA!D789</f>
        <v>30</v>
      </c>
      <c r="E789" t="str">
        <f>RAW_DATA!E789</f>
        <v>Finance-New York</v>
      </c>
      <c r="F789" t="str">
        <f t="shared" si="36"/>
        <v>Finance</v>
      </c>
      <c r="G789" t="str">
        <f t="shared" si="37"/>
        <v>New York</v>
      </c>
      <c r="P789">
        <f t="shared" si="38"/>
        <v>112444.08</v>
      </c>
      <c r="Q789">
        <f>IF(PQ_Cleansing!L789="Excellent", P789 * 0.1, IF(PQ_Cleansing!L789="Good", P789 * 0.05, IF(PQ_Cleansing!L789="Average", P789 * 0.02, IF(PQ_Cleansing!L789="Poor", 0, 0))))</f>
        <v>11244.408000000001</v>
      </c>
      <c r="R789">
        <f>IFERROR(VALUE(SUBSTITUTE(SUBSTITUTE(PQ_Cleansing!I789, "$", ""), ",", "")), "")</f>
        <v>112444.08</v>
      </c>
    </row>
    <row r="790" spans="1:18" x14ac:dyDescent="0.25">
      <c r="A790" t="str">
        <f>PROPER(TRIM(CLEAN(RAW_DATA!A790)))</f>
        <v>Emp1788</v>
      </c>
      <c r="B790" t="str">
        <f>RAW_DATA!B790</f>
        <v>Frank</v>
      </c>
      <c r="C790" t="str">
        <f>RAW_DATA!C790</f>
        <v>Garcia</v>
      </c>
      <c r="D790">
        <f>RAW_DATA!D790</f>
        <v>40</v>
      </c>
      <c r="E790" t="str">
        <f>RAW_DATA!E790</f>
        <v>Finance-Nevada</v>
      </c>
      <c r="F790" t="str">
        <f t="shared" si="36"/>
        <v>Finance</v>
      </c>
      <c r="G790" t="str">
        <f t="shared" si="37"/>
        <v>Nevada</v>
      </c>
      <c r="P790">
        <f t="shared" si="38"/>
        <v>86475.13</v>
      </c>
      <c r="Q790">
        <f>IF(PQ_Cleansing!L790="Excellent", P790 * 0.1, IF(PQ_Cleansing!L790="Good", P790 * 0.05, IF(PQ_Cleansing!L790="Average", P790 * 0.02, IF(PQ_Cleansing!L790="Poor", 0, 0))))</f>
        <v>0</v>
      </c>
      <c r="R790">
        <f>IFERROR(VALUE(SUBSTITUTE(SUBSTITUTE(PQ_Cleansing!I790, "$", ""), ",", "")), "")</f>
        <v>86475.13</v>
      </c>
    </row>
    <row r="791" spans="1:18" x14ac:dyDescent="0.25">
      <c r="A791" t="str">
        <f>PROPER(TRIM(CLEAN(RAW_DATA!A791)))</f>
        <v>Emp1789</v>
      </c>
      <c r="B791" t="str">
        <f>RAW_DATA!B791</f>
        <v>Frank</v>
      </c>
      <c r="C791" t="str">
        <f>RAW_DATA!C791</f>
        <v>Davis</v>
      </c>
      <c r="D791">
        <f>RAW_DATA!D791</f>
        <v>0</v>
      </c>
      <c r="E791" t="str">
        <f>RAW_DATA!E791</f>
        <v>Sales-Texas</v>
      </c>
      <c r="F791" t="str">
        <f t="shared" si="36"/>
        <v>Sales</v>
      </c>
      <c r="G791" t="str">
        <f t="shared" si="37"/>
        <v>Texas</v>
      </c>
      <c r="P791">
        <f t="shared" si="38"/>
        <v>97984.53</v>
      </c>
      <c r="Q791">
        <f>IF(PQ_Cleansing!L791="Excellent", P791 * 0.1, IF(PQ_Cleansing!L791="Good", P791 * 0.05, IF(PQ_Cleansing!L791="Average", P791 * 0.02, IF(PQ_Cleansing!L791="Poor", 0, 0))))</f>
        <v>4899.2264999999998</v>
      </c>
      <c r="R791">
        <f>IFERROR(VALUE(SUBSTITUTE(SUBSTITUTE(PQ_Cleansing!I791, "$", ""), ",", "")), "")</f>
        <v>97984.53</v>
      </c>
    </row>
    <row r="792" spans="1:18" x14ac:dyDescent="0.25">
      <c r="A792" t="str">
        <f>PROPER(TRIM(CLEAN(RAW_DATA!A792)))</f>
        <v>Emp1790</v>
      </c>
      <c r="B792" t="str">
        <f>RAW_DATA!B792</f>
        <v>Frank</v>
      </c>
      <c r="C792" t="str">
        <f>RAW_DATA!C792</f>
        <v>Miller</v>
      </c>
      <c r="D792">
        <f>RAW_DATA!D792</f>
        <v>25</v>
      </c>
      <c r="E792" t="str">
        <f>RAW_DATA!E792</f>
        <v>Admin-California</v>
      </c>
      <c r="F792" t="str">
        <f t="shared" si="36"/>
        <v>Admin</v>
      </c>
      <c r="G792" t="str">
        <f t="shared" si="37"/>
        <v>California</v>
      </c>
      <c r="P792">
        <f t="shared" si="38"/>
        <v>118853.31</v>
      </c>
      <c r="Q792">
        <f>IF(PQ_Cleansing!L792="Excellent", P792 * 0.1, IF(PQ_Cleansing!L792="Good", P792 * 0.05, IF(PQ_Cleansing!L792="Average", P792 * 0.02, IF(PQ_Cleansing!L792="Poor", 0, 0))))</f>
        <v>5942.6655000000001</v>
      </c>
      <c r="R792">
        <f>IFERROR(VALUE(SUBSTITUTE(SUBSTITUTE(PQ_Cleansing!I792, "$", ""), ",", "")), "")</f>
        <v>118853.31</v>
      </c>
    </row>
    <row r="793" spans="1:18" x14ac:dyDescent="0.25">
      <c r="A793" t="str">
        <f>PROPER(TRIM(CLEAN(RAW_DATA!A793)))</f>
        <v>Emp1791</v>
      </c>
      <c r="B793" t="str">
        <f>RAW_DATA!B793</f>
        <v>Charlie</v>
      </c>
      <c r="C793" t="str">
        <f>RAW_DATA!C793</f>
        <v>Garcia</v>
      </c>
      <c r="D793">
        <f>RAW_DATA!D793</f>
        <v>0</v>
      </c>
      <c r="E793" t="str">
        <f>RAW_DATA!E793</f>
        <v>Sales-Florida</v>
      </c>
      <c r="F793" t="str">
        <f t="shared" si="36"/>
        <v>Sales</v>
      </c>
      <c r="G793" t="str">
        <f t="shared" si="37"/>
        <v>Florida</v>
      </c>
      <c r="P793">
        <f t="shared" si="38"/>
        <v>58179.12</v>
      </c>
      <c r="Q793">
        <f>IF(PQ_Cleansing!L793="Excellent", P793 * 0.1, IF(PQ_Cleansing!L793="Good", P793 * 0.05, IF(PQ_Cleansing!L793="Average", P793 * 0.02, IF(PQ_Cleansing!L793="Poor", 0, 0))))</f>
        <v>5817.9120000000003</v>
      </c>
      <c r="R793">
        <f>IFERROR(VALUE(SUBSTITUTE(SUBSTITUTE(PQ_Cleansing!I793, "$", ""), ",", "")), "")</f>
        <v>58179.12</v>
      </c>
    </row>
    <row r="794" spans="1:18" x14ac:dyDescent="0.25">
      <c r="A794" t="str">
        <f>PROPER(TRIM(CLEAN(RAW_DATA!A794)))</f>
        <v>Emp1792</v>
      </c>
      <c r="B794" t="str">
        <f>RAW_DATA!B794</f>
        <v>Eva</v>
      </c>
      <c r="C794" t="str">
        <f>RAW_DATA!C794</f>
        <v>Jones</v>
      </c>
      <c r="D794">
        <f>RAW_DATA!D794</f>
        <v>35</v>
      </c>
      <c r="E794" t="str">
        <f>RAW_DATA!E794</f>
        <v>DevOps-Texas</v>
      </c>
      <c r="F794" t="str">
        <f t="shared" si="36"/>
        <v>DevOps</v>
      </c>
      <c r="G794" t="str">
        <f t="shared" si="37"/>
        <v>Texas</v>
      </c>
      <c r="P794">
        <f t="shared" si="38"/>
        <v>56075.839999999997</v>
      </c>
      <c r="Q794">
        <f>IF(PQ_Cleansing!L794="Excellent", P794 * 0.1, IF(PQ_Cleansing!L794="Good", P794 * 0.05, IF(PQ_Cleansing!L794="Average", P794 * 0.02, IF(PQ_Cleansing!L794="Poor", 0, 0))))</f>
        <v>1121.5167999999999</v>
      </c>
      <c r="R794">
        <f>IFERROR(VALUE(SUBSTITUTE(SUBSTITUTE(PQ_Cleansing!I794, "$", ""), ",", "")), "")</f>
        <v>56075.839999999997</v>
      </c>
    </row>
    <row r="795" spans="1:18" x14ac:dyDescent="0.25">
      <c r="A795" t="str">
        <f>PROPER(TRIM(CLEAN(RAW_DATA!A795)))</f>
        <v>Emp1793</v>
      </c>
      <c r="B795" t="str">
        <f>RAW_DATA!B795</f>
        <v>Frank</v>
      </c>
      <c r="C795" t="str">
        <f>RAW_DATA!C795</f>
        <v>Brown</v>
      </c>
      <c r="D795">
        <f>RAW_DATA!D795</f>
        <v>40</v>
      </c>
      <c r="E795" t="str">
        <f>RAW_DATA!E795</f>
        <v>HR-New York</v>
      </c>
      <c r="F795" t="str">
        <f t="shared" si="36"/>
        <v>HR</v>
      </c>
      <c r="G795" t="str">
        <f t="shared" si="37"/>
        <v>New York</v>
      </c>
      <c r="P795">
        <f t="shared" si="38"/>
        <v>62250.89</v>
      </c>
      <c r="Q795">
        <f>IF(PQ_Cleansing!L795="Excellent", P795 * 0.1, IF(PQ_Cleansing!L795="Good", P795 * 0.05, IF(PQ_Cleansing!L795="Average", P795 * 0.02, IF(PQ_Cleansing!L795="Poor", 0, 0))))</f>
        <v>6225.0889999999999</v>
      </c>
      <c r="R795">
        <f>IFERROR(VALUE(SUBSTITUTE(SUBSTITUTE(PQ_Cleansing!I795, "$", ""), ",", "")), "")</f>
        <v>62250.89</v>
      </c>
    </row>
    <row r="796" spans="1:18" x14ac:dyDescent="0.25">
      <c r="A796" t="str">
        <f>PROPER(TRIM(CLEAN(RAW_DATA!A796)))</f>
        <v>Emp1794</v>
      </c>
      <c r="B796" t="str">
        <f>RAW_DATA!B796</f>
        <v>Alice</v>
      </c>
      <c r="C796" t="str">
        <f>RAW_DATA!C796</f>
        <v>Smith</v>
      </c>
      <c r="D796">
        <f>RAW_DATA!D796</f>
        <v>30</v>
      </c>
      <c r="E796" t="str">
        <f>RAW_DATA!E796</f>
        <v>Cloud Tech-Florida</v>
      </c>
      <c r="F796" t="str">
        <f t="shared" si="36"/>
        <v>Cloud Tech</v>
      </c>
      <c r="G796" t="str">
        <f t="shared" si="37"/>
        <v>Florida</v>
      </c>
      <c r="P796">
        <f t="shared" si="38"/>
        <v>105931.77</v>
      </c>
      <c r="Q796">
        <f>IF(PQ_Cleansing!L796="Excellent", P796 * 0.1, IF(PQ_Cleansing!L796="Good", P796 * 0.05, IF(PQ_Cleansing!L796="Average", P796 * 0.02, IF(PQ_Cleansing!L796="Poor", 0, 0))))</f>
        <v>0</v>
      </c>
      <c r="R796">
        <f>IFERROR(VALUE(SUBSTITUTE(SUBSTITUTE(PQ_Cleansing!I796, "$", ""), ",", "")), "")</f>
        <v>105931.77</v>
      </c>
    </row>
    <row r="797" spans="1:18" x14ac:dyDescent="0.25">
      <c r="A797" t="str">
        <f>PROPER(TRIM(CLEAN(RAW_DATA!A797)))</f>
        <v>Emp1795</v>
      </c>
      <c r="B797" t="str">
        <f>RAW_DATA!B797</f>
        <v>Charlie</v>
      </c>
      <c r="C797" t="str">
        <f>RAW_DATA!C797</f>
        <v>Davis</v>
      </c>
      <c r="D797">
        <f>RAW_DATA!D797</f>
        <v>30</v>
      </c>
      <c r="E797" t="str">
        <f>RAW_DATA!E797</f>
        <v>HR-Florida</v>
      </c>
      <c r="F797" t="str">
        <f t="shared" si="36"/>
        <v>HR</v>
      </c>
      <c r="G797" t="str">
        <f t="shared" si="37"/>
        <v>Florida</v>
      </c>
      <c r="P797">
        <f t="shared" si="38"/>
        <v>86653.96</v>
      </c>
      <c r="Q797">
        <f>IF(PQ_Cleansing!L797="Excellent", P797 * 0.1, IF(PQ_Cleansing!L797="Good", P797 * 0.05, IF(PQ_Cleansing!L797="Average", P797 * 0.02, IF(PQ_Cleansing!L797="Poor", 0, 0))))</f>
        <v>1733.0792000000001</v>
      </c>
      <c r="R797">
        <f>IFERROR(VALUE(SUBSTITUTE(SUBSTITUTE(PQ_Cleansing!I797, "$", ""), ",", "")), "")</f>
        <v>86653.96</v>
      </c>
    </row>
    <row r="798" spans="1:18" x14ac:dyDescent="0.25">
      <c r="A798" t="str">
        <f>PROPER(TRIM(CLEAN(RAW_DATA!A798)))</f>
        <v>Emp1796</v>
      </c>
      <c r="B798" t="str">
        <f>RAW_DATA!B798</f>
        <v>Charlie</v>
      </c>
      <c r="C798" t="str">
        <f>RAW_DATA!C798</f>
        <v>Jones</v>
      </c>
      <c r="D798">
        <f>RAW_DATA!D798</f>
        <v>25</v>
      </c>
      <c r="E798" t="str">
        <f>RAW_DATA!E798</f>
        <v>Sales-Nevada</v>
      </c>
      <c r="F798" t="str">
        <f t="shared" si="36"/>
        <v>Sales</v>
      </c>
      <c r="G798" t="str">
        <f t="shared" si="37"/>
        <v>Nevada</v>
      </c>
      <c r="P798">
        <f t="shared" si="38"/>
        <v>100719.94</v>
      </c>
      <c r="Q798">
        <f>IF(PQ_Cleansing!L798="Excellent", P798 * 0.1, IF(PQ_Cleansing!L798="Good", P798 * 0.05, IF(PQ_Cleansing!L798="Average", P798 * 0.02, IF(PQ_Cleansing!L798="Poor", 0, 0))))</f>
        <v>5035.9970000000003</v>
      </c>
      <c r="R798">
        <f>IFERROR(VALUE(SUBSTITUTE(SUBSTITUTE(PQ_Cleansing!I798, "$", ""), ",", "")), "")</f>
        <v>100719.94</v>
      </c>
    </row>
    <row r="799" spans="1:18" x14ac:dyDescent="0.25">
      <c r="A799" t="str">
        <f>PROPER(TRIM(CLEAN(RAW_DATA!A799)))</f>
        <v>Emp1797</v>
      </c>
      <c r="B799" t="str">
        <f>RAW_DATA!B799</f>
        <v>Bob</v>
      </c>
      <c r="C799" t="str">
        <f>RAW_DATA!C799</f>
        <v>Davis</v>
      </c>
      <c r="D799">
        <f>RAW_DATA!D799</f>
        <v>25</v>
      </c>
      <c r="E799" t="str">
        <f>RAW_DATA!E799</f>
        <v>HR-Texas</v>
      </c>
      <c r="F799" t="str">
        <f t="shared" si="36"/>
        <v>HR</v>
      </c>
      <c r="G799" t="str">
        <f t="shared" si="37"/>
        <v>Texas</v>
      </c>
      <c r="P799">
        <f t="shared" si="38"/>
        <v>91600.13</v>
      </c>
      <c r="Q799">
        <f>IF(PQ_Cleansing!L799="Excellent", P799 * 0.1, IF(PQ_Cleansing!L799="Good", P799 * 0.05, IF(PQ_Cleansing!L799="Average", P799 * 0.02, IF(PQ_Cleansing!L799="Poor", 0, 0))))</f>
        <v>1832.0026</v>
      </c>
      <c r="R799">
        <f>IFERROR(VALUE(SUBSTITUTE(SUBSTITUTE(PQ_Cleansing!I799, "$", ""), ",", "")), "")</f>
        <v>91600.13</v>
      </c>
    </row>
    <row r="800" spans="1:18" x14ac:dyDescent="0.25">
      <c r="A800" t="str">
        <f>PROPER(TRIM(CLEAN(RAW_DATA!A800)))</f>
        <v>Emp1798</v>
      </c>
      <c r="B800" t="str">
        <f>RAW_DATA!B800</f>
        <v>Heidi</v>
      </c>
      <c r="C800" t="str">
        <f>RAW_DATA!C800</f>
        <v>Smith</v>
      </c>
      <c r="D800">
        <f>RAW_DATA!D800</f>
        <v>25</v>
      </c>
      <c r="E800" t="str">
        <f>RAW_DATA!E800</f>
        <v>Cloud Tech-Illinois</v>
      </c>
      <c r="F800" t="str">
        <f t="shared" si="36"/>
        <v>Cloud Tech</v>
      </c>
      <c r="G800" t="str">
        <f t="shared" si="37"/>
        <v>Illinois</v>
      </c>
      <c r="P800">
        <f t="shared" si="38"/>
        <v>71873.66</v>
      </c>
      <c r="Q800">
        <f>IF(PQ_Cleansing!L800="Excellent", P800 * 0.1, IF(PQ_Cleansing!L800="Good", P800 * 0.05, IF(PQ_Cleansing!L800="Average", P800 * 0.02, IF(PQ_Cleansing!L800="Poor", 0, 0))))</f>
        <v>3593.6830000000004</v>
      </c>
      <c r="R800">
        <f>IFERROR(VALUE(SUBSTITUTE(SUBSTITUTE(PQ_Cleansing!I800, "$", ""), ",", "")), "")</f>
        <v>71873.66</v>
      </c>
    </row>
    <row r="801" spans="1:18" x14ac:dyDescent="0.25">
      <c r="A801" t="str">
        <f>PROPER(TRIM(CLEAN(RAW_DATA!A801)))</f>
        <v>Emp1799</v>
      </c>
      <c r="B801" t="str">
        <f>RAW_DATA!B801</f>
        <v>Eva</v>
      </c>
      <c r="C801" t="str">
        <f>RAW_DATA!C801</f>
        <v>Williams</v>
      </c>
      <c r="D801">
        <f>RAW_DATA!D801</f>
        <v>30</v>
      </c>
      <c r="E801" t="str">
        <f>RAW_DATA!E801</f>
        <v>HR-New York</v>
      </c>
      <c r="F801" t="str">
        <f t="shared" si="36"/>
        <v>HR</v>
      </c>
      <c r="G801" t="str">
        <f t="shared" si="37"/>
        <v>New York</v>
      </c>
      <c r="P801">
        <f t="shared" si="38"/>
        <v>69365.47</v>
      </c>
      <c r="Q801">
        <f>IF(PQ_Cleansing!L801="Excellent", P801 * 0.1, IF(PQ_Cleansing!L801="Good", P801 * 0.05, IF(PQ_Cleansing!L801="Average", P801 * 0.02, IF(PQ_Cleansing!L801="Poor", 0, 0))))</f>
        <v>1387.3094000000001</v>
      </c>
      <c r="R801">
        <f>IFERROR(VALUE(SUBSTITUTE(SUBSTITUTE(PQ_Cleansing!I801, "$", ""), ",", "")), "")</f>
        <v>69365.47</v>
      </c>
    </row>
    <row r="802" spans="1:18" x14ac:dyDescent="0.25">
      <c r="A802" t="str">
        <f>PROPER(TRIM(CLEAN(RAW_DATA!A802)))</f>
        <v>Emp1800</v>
      </c>
      <c r="B802" t="str">
        <f>RAW_DATA!B802</f>
        <v>Heidi</v>
      </c>
      <c r="C802" t="str">
        <f>RAW_DATA!C802</f>
        <v>Smith</v>
      </c>
      <c r="D802">
        <f>RAW_DATA!D802</f>
        <v>25</v>
      </c>
      <c r="E802" t="str">
        <f>RAW_DATA!E802</f>
        <v>HR-New York</v>
      </c>
      <c r="F802" t="str">
        <f t="shared" si="36"/>
        <v>HR</v>
      </c>
      <c r="G802" t="str">
        <f t="shared" si="37"/>
        <v>New York</v>
      </c>
      <c r="P802">
        <f t="shared" si="38"/>
        <v>58012.23</v>
      </c>
      <c r="Q802">
        <f>IF(PQ_Cleansing!L802="Excellent", P802 * 0.1, IF(PQ_Cleansing!L802="Good", P802 * 0.05, IF(PQ_Cleansing!L802="Average", P802 * 0.02, IF(PQ_Cleansing!L802="Poor", 0, 0))))</f>
        <v>1160.2446</v>
      </c>
      <c r="R802">
        <f>IFERROR(VALUE(SUBSTITUTE(SUBSTITUTE(PQ_Cleansing!I802, "$", ""), ",", "")), "")</f>
        <v>58012.23</v>
      </c>
    </row>
    <row r="803" spans="1:18" x14ac:dyDescent="0.25">
      <c r="A803" t="str">
        <f>PROPER(TRIM(CLEAN(RAW_DATA!A803)))</f>
        <v>Emp1801</v>
      </c>
      <c r="B803" t="str">
        <f>RAW_DATA!B803</f>
        <v>Bob</v>
      </c>
      <c r="C803" t="str">
        <f>RAW_DATA!C803</f>
        <v>Miller</v>
      </c>
      <c r="D803">
        <f>RAW_DATA!D803</f>
        <v>30</v>
      </c>
      <c r="E803" t="str">
        <f>RAW_DATA!E803</f>
        <v>Sales-California</v>
      </c>
      <c r="F803" t="str">
        <f t="shared" si="36"/>
        <v>Sales</v>
      </c>
      <c r="G803" t="str">
        <f t="shared" si="37"/>
        <v>California</v>
      </c>
      <c r="P803">
        <f t="shared" si="38"/>
        <v>68973.649999999994</v>
      </c>
      <c r="Q803">
        <f>IF(PQ_Cleansing!L803="Excellent", P803 * 0.1, IF(PQ_Cleansing!L803="Good", P803 * 0.05, IF(PQ_Cleansing!L803="Average", P803 * 0.02, IF(PQ_Cleansing!L803="Poor", 0, 0))))</f>
        <v>1379.473</v>
      </c>
      <c r="R803">
        <f>IFERROR(VALUE(SUBSTITUTE(SUBSTITUTE(PQ_Cleansing!I803, "$", ""), ",", "")), "")</f>
        <v>68973.649999999994</v>
      </c>
    </row>
    <row r="804" spans="1:18" x14ac:dyDescent="0.25">
      <c r="A804" t="str">
        <f>PROPER(TRIM(CLEAN(RAW_DATA!A804)))</f>
        <v>Emp1802</v>
      </c>
      <c r="B804" t="str">
        <f>RAW_DATA!B804</f>
        <v>Eva</v>
      </c>
      <c r="C804" t="str">
        <f>RAW_DATA!C804</f>
        <v>Smith</v>
      </c>
      <c r="D804">
        <f>RAW_DATA!D804</f>
        <v>0</v>
      </c>
      <c r="E804" t="str">
        <f>RAW_DATA!E804</f>
        <v>Admin-New York</v>
      </c>
      <c r="F804" t="str">
        <f t="shared" si="36"/>
        <v>Admin</v>
      </c>
      <c r="G804" t="str">
        <f t="shared" si="37"/>
        <v>New York</v>
      </c>
      <c r="P804">
        <f t="shared" si="38"/>
        <v>92928.4</v>
      </c>
      <c r="Q804">
        <f>IF(PQ_Cleansing!L804="Excellent", P804 * 0.1, IF(PQ_Cleansing!L804="Good", P804 * 0.05, IF(PQ_Cleansing!L804="Average", P804 * 0.02, IF(PQ_Cleansing!L804="Poor", 0, 0))))</f>
        <v>0</v>
      </c>
      <c r="R804">
        <f>IFERROR(VALUE(SUBSTITUTE(SUBSTITUTE(PQ_Cleansing!I804, "$", ""), ",", "")), "")</f>
        <v>92928.4</v>
      </c>
    </row>
    <row r="805" spans="1:18" x14ac:dyDescent="0.25">
      <c r="A805" t="str">
        <f>PROPER(TRIM(CLEAN(RAW_DATA!A805)))</f>
        <v>Emp1803</v>
      </c>
      <c r="B805" t="str">
        <f>RAW_DATA!B805</f>
        <v>Heidi</v>
      </c>
      <c r="C805" t="str">
        <f>RAW_DATA!C805</f>
        <v>Smith</v>
      </c>
      <c r="D805">
        <f>RAW_DATA!D805</f>
        <v>25</v>
      </c>
      <c r="E805" t="str">
        <f>RAW_DATA!E805</f>
        <v>Admin-Texas</v>
      </c>
      <c r="F805" t="str">
        <f t="shared" si="36"/>
        <v>Admin</v>
      </c>
      <c r="G805" t="str">
        <f t="shared" si="37"/>
        <v>Texas</v>
      </c>
      <c r="P805">
        <f t="shared" si="38"/>
        <v>53531.92</v>
      </c>
      <c r="Q805">
        <f>IF(PQ_Cleansing!L805="Excellent", P805 * 0.1, IF(PQ_Cleansing!L805="Good", P805 * 0.05, IF(PQ_Cleansing!L805="Average", P805 * 0.02, IF(PQ_Cleansing!L805="Poor", 0, 0))))</f>
        <v>0</v>
      </c>
      <c r="R805">
        <f>IFERROR(VALUE(SUBSTITUTE(SUBSTITUTE(PQ_Cleansing!I805, "$", ""), ",", "")), "")</f>
        <v>53531.92</v>
      </c>
    </row>
    <row r="806" spans="1:18" x14ac:dyDescent="0.25">
      <c r="A806" t="str">
        <f>PROPER(TRIM(CLEAN(RAW_DATA!A806)))</f>
        <v>Emp1804</v>
      </c>
      <c r="B806" t="str">
        <f>RAW_DATA!B806</f>
        <v>Bob</v>
      </c>
      <c r="C806" t="str">
        <f>RAW_DATA!C806</f>
        <v>Miller</v>
      </c>
      <c r="D806">
        <f>RAW_DATA!D806</f>
        <v>40</v>
      </c>
      <c r="E806" t="str">
        <f>RAW_DATA!E806</f>
        <v>Finance-New York</v>
      </c>
      <c r="F806" t="str">
        <f t="shared" si="36"/>
        <v>Finance</v>
      </c>
      <c r="G806" t="str">
        <f t="shared" si="37"/>
        <v>New York</v>
      </c>
      <c r="P806">
        <f t="shared" si="38"/>
        <v>112389.31</v>
      </c>
      <c r="Q806">
        <f>IF(PQ_Cleansing!L806="Excellent", P806 * 0.1, IF(PQ_Cleansing!L806="Good", P806 * 0.05, IF(PQ_Cleansing!L806="Average", P806 * 0.02, IF(PQ_Cleansing!L806="Poor", 0, 0))))</f>
        <v>11238.931</v>
      </c>
      <c r="R806">
        <f>IFERROR(VALUE(SUBSTITUTE(SUBSTITUTE(PQ_Cleansing!I806, "$", ""), ",", "")), "")</f>
        <v>112389.31</v>
      </c>
    </row>
    <row r="807" spans="1:18" x14ac:dyDescent="0.25">
      <c r="A807" t="str">
        <f>PROPER(TRIM(CLEAN(RAW_DATA!A807)))</f>
        <v>Emp1805</v>
      </c>
      <c r="B807" t="str">
        <f>RAW_DATA!B807</f>
        <v>Heidi</v>
      </c>
      <c r="C807" t="str">
        <f>RAW_DATA!C807</f>
        <v>Brown</v>
      </c>
      <c r="D807">
        <f>RAW_DATA!D807</f>
        <v>0</v>
      </c>
      <c r="E807" t="str">
        <f>RAW_DATA!E807</f>
        <v>HR-California</v>
      </c>
      <c r="F807" t="str">
        <f t="shared" si="36"/>
        <v>HR</v>
      </c>
      <c r="G807" t="str">
        <f t="shared" si="37"/>
        <v>California</v>
      </c>
      <c r="P807">
        <f t="shared" si="38"/>
        <v>63870.3</v>
      </c>
      <c r="Q807">
        <f>IF(PQ_Cleansing!L807="Excellent", P807 * 0.1, IF(PQ_Cleansing!L807="Good", P807 * 0.05, IF(PQ_Cleansing!L807="Average", P807 * 0.02, IF(PQ_Cleansing!L807="Poor", 0, 0))))</f>
        <v>6387.0300000000007</v>
      </c>
      <c r="R807">
        <f>IFERROR(VALUE(SUBSTITUTE(SUBSTITUTE(PQ_Cleansing!I807, "$", ""), ",", "")), "")</f>
        <v>63870.3</v>
      </c>
    </row>
    <row r="808" spans="1:18" x14ac:dyDescent="0.25">
      <c r="A808" t="str">
        <f>PROPER(TRIM(CLEAN(RAW_DATA!A808)))</f>
        <v>Emp1806</v>
      </c>
      <c r="B808" t="str">
        <f>RAW_DATA!B808</f>
        <v>Bob</v>
      </c>
      <c r="C808" t="str">
        <f>RAW_DATA!C808</f>
        <v>Garcia</v>
      </c>
      <c r="D808">
        <f>RAW_DATA!D808</f>
        <v>40</v>
      </c>
      <c r="E808" t="str">
        <f>RAW_DATA!E808</f>
        <v>Sales-New York</v>
      </c>
      <c r="F808" t="str">
        <f t="shared" si="36"/>
        <v>Sales</v>
      </c>
      <c r="G808" t="str">
        <f t="shared" si="37"/>
        <v>New York</v>
      </c>
      <c r="P808">
        <f t="shared" si="38"/>
        <v>106164.53</v>
      </c>
      <c r="Q808">
        <f>IF(PQ_Cleansing!L808="Excellent", P808 * 0.1, IF(PQ_Cleansing!L808="Good", P808 * 0.05, IF(PQ_Cleansing!L808="Average", P808 * 0.02, IF(PQ_Cleansing!L808="Poor", 0, 0))))</f>
        <v>5308.2265000000007</v>
      </c>
      <c r="R808">
        <f>IFERROR(VALUE(SUBSTITUTE(SUBSTITUTE(PQ_Cleansing!I808, "$", ""), ",", "")), "")</f>
        <v>106164.53</v>
      </c>
    </row>
    <row r="809" spans="1:18" x14ac:dyDescent="0.25">
      <c r="A809" t="str">
        <f>PROPER(TRIM(CLEAN(RAW_DATA!A809)))</f>
        <v>Emp1807</v>
      </c>
      <c r="B809" t="str">
        <f>RAW_DATA!B809</f>
        <v>Bob</v>
      </c>
      <c r="C809" t="str">
        <f>RAW_DATA!C809</f>
        <v>Smith</v>
      </c>
      <c r="D809">
        <f>RAW_DATA!D809</f>
        <v>40</v>
      </c>
      <c r="E809" t="str">
        <f>RAW_DATA!E809</f>
        <v>HR-Nevada</v>
      </c>
      <c r="F809" t="str">
        <f t="shared" si="36"/>
        <v>HR</v>
      </c>
      <c r="G809" t="str">
        <f t="shared" si="37"/>
        <v>Nevada</v>
      </c>
      <c r="P809">
        <f t="shared" si="38"/>
        <v>103654.54</v>
      </c>
      <c r="Q809">
        <f>IF(PQ_Cleansing!L809="Excellent", P809 * 0.1, IF(PQ_Cleansing!L809="Good", P809 * 0.05, IF(PQ_Cleansing!L809="Average", P809 * 0.02, IF(PQ_Cleansing!L809="Poor", 0, 0))))</f>
        <v>0</v>
      </c>
      <c r="R809">
        <f>IFERROR(VALUE(SUBSTITUTE(SUBSTITUTE(PQ_Cleansing!I809, "$", ""), ",", "")), "")</f>
        <v>103654.54</v>
      </c>
    </row>
    <row r="810" spans="1:18" x14ac:dyDescent="0.25">
      <c r="A810" t="str">
        <f>PROPER(TRIM(CLEAN(RAW_DATA!A810)))</f>
        <v>Emp1808</v>
      </c>
      <c r="B810" t="str">
        <f>RAW_DATA!B810</f>
        <v>David</v>
      </c>
      <c r="C810" t="str">
        <f>RAW_DATA!C810</f>
        <v>Miller</v>
      </c>
      <c r="D810">
        <f>RAW_DATA!D810</f>
        <v>30</v>
      </c>
      <c r="E810" t="str">
        <f>RAW_DATA!E810</f>
        <v>Sales-California</v>
      </c>
      <c r="F810" t="str">
        <f t="shared" si="36"/>
        <v>Sales</v>
      </c>
      <c r="G810" t="str">
        <f t="shared" si="37"/>
        <v>California</v>
      </c>
      <c r="P810">
        <f t="shared" si="38"/>
        <v>62834.720000000001</v>
      </c>
      <c r="Q810">
        <f>IF(PQ_Cleansing!L810="Excellent", P810 * 0.1, IF(PQ_Cleansing!L810="Good", P810 * 0.05, IF(PQ_Cleansing!L810="Average", P810 * 0.02, IF(PQ_Cleansing!L810="Poor", 0, 0))))</f>
        <v>3141.7360000000003</v>
      </c>
      <c r="R810">
        <f>IFERROR(VALUE(SUBSTITUTE(SUBSTITUTE(PQ_Cleansing!I810, "$", ""), ",", "")), "")</f>
        <v>62834.720000000001</v>
      </c>
    </row>
    <row r="811" spans="1:18" x14ac:dyDescent="0.25">
      <c r="A811" t="str">
        <f>PROPER(TRIM(CLEAN(RAW_DATA!A811)))</f>
        <v>Emp1809</v>
      </c>
      <c r="B811" t="str">
        <f>RAW_DATA!B811</f>
        <v>Frank</v>
      </c>
      <c r="C811" t="str">
        <f>RAW_DATA!C811</f>
        <v>Jones</v>
      </c>
      <c r="D811">
        <f>RAW_DATA!D811</f>
        <v>35</v>
      </c>
      <c r="E811" t="str">
        <f>RAW_DATA!E811</f>
        <v>Finance-Florida</v>
      </c>
      <c r="F811" t="str">
        <f t="shared" si="36"/>
        <v>Finance</v>
      </c>
      <c r="G811" t="str">
        <f t="shared" si="37"/>
        <v>Florida</v>
      </c>
      <c r="P811">
        <f t="shared" si="38"/>
        <v>83273.41</v>
      </c>
      <c r="Q811">
        <f>IF(PQ_Cleansing!L811="Excellent", P811 * 0.1, IF(PQ_Cleansing!L811="Good", P811 * 0.05, IF(PQ_Cleansing!L811="Average", P811 * 0.02, IF(PQ_Cleansing!L811="Poor", 0, 0))))</f>
        <v>8327.3410000000003</v>
      </c>
      <c r="R811">
        <f>IFERROR(VALUE(SUBSTITUTE(SUBSTITUTE(PQ_Cleansing!I811, "$", ""), ",", "")), "")</f>
        <v>83273.41</v>
      </c>
    </row>
    <row r="812" spans="1:18" x14ac:dyDescent="0.25">
      <c r="A812" t="str">
        <f>PROPER(TRIM(CLEAN(RAW_DATA!A812)))</f>
        <v>Emp1810</v>
      </c>
      <c r="B812" t="str">
        <f>RAW_DATA!B812</f>
        <v>Heidi</v>
      </c>
      <c r="C812" t="str">
        <f>RAW_DATA!C812</f>
        <v>Williams</v>
      </c>
      <c r="D812">
        <f>RAW_DATA!D812</f>
        <v>30</v>
      </c>
      <c r="E812" t="str">
        <f>RAW_DATA!E812</f>
        <v>HR-California</v>
      </c>
      <c r="F812" t="str">
        <f t="shared" si="36"/>
        <v>HR</v>
      </c>
      <c r="G812" t="str">
        <f t="shared" si="37"/>
        <v>California</v>
      </c>
      <c r="P812">
        <f t="shared" si="38"/>
        <v>58917.58</v>
      </c>
      <c r="Q812">
        <f>IF(PQ_Cleansing!L812="Excellent", P812 * 0.1, IF(PQ_Cleansing!L812="Good", P812 * 0.05, IF(PQ_Cleansing!L812="Average", P812 * 0.02, IF(PQ_Cleansing!L812="Poor", 0, 0))))</f>
        <v>2945.8790000000004</v>
      </c>
      <c r="R812">
        <f>IFERROR(VALUE(SUBSTITUTE(SUBSTITUTE(PQ_Cleansing!I812, "$", ""), ",", "")), "")</f>
        <v>58917.58</v>
      </c>
    </row>
    <row r="813" spans="1:18" x14ac:dyDescent="0.25">
      <c r="A813" t="str">
        <f>PROPER(TRIM(CLEAN(RAW_DATA!A813)))</f>
        <v>Emp1811</v>
      </c>
      <c r="B813" t="str">
        <f>RAW_DATA!B813</f>
        <v>Bob</v>
      </c>
      <c r="C813" t="str">
        <f>RAW_DATA!C813</f>
        <v>Williams</v>
      </c>
      <c r="D813">
        <f>RAW_DATA!D813</f>
        <v>35</v>
      </c>
      <c r="E813" t="str">
        <f>RAW_DATA!E813</f>
        <v>Sales-Nevada</v>
      </c>
      <c r="F813" t="str">
        <f t="shared" si="36"/>
        <v>Sales</v>
      </c>
      <c r="G813" t="str">
        <f t="shared" si="37"/>
        <v>Nevada</v>
      </c>
      <c r="P813">
        <f t="shared" si="38"/>
        <v>71148.27</v>
      </c>
      <c r="Q813">
        <f>IF(PQ_Cleansing!L813="Excellent", P813 * 0.1, IF(PQ_Cleansing!L813="Good", P813 * 0.05, IF(PQ_Cleansing!L813="Average", P813 * 0.02, IF(PQ_Cleansing!L813="Poor", 0, 0))))</f>
        <v>7114.8270000000011</v>
      </c>
      <c r="R813">
        <f>IFERROR(VALUE(SUBSTITUTE(SUBSTITUTE(PQ_Cleansing!I813, "$", ""), ",", "")), "")</f>
        <v>71148.27</v>
      </c>
    </row>
    <row r="814" spans="1:18" x14ac:dyDescent="0.25">
      <c r="A814" t="str">
        <f>PROPER(TRIM(CLEAN(RAW_DATA!A814)))</f>
        <v>Emp1812</v>
      </c>
      <c r="B814" t="str">
        <f>RAW_DATA!B814</f>
        <v>Grace</v>
      </c>
      <c r="C814" t="str">
        <f>RAW_DATA!C814</f>
        <v>Smith</v>
      </c>
      <c r="D814">
        <f>RAW_DATA!D814</f>
        <v>30</v>
      </c>
      <c r="E814" t="str">
        <f>RAW_DATA!E814</f>
        <v>Sales-New York</v>
      </c>
      <c r="F814" t="str">
        <f t="shared" si="36"/>
        <v>Sales</v>
      </c>
      <c r="G814" t="str">
        <f t="shared" si="37"/>
        <v>New York</v>
      </c>
      <c r="P814">
        <f t="shared" si="38"/>
        <v>118172.42</v>
      </c>
      <c r="Q814">
        <f>IF(PQ_Cleansing!L814="Excellent", P814 * 0.1, IF(PQ_Cleansing!L814="Good", P814 * 0.05, IF(PQ_Cleansing!L814="Average", P814 * 0.02, IF(PQ_Cleansing!L814="Poor", 0, 0))))</f>
        <v>0</v>
      </c>
      <c r="R814">
        <f>IFERROR(VALUE(SUBSTITUTE(SUBSTITUTE(PQ_Cleansing!I814, "$", ""), ",", "")), "")</f>
        <v>118172.42</v>
      </c>
    </row>
    <row r="815" spans="1:18" x14ac:dyDescent="0.25">
      <c r="A815" t="str">
        <f>PROPER(TRIM(CLEAN(RAW_DATA!A815)))</f>
        <v>Emp1813</v>
      </c>
      <c r="B815" t="str">
        <f>RAW_DATA!B815</f>
        <v>Frank</v>
      </c>
      <c r="C815" t="str">
        <f>RAW_DATA!C815</f>
        <v>Brown</v>
      </c>
      <c r="D815">
        <f>RAW_DATA!D815</f>
        <v>30</v>
      </c>
      <c r="E815" t="str">
        <f>RAW_DATA!E815</f>
        <v>DevOps-Illinois</v>
      </c>
      <c r="F815" t="str">
        <f t="shared" si="36"/>
        <v>DevOps</v>
      </c>
      <c r="G815" t="str">
        <f t="shared" si="37"/>
        <v>Illinois</v>
      </c>
      <c r="P815">
        <f t="shared" si="38"/>
        <v>118614.37</v>
      </c>
      <c r="Q815">
        <f>IF(PQ_Cleansing!L815="Excellent", P815 * 0.1, IF(PQ_Cleansing!L815="Good", P815 * 0.05, IF(PQ_Cleansing!L815="Average", P815 * 0.02, IF(PQ_Cleansing!L815="Poor", 0, 0))))</f>
        <v>2372.2874000000002</v>
      </c>
      <c r="R815">
        <f>IFERROR(VALUE(SUBSTITUTE(SUBSTITUTE(PQ_Cleansing!I815, "$", ""), ",", "")), "")</f>
        <v>118614.37</v>
      </c>
    </row>
    <row r="816" spans="1:18" x14ac:dyDescent="0.25">
      <c r="A816" t="str">
        <f>PROPER(TRIM(CLEAN(RAW_DATA!A816)))</f>
        <v>Emp1814</v>
      </c>
      <c r="B816" t="str">
        <f>RAW_DATA!B816</f>
        <v>Frank</v>
      </c>
      <c r="C816" t="str">
        <f>RAW_DATA!C816</f>
        <v>Brown</v>
      </c>
      <c r="D816">
        <f>RAW_DATA!D816</f>
        <v>0</v>
      </c>
      <c r="E816" t="str">
        <f>RAW_DATA!E816</f>
        <v>DevOps-New York</v>
      </c>
      <c r="F816" t="str">
        <f t="shared" si="36"/>
        <v>DevOps</v>
      </c>
      <c r="G816" t="str">
        <f t="shared" si="37"/>
        <v>New York</v>
      </c>
      <c r="P816">
        <f t="shared" si="38"/>
        <v>96872.36</v>
      </c>
      <c r="Q816">
        <f>IF(PQ_Cleansing!L816="Excellent", P816 * 0.1, IF(PQ_Cleansing!L816="Good", P816 * 0.05, IF(PQ_Cleansing!L816="Average", P816 * 0.02, IF(PQ_Cleansing!L816="Poor", 0, 0))))</f>
        <v>0</v>
      </c>
      <c r="R816">
        <f>IFERROR(VALUE(SUBSTITUTE(SUBSTITUTE(PQ_Cleansing!I816, "$", ""), ",", "")), "")</f>
        <v>96872.36</v>
      </c>
    </row>
    <row r="817" spans="1:18" x14ac:dyDescent="0.25">
      <c r="A817" t="str">
        <f>PROPER(TRIM(CLEAN(RAW_DATA!A817)))</f>
        <v>Emp1815</v>
      </c>
      <c r="B817" t="str">
        <f>RAW_DATA!B817</f>
        <v>Heidi</v>
      </c>
      <c r="C817" t="str">
        <f>RAW_DATA!C817</f>
        <v>Jones</v>
      </c>
      <c r="D817">
        <f>RAW_DATA!D817</f>
        <v>25</v>
      </c>
      <c r="E817" t="str">
        <f>RAW_DATA!E817</f>
        <v>Sales-Illinois</v>
      </c>
      <c r="F817" t="str">
        <f t="shared" si="36"/>
        <v>Sales</v>
      </c>
      <c r="G817" t="str">
        <f t="shared" si="37"/>
        <v>Illinois</v>
      </c>
      <c r="P817">
        <f t="shared" si="38"/>
        <v>88856.14</v>
      </c>
      <c r="Q817">
        <f>IF(PQ_Cleansing!L817="Excellent", P817 * 0.1, IF(PQ_Cleansing!L817="Good", P817 * 0.05, IF(PQ_Cleansing!L817="Average", P817 * 0.02, IF(PQ_Cleansing!L817="Poor", 0, 0))))</f>
        <v>4442.8069999999998</v>
      </c>
      <c r="R817">
        <f>IFERROR(VALUE(SUBSTITUTE(SUBSTITUTE(PQ_Cleansing!I817, "$", ""), ",", "")), "")</f>
        <v>88856.14</v>
      </c>
    </row>
    <row r="818" spans="1:18" x14ac:dyDescent="0.25">
      <c r="A818" t="str">
        <f>PROPER(TRIM(CLEAN(RAW_DATA!A818)))</f>
        <v>Emp1816</v>
      </c>
      <c r="B818" t="str">
        <f>RAW_DATA!B818</f>
        <v>Charlie</v>
      </c>
      <c r="C818" t="str">
        <f>RAW_DATA!C818</f>
        <v>Smith</v>
      </c>
      <c r="D818">
        <f>RAW_DATA!D818</f>
        <v>35</v>
      </c>
      <c r="E818" t="str">
        <f>RAW_DATA!E818</f>
        <v>Finance-Texas</v>
      </c>
      <c r="F818" t="str">
        <f t="shared" si="36"/>
        <v>Finance</v>
      </c>
      <c r="G818" t="str">
        <f t="shared" si="37"/>
        <v>Texas</v>
      </c>
      <c r="P818">
        <f t="shared" si="38"/>
        <v>97985.61</v>
      </c>
      <c r="Q818">
        <f>IF(PQ_Cleansing!L818="Excellent", P818 * 0.1, IF(PQ_Cleansing!L818="Good", P818 * 0.05, IF(PQ_Cleansing!L818="Average", P818 * 0.02, IF(PQ_Cleansing!L818="Poor", 0, 0))))</f>
        <v>4899.2804999999998</v>
      </c>
      <c r="R818">
        <f>IFERROR(VALUE(SUBSTITUTE(SUBSTITUTE(PQ_Cleansing!I818, "$", ""), ",", "")), "")</f>
        <v>97985.61</v>
      </c>
    </row>
    <row r="819" spans="1:18" x14ac:dyDescent="0.25">
      <c r="A819" t="str">
        <f>PROPER(TRIM(CLEAN(RAW_DATA!A819)))</f>
        <v>Emp1817</v>
      </c>
      <c r="B819" t="str">
        <f>RAW_DATA!B819</f>
        <v>Grace</v>
      </c>
      <c r="C819" t="str">
        <f>RAW_DATA!C819</f>
        <v>Williams</v>
      </c>
      <c r="D819">
        <f>RAW_DATA!D819</f>
        <v>35</v>
      </c>
      <c r="E819" t="str">
        <f>RAW_DATA!E819</f>
        <v>Finance-Nevada</v>
      </c>
      <c r="F819" t="str">
        <f t="shared" si="36"/>
        <v>Finance</v>
      </c>
      <c r="G819" t="str">
        <f t="shared" si="37"/>
        <v>Nevada</v>
      </c>
      <c r="P819">
        <f t="shared" si="38"/>
        <v>56337.31</v>
      </c>
      <c r="Q819">
        <f>IF(PQ_Cleansing!L819="Excellent", P819 * 0.1, IF(PQ_Cleansing!L819="Good", P819 * 0.05, IF(PQ_Cleansing!L819="Average", P819 * 0.02, IF(PQ_Cleansing!L819="Poor", 0, 0))))</f>
        <v>0</v>
      </c>
      <c r="R819">
        <f>IFERROR(VALUE(SUBSTITUTE(SUBSTITUTE(PQ_Cleansing!I819, "$", ""), ",", "")), "")</f>
        <v>56337.31</v>
      </c>
    </row>
    <row r="820" spans="1:18" x14ac:dyDescent="0.25">
      <c r="A820" t="str">
        <f>PROPER(TRIM(CLEAN(RAW_DATA!A820)))</f>
        <v>Emp1818</v>
      </c>
      <c r="B820" t="str">
        <f>RAW_DATA!B820</f>
        <v>Alice</v>
      </c>
      <c r="C820" t="str">
        <f>RAW_DATA!C820</f>
        <v>Brown</v>
      </c>
      <c r="D820">
        <f>RAW_DATA!D820</f>
        <v>30</v>
      </c>
      <c r="E820" t="str">
        <f>RAW_DATA!E820</f>
        <v>DevOps-New York</v>
      </c>
      <c r="F820" t="str">
        <f t="shared" si="36"/>
        <v>DevOps</v>
      </c>
      <c r="G820" t="str">
        <f t="shared" si="37"/>
        <v>New York</v>
      </c>
      <c r="P820">
        <f t="shared" si="38"/>
        <v>70405.23</v>
      </c>
      <c r="Q820">
        <f>IF(PQ_Cleansing!L820="Excellent", P820 * 0.1, IF(PQ_Cleansing!L820="Good", P820 * 0.05, IF(PQ_Cleansing!L820="Average", P820 * 0.02, IF(PQ_Cleansing!L820="Poor", 0, 0))))</f>
        <v>0</v>
      </c>
      <c r="R820">
        <f>IFERROR(VALUE(SUBSTITUTE(SUBSTITUTE(PQ_Cleansing!I820, "$", ""), ",", "")), "")</f>
        <v>70405.23</v>
      </c>
    </row>
    <row r="821" spans="1:18" x14ac:dyDescent="0.25">
      <c r="A821" t="str">
        <f>PROPER(TRIM(CLEAN(RAW_DATA!A821)))</f>
        <v>Emp1819</v>
      </c>
      <c r="B821" t="str">
        <f>RAW_DATA!B821</f>
        <v>Heidi</v>
      </c>
      <c r="C821" t="str">
        <f>RAW_DATA!C821</f>
        <v>Smith</v>
      </c>
      <c r="D821">
        <f>RAW_DATA!D821</f>
        <v>30</v>
      </c>
      <c r="E821" t="str">
        <f>RAW_DATA!E821</f>
        <v>Admin-Nevada</v>
      </c>
      <c r="F821" t="str">
        <f t="shared" si="36"/>
        <v>Admin</v>
      </c>
      <c r="G821" t="str">
        <f t="shared" si="37"/>
        <v>Nevada</v>
      </c>
      <c r="P821">
        <f t="shared" si="38"/>
        <v>89919.35</v>
      </c>
      <c r="Q821">
        <f>IF(PQ_Cleansing!L821="Excellent", P821 * 0.1, IF(PQ_Cleansing!L821="Good", P821 * 0.05, IF(PQ_Cleansing!L821="Average", P821 * 0.02, IF(PQ_Cleansing!L821="Poor", 0, 0))))</f>
        <v>8991.9350000000013</v>
      </c>
      <c r="R821">
        <f>IFERROR(VALUE(SUBSTITUTE(SUBSTITUTE(PQ_Cleansing!I821, "$", ""), ",", "")), "")</f>
        <v>89919.35</v>
      </c>
    </row>
    <row r="822" spans="1:18" x14ac:dyDescent="0.25">
      <c r="A822" t="str">
        <f>PROPER(TRIM(CLEAN(RAW_DATA!A822)))</f>
        <v>Emp1820</v>
      </c>
      <c r="B822" t="str">
        <f>RAW_DATA!B822</f>
        <v>Eva</v>
      </c>
      <c r="C822" t="str">
        <f>RAW_DATA!C822</f>
        <v>Davis</v>
      </c>
      <c r="D822">
        <f>RAW_DATA!D822</f>
        <v>40</v>
      </c>
      <c r="E822" t="str">
        <f>RAW_DATA!E822</f>
        <v>DevOps-California</v>
      </c>
      <c r="F822" t="str">
        <f t="shared" si="36"/>
        <v>DevOps</v>
      </c>
      <c r="G822" t="str">
        <f t="shared" si="37"/>
        <v>California</v>
      </c>
      <c r="P822">
        <f t="shared" si="38"/>
        <v>50568.35</v>
      </c>
      <c r="Q822">
        <f>IF(PQ_Cleansing!L822="Excellent", P822 * 0.1, IF(PQ_Cleansing!L822="Good", P822 * 0.05, IF(PQ_Cleansing!L822="Average", P822 * 0.02, IF(PQ_Cleansing!L822="Poor", 0, 0))))</f>
        <v>2528.4175</v>
      </c>
      <c r="R822">
        <f>IFERROR(VALUE(SUBSTITUTE(SUBSTITUTE(PQ_Cleansing!I822, "$", ""), ",", "")), "")</f>
        <v>50568.35</v>
      </c>
    </row>
    <row r="823" spans="1:18" x14ac:dyDescent="0.25">
      <c r="A823" t="str">
        <f>PROPER(TRIM(CLEAN(RAW_DATA!A823)))</f>
        <v>Emp1821</v>
      </c>
      <c r="B823" t="str">
        <f>RAW_DATA!B823</f>
        <v>Grace</v>
      </c>
      <c r="C823" t="str">
        <f>RAW_DATA!C823</f>
        <v>Brown</v>
      </c>
      <c r="D823">
        <f>RAW_DATA!D823</f>
        <v>30</v>
      </c>
      <c r="E823" t="str">
        <f>RAW_DATA!E823</f>
        <v>HR-Texas</v>
      </c>
      <c r="F823" t="str">
        <f t="shared" si="36"/>
        <v>HR</v>
      </c>
      <c r="G823" t="str">
        <f t="shared" si="37"/>
        <v>Texas</v>
      </c>
      <c r="P823">
        <f t="shared" si="38"/>
        <v>85268.279969293711</v>
      </c>
      <c r="Q823">
        <f>IF(PQ_Cleansing!L823="Excellent", P823 * 0.1, IF(PQ_Cleansing!L823="Good", P823 * 0.05, IF(PQ_Cleansing!L823="Average", P823 * 0.02, IF(PQ_Cleansing!L823="Poor", 0, 0))))</f>
        <v>4263.4139984646854</v>
      </c>
      <c r="R823" t="str">
        <f>IFERROR(VALUE(SUBSTITUTE(SUBSTITUTE(PQ_Cleansing!I823, "$", ""), ",", "")), "")</f>
        <v/>
      </c>
    </row>
    <row r="824" spans="1:18" x14ac:dyDescent="0.25">
      <c r="A824" t="str">
        <f>PROPER(TRIM(CLEAN(RAW_DATA!A824)))</f>
        <v>Emp1822</v>
      </c>
      <c r="B824" t="str">
        <f>RAW_DATA!B824</f>
        <v>Frank</v>
      </c>
      <c r="C824" t="str">
        <f>RAW_DATA!C824</f>
        <v>Miller</v>
      </c>
      <c r="D824">
        <f>RAW_DATA!D824</f>
        <v>25</v>
      </c>
      <c r="E824" t="str">
        <f>RAW_DATA!E824</f>
        <v>HR-Texas</v>
      </c>
      <c r="F824" t="str">
        <f t="shared" si="36"/>
        <v>HR</v>
      </c>
      <c r="G824" t="str">
        <f t="shared" si="37"/>
        <v>Texas</v>
      </c>
      <c r="P824">
        <f t="shared" si="38"/>
        <v>99155.53</v>
      </c>
      <c r="Q824">
        <f>IF(PQ_Cleansing!L824="Excellent", P824 * 0.1, IF(PQ_Cleansing!L824="Good", P824 * 0.05, IF(PQ_Cleansing!L824="Average", P824 * 0.02, IF(PQ_Cleansing!L824="Poor", 0, 0))))</f>
        <v>0</v>
      </c>
      <c r="R824">
        <f>IFERROR(VALUE(SUBSTITUTE(SUBSTITUTE(PQ_Cleansing!I824, "$", ""), ",", "")), "")</f>
        <v>99155.53</v>
      </c>
    </row>
    <row r="825" spans="1:18" x14ac:dyDescent="0.25">
      <c r="A825" t="str">
        <f>PROPER(TRIM(CLEAN(RAW_DATA!A825)))</f>
        <v>Emp1823</v>
      </c>
      <c r="B825" t="str">
        <f>RAW_DATA!B825</f>
        <v>Frank</v>
      </c>
      <c r="C825" t="str">
        <f>RAW_DATA!C825</f>
        <v>Davis</v>
      </c>
      <c r="D825">
        <f>RAW_DATA!D825</f>
        <v>40</v>
      </c>
      <c r="E825" t="str">
        <f>RAW_DATA!E825</f>
        <v>Finance-Florida</v>
      </c>
      <c r="F825" t="str">
        <f t="shared" si="36"/>
        <v>Finance</v>
      </c>
      <c r="G825" t="str">
        <f t="shared" si="37"/>
        <v>Florida</v>
      </c>
      <c r="P825">
        <f t="shared" si="38"/>
        <v>64785.13</v>
      </c>
      <c r="Q825">
        <f>IF(PQ_Cleansing!L825="Excellent", P825 * 0.1, IF(PQ_Cleansing!L825="Good", P825 * 0.05, IF(PQ_Cleansing!L825="Average", P825 * 0.02, IF(PQ_Cleansing!L825="Poor", 0, 0))))</f>
        <v>1295.7026000000001</v>
      </c>
      <c r="R825">
        <f>IFERROR(VALUE(SUBSTITUTE(SUBSTITUTE(PQ_Cleansing!I825, "$", ""), ",", "")), "")</f>
        <v>64785.13</v>
      </c>
    </row>
    <row r="826" spans="1:18" x14ac:dyDescent="0.25">
      <c r="A826" t="str">
        <f>PROPER(TRIM(CLEAN(RAW_DATA!A826)))</f>
        <v>Emp1824</v>
      </c>
      <c r="B826" t="str">
        <f>RAW_DATA!B826</f>
        <v>Charlie</v>
      </c>
      <c r="C826" t="str">
        <f>RAW_DATA!C826</f>
        <v>Garcia</v>
      </c>
      <c r="D826">
        <f>RAW_DATA!D826</f>
        <v>30</v>
      </c>
      <c r="E826" t="str">
        <f>RAW_DATA!E826</f>
        <v>Sales-Florida</v>
      </c>
      <c r="F826" t="str">
        <f t="shared" si="36"/>
        <v>Sales</v>
      </c>
      <c r="G826" t="str">
        <f t="shared" si="37"/>
        <v>Florida</v>
      </c>
      <c r="P826">
        <f t="shared" si="38"/>
        <v>79206.48</v>
      </c>
      <c r="Q826">
        <f>IF(PQ_Cleansing!L826="Excellent", P826 * 0.1, IF(PQ_Cleansing!L826="Good", P826 * 0.05, IF(PQ_Cleansing!L826="Average", P826 * 0.02, IF(PQ_Cleansing!L826="Poor", 0, 0))))</f>
        <v>3960.3240000000001</v>
      </c>
      <c r="R826">
        <f>IFERROR(VALUE(SUBSTITUTE(SUBSTITUTE(PQ_Cleansing!I826, "$", ""), ",", "")), "")</f>
        <v>79206.48</v>
      </c>
    </row>
    <row r="827" spans="1:18" x14ac:dyDescent="0.25">
      <c r="A827" t="str">
        <f>PROPER(TRIM(CLEAN(RAW_DATA!A827)))</f>
        <v>Emp1825</v>
      </c>
      <c r="B827" t="str">
        <f>RAW_DATA!B827</f>
        <v>Charlie</v>
      </c>
      <c r="C827" t="str">
        <f>RAW_DATA!C827</f>
        <v>Brown</v>
      </c>
      <c r="D827">
        <f>RAW_DATA!D827</f>
        <v>30</v>
      </c>
      <c r="E827" t="str">
        <f>RAW_DATA!E827</f>
        <v>Cloud Tech-Texas</v>
      </c>
      <c r="F827" t="str">
        <f t="shared" si="36"/>
        <v>Cloud Tech</v>
      </c>
      <c r="G827" t="str">
        <f t="shared" si="37"/>
        <v>Texas</v>
      </c>
      <c r="P827">
        <f t="shared" si="38"/>
        <v>60079.71</v>
      </c>
      <c r="Q827">
        <f>IF(PQ_Cleansing!L827="Excellent", P827 * 0.1, IF(PQ_Cleansing!L827="Good", P827 * 0.05, IF(PQ_Cleansing!L827="Average", P827 * 0.02, IF(PQ_Cleansing!L827="Poor", 0, 0))))</f>
        <v>1201.5942</v>
      </c>
      <c r="R827">
        <f>IFERROR(VALUE(SUBSTITUTE(SUBSTITUTE(PQ_Cleansing!I827, "$", ""), ",", "")), "")</f>
        <v>60079.71</v>
      </c>
    </row>
    <row r="828" spans="1:18" x14ac:dyDescent="0.25">
      <c r="A828" t="str">
        <f>PROPER(TRIM(CLEAN(RAW_DATA!A828)))</f>
        <v>Emp1826</v>
      </c>
      <c r="B828" t="str">
        <f>RAW_DATA!B828</f>
        <v>Grace</v>
      </c>
      <c r="C828" t="str">
        <f>RAW_DATA!C828</f>
        <v>Williams</v>
      </c>
      <c r="D828">
        <f>RAW_DATA!D828</f>
        <v>30</v>
      </c>
      <c r="E828" t="str">
        <f>RAW_DATA!E828</f>
        <v>Cloud Tech-New York</v>
      </c>
      <c r="F828" t="str">
        <f t="shared" si="36"/>
        <v>Cloud Tech</v>
      </c>
      <c r="G828" t="str">
        <f t="shared" si="37"/>
        <v>New York</v>
      </c>
      <c r="P828">
        <f t="shared" si="38"/>
        <v>79109.88</v>
      </c>
      <c r="Q828">
        <f>IF(PQ_Cleansing!L828="Excellent", P828 * 0.1, IF(PQ_Cleansing!L828="Good", P828 * 0.05, IF(PQ_Cleansing!L828="Average", P828 * 0.02, IF(PQ_Cleansing!L828="Poor", 0, 0))))</f>
        <v>0</v>
      </c>
      <c r="R828">
        <f>IFERROR(VALUE(SUBSTITUTE(SUBSTITUTE(PQ_Cleansing!I828, "$", ""), ",", "")), "")</f>
        <v>79109.88</v>
      </c>
    </row>
    <row r="829" spans="1:18" x14ac:dyDescent="0.25">
      <c r="A829" t="str">
        <f>PROPER(TRIM(CLEAN(RAW_DATA!A829)))</f>
        <v>Emp1827</v>
      </c>
      <c r="B829" t="str">
        <f>RAW_DATA!B829</f>
        <v>Grace</v>
      </c>
      <c r="C829" t="str">
        <f>RAW_DATA!C829</f>
        <v>Johnson</v>
      </c>
      <c r="D829">
        <f>RAW_DATA!D829</f>
        <v>0</v>
      </c>
      <c r="E829" t="str">
        <f>RAW_DATA!E829</f>
        <v>Admin-Florida</v>
      </c>
      <c r="F829" t="str">
        <f t="shared" si="36"/>
        <v>Admin</v>
      </c>
      <c r="G829" t="str">
        <f t="shared" si="37"/>
        <v>Florida</v>
      </c>
      <c r="P829">
        <f t="shared" si="38"/>
        <v>88643.5</v>
      </c>
      <c r="Q829">
        <f>IF(PQ_Cleansing!L829="Excellent", P829 * 0.1, IF(PQ_Cleansing!L829="Good", P829 * 0.05, IF(PQ_Cleansing!L829="Average", P829 * 0.02, IF(PQ_Cleansing!L829="Poor", 0, 0))))</f>
        <v>0</v>
      </c>
      <c r="R829">
        <f>IFERROR(VALUE(SUBSTITUTE(SUBSTITUTE(PQ_Cleansing!I829, "$", ""), ",", "")), "")</f>
        <v>88643.5</v>
      </c>
    </row>
    <row r="830" spans="1:18" x14ac:dyDescent="0.25">
      <c r="A830" t="str">
        <f>PROPER(TRIM(CLEAN(RAW_DATA!A830)))</f>
        <v>Emp1828</v>
      </c>
      <c r="B830" t="str">
        <f>RAW_DATA!B830</f>
        <v>Frank</v>
      </c>
      <c r="C830" t="str">
        <f>RAW_DATA!C830</f>
        <v>Davis</v>
      </c>
      <c r="D830">
        <f>RAW_DATA!D830</f>
        <v>30</v>
      </c>
      <c r="E830" t="str">
        <f>RAW_DATA!E830</f>
        <v>Admin-Florida</v>
      </c>
      <c r="F830" t="str">
        <f t="shared" si="36"/>
        <v>Admin</v>
      </c>
      <c r="G830" t="str">
        <f t="shared" si="37"/>
        <v>Florida</v>
      </c>
      <c r="P830">
        <f t="shared" si="38"/>
        <v>90455.7</v>
      </c>
      <c r="Q830">
        <f>IF(PQ_Cleansing!L830="Excellent", P830 * 0.1, IF(PQ_Cleansing!L830="Good", P830 * 0.05, IF(PQ_Cleansing!L830="Average", P830 * 0.02, IF(PQ_Cleansing!L830="Poor", 0, 0))))</f>
        <v>9045.57</v>
      </c>
      <c r="R830">
        <f>IFERROR(VALUE(SUBSTITUTE(SUBSTITUTE(PQ_Cleansing!I830, "$", ""), ",", "")), "")</f>
        <v>90455.7</v>
      </c>
    </row>
    <row r="831" spans="1:18" x14ac:dyDescent="0.25">
      <c r="A831" t="str">
        <f>PROPER(TRIM(CLEAN(RAW_DATA!A831)))</f>
        <v>Emp1829</v>
      </c>
      <c r="B831" t="str">
        <f>RAW_DATA!B831</f>
        <v>David</v>
      </c>
      <c r="C831" t="str">
        <f>RAW_DATA!C831</f>
        <v>Garcia</v>
      </c>
      <c r="D831">
        <f>RAW_DATA!D831</f>
        <v>0</v>
      </c>
      <c r="E831" t="str">
        <f>RAW_DATA!E831</f>
        <v>HR-Florida</v>
      </c>
      <c r="F831" t="str">
        <f t="shared" si="36"/>
        <v>HR</v>
      </c>
      <c r="G831" t="str">
        <f t="shared" si="37"/>
        <v>Florida</v>
      </c>
      <c r="P831">
        <f t="shared" si="38"/>
        <v>75687.899999999994</v>
      </c>
      <c r="Q831">
        <f>IF(PQ_Cleansing!L831="Excellent", P831 * 0.1, IF(PQ_Cleansing!L831="Good", P831 * 0.05, IF(PQ_Cleansing!L831="Average", P831 * 0.02, IF(PQ_Cleansing!L831="Poor", 0, 0))))</f>
        <v>3784.395</v>
      </c>
      <c r="R831">
        <f>IFERROR(VALUE(SUBSTITUTE(SUBSTITUTE(PQ_Cleansing!I831, "$", ""), ",", "")), "")</f>
        <v>75687.899999999994</v>
      </c>
    </row>
    <row r="832" spans="1:18" x14ac:dyDescent="0.25">
      <c r="A832" t="str">
        <f>PROPER(TRIM(CLEAN(RAW_DATA!A832)))</f>
        <v>Emp1830</v>
      </c>
      <c r="B832" t="str">
        <f>RAW_DATA!B832</f>
        <v>Heidi</v>
      </c>
      <c r="C832" t="str">
        <f>RAW_DATA!C832</f>
        <v>Jones</v>
      </c>
      <c r="D832">
        <f>RAW_DATA!D832</f>
        <v>35</v>
      </c>
      <c r="E832" t="str">
        <f>RAW_DATA!E832</f>
        <v>Cloud Tech-Illinois</v>
      </c>
      <c r="F832" t="str">
        <f t="shared" si="36"/>
        <v>Cloud Tech</v>
      </c>
      <c r="G832" t="str">
        <f t="shared" si="37"/>
        <v>Illinois</v>
      </c>
      <c r="P832">
        <f t="shared" si="38"/>
        <v>55604.42</v>
      </c>
      <c r="Q832">
        <f>IF(PQ_Cleansing!L832="Excellent", P832 * 0.1, IF(PQ_Cleansing!L832="Good", P832 * 0.05, IF(PQ_Cleansing!L832="Average", P832 * 0.02, IF(PQ_Cleansing!L832="Poor", 0, 0))))</f>
        <v>1112.0884000000001</v>
      </c>
      <c r="R832">
        <f>IFERROR(VALUE(SUBSTITUTE(SUBSTITUTE(PQ_Cleansing!I832, "$", ""), ",", "")), "")</f>
        <v>55604.42</v>
      </c>
    </row>
    <row r="833" spans="1:18" x14ac:dyDescent="0.25">
      <c r="A833" t="str">
        <f>PROPER(TRIM(CLEAN(RAW_DATA!A833)))</f>
        <v>Emp1831</v>
      </c>
      <c r="B833" t="str">
        <f>RAW_DATA!B833</f>
        <v>Eva</v>
      </c>
      <c r="C833" t="str">
        <f>RAW_DATA!C833</f>
        <v>Jones</v>
      </c>
      <c r="D833">
        <f>RAW_DATA!D833</f>
        <v>40</v>
      </c>
      <c r="E833" t="str">
        <f>RAW_DATA!E833</f>
        <v>Sales-Texas</v>
      </c>
      <c r="F833" t="str">
        <f t="shared" si="36"/>
        <v>Sales</v>
      </c>
      <c r="G833" t="str">
        <f t="shared" si="37"/>
        <v>Texas</v>
      </c>
      <c r="P833">
        <f t="shared" si="38"/>
        <v>92704.94</v>
      </c>
      <c r="Q833">
        <f>IF(PQ_Cleansing!L833="Excellent", P833 * 0.1, IF(PQ_Cleansing!L833="Good", P833 * 0.05, IF(PQ_Cleansing!L833="Average", P833 * 0.02, IF(PQ_Cleansing!L833="Poor", 0, 0))))</f>
        <v>9270.4940000000006</v>
      </c>
      <c r="R833">
        <f>IFERROR(VALUE(SUBSTITUTE(SUBSTITUTE(PQ_Cleansing!I833, "$", ""), ",", "")), "")</f>
        <v>92704.94</v>
      </c>
    </row>
    <row r="834" spans="1:18" x14ac:dyDescent="0.25">
      <c r="A834" t="str">
        <f>PROPER(TRIM(CLEAN(RAW_DATA!A834)))</f>
        <v>Emp1832</v>
      </c>
      <c r="B834" t="str">
        <f>RAW_DATA!B834</f>
        <v>Bob</v>
      </c>
      <c r="C834" t="str">
        <f>RAW_DATA!C834</f>
        <v>Williams</v>
      </c>
      <c r="D834">
        <f>RAW_DATA!D834</f>
        <v>0</v>
      </c>
      <c r="E834" t="str">
        <f>RAW_DATA!E834</f>
        <v>Sales-California</v>
      </c>
      <c r="F834" t="str">
        <f t="shared" si="36"/>
        <v>Sales</v>
      </c>
      <c r="G834" t="str">
        <f t="shared" si="37"/>
        <v>California</v>
      </c>
      <c r="P834">
        <f t="shared" si="38"/>
        <v>113250.97</v>
      </c>
      <c r="Q834">
        <f>IF(PQ_Cleansing!L834="Excellent", P834 * 0.1, IF(PQ_Cleansing!L834="Good", P834 * 0.05, IF(PQ_Cleansing!L834="Average", P834 * 0.02, IF(PQ_Cleansing!L834="Poor", 0, 0))))</f>
        <v>5662.5485000000008</v>
      </c>
      <c r="R834">
        <f>IFERROR(VALUE(SUBSTITUTE(SUBSTITUTE(PQ_Cleansing!I834, "$", ""), ",", "")), "")</f>
        <v>113250.97</v>
      </c>
    </row>
    <row r="835" spans="1:18" x14ac:dyDescent="0.25">
      <c r="A835" t="str">
        <f>PROPER(TRIM(CLEAN(RAW_DATA!A835)))</f>
        <v>Emp1833</v>
      </c>
      <c r="B835" t="str">
        <f>RAW_DATA!B835</f>
        <v>Alice</v>
      </c>
      <c r="C835" t="str">
        <f>RAW_DATA!C835</f>
        <v>Brown</v>
      </c>
      <c r="D835">
        <f>RAW_DATA!D835</f>
        <v>40</v>
      </c>
      <c r="E835" t="str">
        <f>RAW_DATA!E835</f>
        <v>Finance-Illinois</v>
      </c>
      <c r="F835" t="str">
        <f t="shared" ref="F835:F898" si="39">LEFT(E835, FIND("-", E835) - 1)</f>
        <v>Finance</v>
      </c>
      <c r="G835" t="str">
        <f t="shared" ref="G835:G898" si="40">RIGHT(E835, LEN(E835) - FIND("-",E835))</f>
        <v>Illinois</v>
      </c>
      <c r="P835">
        <f t="shared" ref="P835:P898" si="41">IF(ISNUMBER(R835), R835, AVERAGEIF($R$2:$R$1000, "&gt;0"))</f>
        <v>101367.02</v>
      </c>
      <c r="Q835">
        <f>IF(PQ_Cleansing!L835="Excellent", P835 * 0.1, IF(PQ_Cleansing!L835="Good", P835 * 0.05, IF(PQ_Cleansing!L835="Average", P835 * 0.02, IF(PQ_Cleansing!L835="Poor", 0, 0))))</f>
        <v>10136.702000000001</v>
      </c>
      <c r="R835">
        <f>IFERROR(VALUE(SUBSTITUTE(SUBSTITUTE(PQ_Cleansing!I835, "$", ""), ",", "")), "")</f>
        <v>101367.02</v>
      </c>
    </row>
    <row r="836" spans="1:18" x14ac:dyDescent="0.25">
      <c r="A836" t="str">
        <f>PROPER(TRIM(CLEAN(RAW_DATA!A836)))</f>
        <v>Emp1834</v>
      </c>
      <c r="B836" t="str">
        <f>RAW_DATA!B836</f>
        <v>Eva</v>
      </c>
      <c r="C836" t="str">
        <f>RAW_DATA!C836</f>
        <v>Smith</v>
      </c>
      <c r="D836">
        <f>RAW_DATA!D836</f>
        <v>35</v>
      </c>
      <c r="E836" t="str">
        <f>RAW_DATA!E836</f>
        <v>Admin-Texas</v>
      </c>
      <c r="F836" t="str">
        <f t="shared" si="39"/>
        <v>Admin</v>
      </c>
      <c r="G836" t="str">
        <f t="shared" si="40"/>
        <v>Texas</v>
      </c>
      <c r="P836">
        <f t="shared" si="41"/>
        <v>102459.77</v>
      </c>
      <c r="Q836">
        <f>IF(PQ_Cleansing!L836="Excellent", P836 * 0.1, IF(PQ_Cleansing!L836="Good", P836 * 0.05, IF(PQ_Cleansing!L836="Average", P836 * 0.02, IF(PQ_Cleansing!L836="Poor", 0, 0))))</f>
        <v>0</v>
      </c>
      <c r="R836">
        <f>IFERROR(VALUE(SUBSTITUTE(SUBSTITUTE(PQ_Cleansing!I836, "$", ""), ",", "")), "")</f>
        <v>102459.77</v>
      </c>
    </row>
    <row r="837" spans="1:18" x14ac:dyDescent="0.25">
      <c r="A837" t="str">
        <f>PROPER(TRIM(CLEAN(RAW_DATA!A837)))</f>
        <v>Emp1835</v>
      </c>
      <c r="B837" t="str">
        <f>RAW_DATA!B837</f>
        <v>Eva</v>
      </c>
      <c r="C837" t="str">
        <f>RAW_DATA!C837</f>
        <v>Brown</v>
      </c>
      <c r="D837">
        <f>RAW_DATA!D837</f>
        <v>25</v>
      </c>
      <c r="E837" t="str">
        <f>RAW_DATA!E837</f>
        <v>DevOps-Florida</v>
      </c>
      <c r="F837" t="str">
        <f t="shared" si="39"/>
        <v>DevOps</v>
      </c>
      <c r="G837" t="str">
        <f t="shared" si="40"/>
        <v>Florida</v>
      </c>
      <c r="P837">
        <f t="shared" si="41"/>
        <v>90100.2</v>
      </c>
      <c r="Q837">
        <f>IF(PQ_Cleansing!L837="Excellent", P837 * 0.1, IF(PQ_Cleansing!L837="Good", P837 * 0.05, IF(PQ_Cleansing!L837="Average", P837 * 0.02, IF(PQ_Cleansing!L837="Poor", 0, 0))))</f>
        <v>4505.01</v>
      </c>
      <c r="R837">
        <f>IFERROR(VALUE(SUBSTITUTE(SUBSTITUTE(PQ_Cleansing!I837, "$", ""), ",", "")), "")</f>
        <v>90100.2</v>
      </c>
    </row>
    <row r="838" spans="1:18" x14ac:dyDescent="0.25">
      <c r="A838" t="str">
        <f>PROPER(TRIM(CLEAN(RAW_DATA!A838)))</f>
        <v>Emp1836</v>
      </c>
      <c r="B838" t="str">
        <f>RAW_DATA!B838</f>
        <v>Eva</v>
      </c>
      <c r="C838" t="str">
        <f>RAW_DATA!C838</f>
        <v>Williams</v>
      </c>
      <c r="D838">
        <f>RAW_DATA!D838</f>
        <v>0</v>
      </c>
      <c r="E838" t="str">
        <f>RAW_DATA!E838</f>
        <v>Cloud Tech-California</v>
      </c>
      <c r="F838" t="str">
        <f t="shared" si="39"/>
        <v>Cloud Tech</v>
      </c>
      <c r="G838" t="str">
        <f t="shared" si="40"/>
        <v>California</v>
      </c>
      <c r="P838">
        <f t="shared" si="41"/>
        <v>58877.49</v>
      </c>
      <c r="Q838">
        <f>IF(PQ_Cleansing!L838="Excellent", P838 * 0.1, IF(PQ_Cleansing!L838="Good", P838 * 0.05, IF(PQ_Cleansing!L838="Average", P838 * 0.02, IF(PQ_Cleansing!L838="Poor", 0, 0))))</f>
        <v>5887.7489999999998</v>
      </c>
      <c r="R838">
        <f>IFERROR(VALUE(SUBSTITUTE(SUBSTITUTE(PQ_Cleansing!I838, "$", ""), ",", "")), "")</f>
        <v>58877.49</v>
      </c>
    </row>
    <row r="839" spans="1:18" x14ac:dyDescent="0.25">
      <c r="A839" t="str">
        <f>PROPER(TRIM(CLEAN(RAW_DATA!A839)))</f>
        <v>Emp1837</v>
      </c>
      <c r="B839" t="str">
        <f>RAW_DATA!B839</f>
        <v>Eva</v>
      </c>
      <c r="C839" t="str">
        <f>RAW_DATA!C839</f>
        <v>Jones</v>
      </c>
      <c r="D839">
        <f>RAW_DATA!D839</f>
        <v>35</v>
      </c>
      <c r="E839" t="str">
        <f>RAW_DATA!E839</f>
        <v>Admin-Illinois</v>
      </c>
      <c r="F839" t="str">
        <f t="shared" si="39"/>
        <v>Admin</v>
      </c>
      <c r="G839" t="str">
        <f t="shared" si="40"/>
        <v>Illinois</v>
      </c>
      <c r="P839">
        <f t="shared" si="41"/>
        <v>85268.279969293711</v>
      </c>
      <c r="Q839">
        <f>IF(PQ_Cleansing!L839="Excellent", P839 * 0.1, IF(PQ_Cleansing!L839="Good", P839 * 0.05, IF(PQ_Cleansing!L839="Average", P839 * 0.02, IF(PQ_Cleansing!L839="Poor", 0, 0))))</f>
        <v>8526.8279969293708</v>
      </c>
      <c r="R839" t="str">
        <f>IFERROR(VALUE(SUBSTITUTE(SUBSTITUTE(PQ_Cleansing!I839, "$", ""), ",", "")), "")</f>
        <v/>
      </c>
    </row>
    <row r="840" spans="1:18" x14ac:dyDescent="0.25">
      <c r="A840" t="str">
        <f>PROPER(TRIM(CLEAN(RAW_DATA!A840)))</f>
        <v>Emp1838</v>
      </c>
      <c r="B840" t="str">
        <f>RAW_DATA!B840</f>
        <v>Bob</v>
      </c>
      <c r="C840" t="str">
        <f>RAW_DATA!C840</f>
        <v>Brown</v>
      </c>
      <c r="D840">
        <f>RAW_DATA!D840</f>
        <v>0</v>
      </c>
      <c r="E840" t="str">
        <f>RAW_DATA!E840</f>
        <v>Admin-Illinois</v>
      </c>
      <c r="F840" t="str">
        <f t="shared" si="39"/>
        <v>Admin</v>
      </c>
      <c r="G840" t="str">
        <f t="shared" si="40"/>
        <v>Illinois</v>
      </c>
      <c r="P840">
        <f t="shared" si="41"/>
        <v>96140.89</v>
      </c>
      <c r="Q840">
        <f>IF(PQ_Cleansing!L840="Excellent", P840 * 0.1, IF(PQ_Cleansing!L840="Good", P840 * 0.05, IF(PQ_Cleansing!L840="Average", P840 * 0.02, IF(PQ_Cleansing!L840="Poor", 0, 0))))</f>
        <v>1922.8178</v>
      </c>
      <c r="R840">
        <f>IFERROR(VALUE(SUBSTITUTE(SUBSTITUTE(PQ_Cleansing!I840, "$", ""), ",", "")), "")</f>
        <v>96140.89</v>
      </c>
    </row>
    <row r="841" spans="1:18" x14ac:dyDescent="0.25">
      <c r="A841" t="str">
        <f>PROPER(TRIM(CLEAN(RAW_DATA!A841)))</f>
        <v>Emp1839</v>
      </c>
      <c r="B841" t="str">
        <f>RAW_DATA!B841</f>
        <v>Charlie</v>
      </c>
      <c r="C841" t="str">
        <f>RAW_DATA!C841</f>
        <v>Jones</v>
      </c>
      <c r="D841">
        <f>RAW_DATA!D841</f>
        <v>35</v>
      </c>
      <c r="E841" t="str">
        <f>RAW_DATA!E841</f>
        <v>DevOps-New York</v>
      </c>
      <c r="F841" t="str">
        <f t="shared" si="39"/>
        <v>DevOps</v>
      </c>
      <c r="G841" t="str">
        <f t="shared" si="40"/>
        <v>New York</v>
      </c>
      <c r="P841">
        <f t="shared" si="41"/>
        <v>105956.04</v>
      </c>
      <c r="Q841">
        <f>IF(PQ_Cleansing!L841="Excellent", P841 * 0.1, IF(PQ_Cleansing!L841="Good", P841 * 0.05, IF(PQ_Cleansing!L841="Average", P841 * 0.02, IF(PQ_Cleansing!L841="Poor", 0, 0))))</f>
        <v>10595.603999999999</v>
      </c>
      <c r="R841">
        <f>IFERROR(VALUE(SUBSTITUTE(SUBSTITUTE(PQ_Cleansing!I841, "$", ""), ",", "")), "")</f>
        <v>105956.04</v>
      </c>
    </row>
    <row r="842" spans="1:18" x14ac:dyDescent="0.25">
      <c r="A842" t="str">
        <f>PROPER(TRIM(CLEAN(RAW_DATA!A842)))</f>
        <v>Emp1840</v>
      </c>
      <c r="B842" t="str">
        <f>RAW_DATA!B842</f>
        <v>Frank</v>
      </c>
      <c r="C842" t="str">
        <f>RAW_DATA!C842</f>
        <v>Davis</v>
      </c>
      <c r="D842">
        <f>RAW_DATA!D842</f>
        <v>25</v>
      </c>
      <c r="E842" t="str">
        <f>RAW_DATA!E842</f>
        <v>Admin-Illinois</v>
      </c>
      <c r="F842" t="str">
        <f t="shared" si="39"/>
        <v>Admin</v>
      </c>
      <c r="G842" t="str">
        <f t="shared" si="40"/>
        <v>Illinois</v>
      </c>
      <c r="P842">
        <f t="shared" si="41"/>
        <v>84716.38</v>
      </c>
      <c r="Q842">
        <f>IF(PQ_Cleansing!L842="Excellent", P842 * 0.1, IF(PQ_Cleansing!L842="Good", P842 * 0.05, IF(PQ_Cleansing!L842="Average", P842 * 0.02, IF(PQ_Cleansing!L842="Poor", 0, 0))))</f>
        <v>4235.8190000000004</v>
      </c>
      <c r="R842">
        <f>IFERROR(VALUE(SUBSTITUTE(SUBSTITUTE(PQ_Cleansing!I842, "$", ""), ",", "")), "")</f>
        <v>84716.38</v>
      </c>
    </row>
    <row r="843" spans="1:18" x14ac:dyDescent="0.25">
      <c r="A843" t="str">
        <f>PROPER(TRIM(CLEAN(RAW_DATA!A843)))</f>
        <v>Emp1841</v>
      </c>
      <c r="B843" t="str">
        <f>RAW_DATA!B843</f>
        <v>Grace</v>
      </c>
      <c r="C843" t="str">
        <f>RAW_DATA!C843</f>
        <v>Garcia</v>
      </c>
      <c r="D843">
        <f>RAW_DATA!D843</f>
        <v>30</v>
      </c>
      <c r="E843" t="str">
        <f>RAW_DATA!E843</f>
        <v>DevOps-Florida</v>
      </c>
      <c r="F843" t="str">
        <f t="shared" si="39"/>
        <v>DevOps</v>
      </c>
      <c r="G843" t="str">
        <f t="shared" si="40"/>
        <v>Florida</v>
      </c>
      <c r="P843">
        <f t="shared" si="41"/>
        <v>61709.83</v>
      </c>
      <c r="Q843">
        <f>IF(PQ_Cleansing!L843="Excellent", P843 * 0.1, IF(PQ_Cleansing!L843="Good", P843 * 0.05, IF(PQ_Cleansing!L843="Average", P843 * 0.02, IF(PQ_Cleansing!L843="Poor", 0, 0))))</f>
        <v>3085.4915000000001</v>
      </c>
      <c r="R843">
        <f>IFERROR(VALUE(SUBSTITUTE(SUBSTITUTE(PQ_Cleansing!I843, "$", ""), ",", "")), "")</f>
        <v>61709.83</v>
      </c>
    </row>
    <row r="844" spans="1:18" x14ac:dyDescent="0.25">
      <c r="A844" t="str">
        <f>PROPER(TRIM(CLEAN(RAW_DATA!A844)))</f>
        <v>Emp1842</v>
      </c>
      <c r="B844" t="str">
        <f>RAW_DATA!B844</f>
        <v>Frank</v>
      </c>
      <c r="C844" t="str">
        <f>RAW_DATA!C844</f>
        <v>Smith</v>
      </c>
      <c r="D844">
        <f>RAW_DATA!D844</f>
        <v>25</v>
      </c>
      <c r="E844" t="str">
        <f>RAW_DATA!E844</f>
        <v>DevOps-California</v>
      </c>
      <c r="F844" t="str">
        <f t="shared" si="39"/>
        <v>DevOps</v>
      </c>
      <c r="G844" t="str">
        <f t="shared" si="40"/>
        <v>California</v>
      </c>
      <c r="P844">
        <f t="shared" si="41"/>
        <v>61732.03</v>
      </c>
      <c r="Q844">
        <f>IF(PQ_Cleansing!L844="Excellent", P844 * 0.1, IF(PQ_Cleansing!L844="Good", P844 * 0.05, IF(PQ_Cleansing!L844="Average", P844 * 0.02, IF(PQ_Cleansing!L844="Poor", 0, 0))))</f>
        <v>1234.6405999999999</v>
      </c>
      <c r="R844">
        <f>IFERROR(VALUE(SUBSTITUTE(SUBSTITUTE(PQ_Cleansing!I844, "$", ""), ",", "")), "")</f>
        <v>61732.03</v>
      </c>
    </row>
    <row r="845" spans="1:18" x14ac:dyDescent="0.25">
      <c r="A845" t="str">
        <f>PROPER(TRIM(CLEAN(RAW_DATA!A845)))</f>
        <v>Emp1843</v>
      </c>
      <c r="B845" t="str">
        <f>RAW_DATA!B845</f>
        <v>Eva</v>
      </c>
      <c r="C845" t="str">
        <f>RAW_DATA!C845</f>
        <v>Davis</v>
      </c>
      <c r="D845">
        <f>RAW_DATA!D845</f>
        <v>40</v>
      </c>
      <c r="E845" t="str">
        <f>RAW_DATA!E845</f>
        <v>DevOps-Illinois</v>
      </c>
      <c r="F845" t="str">
        <f t="shared" si="39"/>
        <v>DevOps</v>
      </c>
      <c r="G845" t="str">
        <f t="shared" si="40"/>
        <v>Illinois</v>
      </c>
      <c r="P845">
        <f t="shared" si="41"/>
        <v>97845.7</v>
      </c>
      <c r="Q845">
        <f>IF(PQ_Cleansing!L845="Excellent", P845 * 0.1, IF(PQ_Cleansing!L845="Good", P845 * 0.05, IF(PQ_Cleansing!L845="Average", P845 * 0.02, IF(PQ_Cleansing!L845="Poor", 0, 0))))</f>
        <v>4892.2849999999999</v>
      </c>
      <c r="R845">
        <f>IFERROR(VALUE(SUBSTITUTE(SUBSTITUTE(PQ_Cleansing!I845, "$", ""), ",", "")), "")</f>
        <v>97845.7</v>
      </c>
    </row>
    <row r="846" spans="1:18" x14ac:dyDescent="0.25">
      <c r="A846" t="str">
        <f>PROPER(TRIM(CLEAN(RAW_DATA!A846)))</f>
        <v>Emp1844</v>
      </c>
      <c r="B846" t="str">
        <f>RAW_DATA!B846</f>
        <v>Eva</v>
      </c>
      <c r="C846" t="str">
        <f>RAW_DATA!C846</f>
        <v>Jones</v>
      </c>
      <c r="D846">
        <f>RAW_DATA!D846</f>
        <v>30</v>
      </c>
      <c r="E846" t="str">
        <f>RAW_DATA!E846</f>
        <v>Sales-Florida</v>
      </c>
      <c r="F846" t="str">
        <f t="shared" si="39"/>
        <v>Sales</v>
      </c>
      <c r="G846" t="str">
        <f t="shared" si="40"/>
        <v>Florida</v>
      </c>
      <c r="P846">
        <f t="shared" si="41"/>
        <v>114905.58</v>
      </c>
      <c r="Q846">
        <f>IF(PQ_Cleansing!L846="Excellent", P846 * 0.1, IF(PQ_Cleansing!L846="Good", P846 * 0.05, IF(PQ_Cleansing!L846="Average", P846 * 0.02, IF(PQ_Cleansing!L846="Poor", 0, 0))))</f>
        <v>0</v>
      </c>
      <c r="R846">
        <f>IFERROR(VALUE(SUBSTITUTE(SUBSTITUTE(PQ_Cleansing!I846, "$", ""), ",", "")), "")</f>
        <v>114905.58</v>
      </c>
    </row>
    <row r="847" spans="1:18" x14ac:dyDescent="0.25">
      <c r="A847" t="str">
        <f>PROPER(TRIM(CLEAN(RAW_DATA!A847)))</f>
        <v>Emp1845</v>
      </c>
      <c r="B847" t="str">
        <f>RAW_DATA!B847</f>
        <v>Frank</v>
      </c>
      <c r="C847" t="str">
        <f>RAW_DATA!C847</f>
        <v>Jones</v>
      </c>
      <c r="D847">
        <f>RAW_DATA!D847</f>
        <v>0</v>
      </c>
      <c r="E847" t="str">
        <f>RAW_DATA!E847</f>
        <v>DevOps-Texas</v>
      </c>
      <c r="F847" t="str">
        <f t="shared" si="39"/>
        <v>DevOps</v>
      </c>
      <c r="G847" t="str">
        <f t="shared" si="40"/>
        <v>Texas</v>
      </c>
      <c r="P847">
        <f t="shared" si="41"/>
        <v>94619.69</v>
      </c>
      <c r="Q847">
        <f>IF(PQ_Cleansing!L847="Excellent", P847 * 0.1, IF(PQ_Cleansing!L847="Good", P847 * 0.05, IF(PQ_Cleansing!L847="Average", P847 * 0.02, IF(PQ_Cleansing!L847="Poor", 0, 0))))</f>
        <v>4730.9845000000005</v>
      </c>
      <c r="R847">
        <f>IFERROR(VALUE(SUBSTITUTE(SUBSTITUTE(PQ_Cleansing!I847, "$", ""), ",", "")), "")</f>
        <v>94619.69</v>
      </c>
    </row>
    <row r="848" spans="1:18" x14ac:dyDescent="0.25">
      <c r="A848" t="str">
        <f>PROPER(TRIM(CLEAN(RAW_DATA!A848)))</f>
        <v>Emp1846</v>
      </c>
      <c r="B848" t="str">
        <f>RAW_DATA!B848</f>
        <v>Grace</v>
      </c>
      <c r="C848" t="str">
        <f>RAW_DATA!C848</f>
        <v>Johnson</v>
      </c>
      <c r="D848">
        <f>RAW_DATA!D848</f>
        <v>0</v>
      </c>
      <c r="E848" t="str">
        <f>RAW_DATA!E848</f>
        <v>DevOps-California</v>
      </c>
      <c r="F848" t="str">
        <f t="shared" si="39"/>
        <v>DevOps</v>
      </c>
      <c r="G848" t="str">
        <f t="shared" si="40"/>
        <v>California</v>
      </c>
      <c r="P848">
        <f t="shared" si="41"/>
        <v>68696.149999999994</v>
      </c>
      <c r="Q848">
        <f>IF(PQ_Cleansing!L848="Excellent", P848 * 0.1, IF(PQ_Cleansing!L848="Good", P848 * 0.05, IF(PQ_Cleansing!L848="Average", P848 * 0.02, IF(PQ_Cleansing!L848="Poor", 0, 0))))</f>
        <v>3434.8074999999999</v>
      </c>
      <c r="R848">
        <f>IFERROR(VALUE(SUBSTITUTE(SUBSTITUTE(PQ_Cleansing!I848, "$", ""), ",", "")), "")</f>
        <v>68696.149999999994</v>
      </c>
    </row>
    <row r="849" spans="1:18" x14ac:dyDescent="0.25">
      <c r="A849" t="str">
        <f>PROPER(TRIM(CLEAN(RAW_DATA!A849)))</f>
        <v>Emp1847</v>
      </c>
      <c r="B849" t="str">
        <f>RAW_DATA!B849</f>
        <v>Grace</v>
      </c>
      <c r="C849" t="str">
        <f>RAW_DATA!C849</f>
        <v>Johnson</v>
      </c>
      <c r="D849">
        <f>RAW_DATA!D849</f>
        <v>40</v>
      </c>
      <c r="E849" t="str">
        <f>RAW_DATA!E849</f>
        <v>DevOps-Nevada</v>
      </c>
      <c r="F849" t="str">
        <f t="shared" si="39"/>
        <v>DevOps</v>
      </c>
      <c r="G849" t="str">
        <f t="shared" si="40"/>
        <v>Nevada</v>
      </c>
      <c r="P849">
        <f t="shared" si="41"/>
        <v>97032.29</v>
      </c>
      <c r="Q849">
        <f>IF(PQ_Cleansing!L849="Excellent", P849 * 0.1, IF(PQ_Cleansing!L849="Good", P849 * 0.05, IF(PQ_Cleansing!L849="Average", P849 * 0.02, IF(PQ_Cleansing!L849="Poor", 0, 0))))</f>
        <v>9703.2289999999994</v>
      </c>
      <c r="R849">
        <f>IFERROR(VALUE(SUBSTITUTE(SUBSTITUTE(PQ_Cleansing!I849, "$", ""), ",", "")), "")</f>
        <v>97032.29</v>
      </c>
    </row>
    <row r="850" spans="1:18" x14ac:dyDescent="0.25">
      <c r="A850" t="str">
        <f>PROPER(TRIM(CLEAN(RAW_DATA!A850)))</f>
        <v>Emp1848</v>
      </c>
      <c r="B850" t="str">
        <f>RAW_DATA!B850</f>
        <v>Frank</v>
      </c>
      <c r="C850" t="str">
        <f>RAW_DATA!C850</f>
        <v>Davis</v>
      </c>
      <c r="D850">
        <f>RAW_DATA!D850</f>
        <v>30</v>
      </c>
      <c r="E850" t="str">
        <f>RAW_DATA!E850</f>
        <v>HR-Illinois</v>
      </c>
      <c r="F850" t="str">
        <f t="shared" si="39"/>
        <v>HR</v>
      </c>
      <c r="G850" t="str">
        <f t="shared" si="40"/>
        <v>Illinois</v>
      </c>
      <c r="P850">
        <f t="shared" si="41"/>
        <v>50593.33</v>
      </c>
      <c r="Q850">
        <f>IF(PQ_Cleansing!L850="Excellent", P850 * 0.1, IF(PQ_Cleansing!L850="Good", P850 * 0.05, IF(PQ_Cleansing!L850="Average", P850 * 0.02, IF(PQ_Cleansing!L850="Poor", 0, 0))))</f>
        <v>5059.3330000000005</v>
      </c>
      <c r="R850">
        <f>IFERROR(VALUE(SUBSTITUTE(SUBSTITUTE(PQ_Cleansing!I850, "$", ""), ",", "")), "")</f>
        <v>50593.33</v>
      </c>
    </row>
    <row r="851" spans="1:18" x14ac:dyDescent="0.25">
      <c r="A851" t="str">
        <f>PROPER(TRIM(CLEAN(RAW_DATA!A851)))</f>
        <v>Emp1849</v>
      </c>
      <c r="B851" t="str">
        <f>RAW_DATA!B851</f>
        <v>Grace</v>
      </c>
      <c r="C851" t="str">
        <f>RAW_DATA!C851</f>
        <v>Miller</v>
      </c>
      <c r="D851">
        <f>RAW_DATA!D851</f>
        <v>25</v>
      </c>
      <c r="E851" t="str">
        <f>RAW_DATA!E851</f>
        <v>Sales-Texas</v>
      </c>
      <c r="F851" t="str">
        <f t="shared" si="39"/>
        <v>Sales</v>
      </c>
      <c r="G851" t="str">
        <f t="shared" si="40"/>
        <v>Texas</v>
      </c>
      <c r="P851">
        <f t="shared" si="41"/>
        <v>74606.149999999994</v>
      </c>
      <c r="Q851">
        <f>IF(PQ_Cleansing!L851="Excellent", P851 * 0.1, IF(PQ_Cleansing!L851="Good", P851 * 0.05, IF(PQ_Cleansing!L851="Average", P851 * 0.02, IF(PQ_Cleansing!L851="Poor", 0, 0))))</f>
        <v>3730.3074999999999</v>
      </c>
      <c r="R851">
        <f>IFERROR(VALUE(SUBSTITUTE(SUBSTITUTE(PQ_Cleansing!I851, "$", ""), ",", "")), "")</f>
        <v>74606.149999999994</v>
      </c>
    </row>
    <row r="852" spans="1:18" x14ac:dyDescent="0.25">
      <c r="A852" t="str">
        <f>PROPER(TRIM(CLEAN(RAW_DATA!A852)))</f>
        <v>Emp1850</v>
      </c>
      <c r="B852" t="str">
        <f>RAW_DATA!B852</f>
        <v>Eva</v>
      </c>
      <c r="C852" t="str">
        <f>RAW_DATA!C852</f>
        <v>Davis</v>
      </c>
      <c r="D852">
        <f>RAW_DATA!D852</f>
        <v>30</v>
      </c>
      <c r="E852" t="str">
        <f>RAW_DATA!E852</f>
        <v>Cloud Tech-Texas</v>
      </c>
      <c r="F852" t="str">
        <f t="shared" si="39"/>
        <v>Cloud Tech</v>
      </c>
      <c r="G852" t="str">
        <f t="shared" si="40"/>
        <v>Texas</v>
      </c>
      <c r="P852">
        <f t="shared" si="41"/>
        <v>53981.73</v>
      </c>
      <c r="Q852">
        <f>IF(PQ_Cleansing!L852="Excellent", P852 * 0.1, IF(PQ_Cleansing!L852="Good", P852 * 0.05, IF(PQ_Cleansing!L852="Average", P852 * 0.02, IF(PQ_Cleansing!L852="Poor", 0, 0))))</f>
        <v>1079.6346000000001</v>
      </c>
      <c r="R852">
        <f>IFERROR(VALUE(SUBSTITUTE(SUBSTITUTE(PQ_Cleansing!I852, "$", ""), ",", "")), "")</f>
        <v>53981.73</v>
      </c>
    </row>
    <row r="853" spans="1:18" x14ac:dyDescent="0.25">
      <c r="A853" t="str">
        <f>PROPER(TRIM(CLEAN(RAW_DATA!A853)))</f>
        <v>Emp1851</v>
      </c>
      <c r="B853" t="str">
        <f>RAW_DATA!B853</f>
        <v>David</v>
      </c>
      <c r="C853" t="str">
        <f>RAW_DATA!C853</f>
        <v>Johnson</v>
      </c>
      <c r="D853">
        <f>RAW_DATA!D853</f>
        <v>0</v>
      </c>
      <c r="E853" t="str">
        <f>RAW_DATA!E853</f>
        <v>DevOps-Texas</v>
      </c>
      <c r="F853" t="str">
        <f t="shared" si="39"/>
        <v>DevOps</v>
      </c>
      <c r="G853" t="str">
        <f t="shared" si="40"/>
        <v>Texas</v>
      </c>
      <c r="P853">
        <f t="shared" si="41"/>
        <v>56047.05</v>
      </c>
      <c r="Q853">
        <f>IF(PQ_Cleansing!L853="Excellent", P853 * 0.1, IF(PQ_Cleansing!L853="Good", P853 * 0.05, IF(PQ_Cleansing!L853="Average", P853 * 0.02, IF(PQ_Cleansing!L853="Poor", 0, 0))))</f>
        <v>5604.7050000000008</v>
      </c>
      <c r="R853">
        <f>IFERROR(VALUE(SUBSTITUTE(SUBSTITUTE(PQ_Cleansing!I853, "$", ""), ",", "")), "")</f>
        <v>56047.05</v>
      </c>
    </row>
    <row r="854" spans="1:18" x14ac:dyDescent="0.25">
      <c r="A854" t="str">
        <f>PROPER(TRIM(CLEAN(RAW_DATA!A854)))</f>
        <v>Emp1852</v>
      </c>
      <c r="B854" t="str">
        <f>RAW_DATA!B854</f>
        <v>Grace</v>
      </c>
      <c r="C854" t="str">
        <f>RAW_DATA!C854</f>
        <v>Jones</v>
      </c>
      <c r="D854">
        <f>RAW_DATA!D854</f>
        <v>0</v>
      </c>
      <c r="E854" t="str">
        <f>RAW_DATA!E854</f>
        <v>Admin-Texas</v>
      </c>
      <c r="F854" t="str">
        <f t="shared" si="39"/>
        <v>Admin</v>
      </c>
      <c r="G854" t="str">
        <f t="shared" si="40"/>
        <v>Texas</v>
      </c>
      <c r="P854">
        <f t="shared" si="41"/>
        <v>67733.5</v>
      </c>
      <c r="Q854">
        <f>IF(PQ_Cleansing!L854="Excellent", P854 * 0.1, IF(PQ_Cleansing!L854="Good", P854 * 0.05, IF(PQ_Cleansing!L854="Average", P854 * 0.02, IF(PQ_Cleansing!L854="Poor", 0, 0))))</f>
        <v>1354.67</v>
      </c>
      <c r="R854">
        <f>IFERROR(VALUE(SUBSTITUTE(SUBSTITUTE(PQ_Cleansing!I854, "$", ""), ",", "")), "")</f>
        <v>67733.5</v>
      </c>
    </row>
    <row r="855" spans="1:18" x14ac:dyDescent="0.25">
      <c r="A855" t="str">
        <f>PROPER(TRIM(CLEAN(RAW_DATA!A855)))</f>
        <v>Emp1853</v>
      </c>
      <c r="B855" t="str">
        <f>RAW_DATA!B855</f>
        <v>Bob</v>
      </c>
      <c r="C855" t="str">
        <f>RAW_DATA!C855</f>
        <v>Williams</v>
      </c>
      <c r="D855">
        <f>RAW_DATA!D855</f>
        <v>40</v>
      </c>
      <c r="E855" t="str">
        <f>RAW_DATA!E855</f>
        <v>HR-Florida</v>
      </c>
      <c r="F855" t="str">
        <f t="shared" si="39"/>
        <v>HR</v>
      </c>
      <c r="G855" t="str">
        <f t="shared" si="40"/>
        <v>Florida</v>
      </c>
      <c r="P855">
        <f t="shared" si="41"/>
        <v>103891.64</v>
      </c>
      <c r="Q855">
        <f>IF(PQ_Cleansing!L855="Excellent", P855 * 0.1, IF(PQ_Cleansing!L855="Good", P855 * 0.05, IF(PQ_Cleansing!L855="Average", P855 * 0.02, IF(PQ_Cleansing!L855="Poor", 0, 0))))</f>
        <v>5194.5820000000003</v>
      </c>
      <c r="R855">
        <f>IFERROR(VALUE(SUBSTITUTE(SUBSTITUTE(PQ_Cleansing!I855, "$", ""), ",", "")), "")</f>
        <v>103891.64</v>
      </c>
    </row>
    <row r="856" spans="1:18" x14ac:dyDescent="0.25">
      <c r="A856" t="str">
        <f>PROPER(TRIM(CLEAN(RAW_DATA!A856)))</f>
        <v>Emp1854</v>
      </c>
      <c r="B856" t="str">
        <f>RAW_DATA!B856</f>
        <v>Charlie</v>
      </c>
      <c r="C856" t="str">
        <f>RAW_DATA!C856</f>
        <v>Davis</v>
      </c>
      <c r="D856">
        <f>RAW_DATA!D856</f>
        <v>25</v>
      </c>
      <c r="E856" t="str">
        <f>RAW_DATA!E856</f>
        <v>HR-Texas</v>
      </c>
      <c r="F856" t="str">
        <f t="shared" si="39"/>
        <v>HR</v>
      </c>
      <c r="G856" t="str">
        <f t="shared" si="40"/>
        <v>Texas</v>
      </c>
      <c r="P856">
        <f t="shared" si="41"/>
        <v>73285.83</v>
      </c>
      <c r="Q856">
        <f>IF(PQ_Cleansing!L856="Excellent", P856 * 0.1, IF(PQ_Cleansing!L856="Good", P856 * 0.05, IF(PQ_Cleansing!L856="Average", P856 * 0.02, IF(PQ_Cleansing!L856="Poor", 0, 0))))</f>
        <v>3664.2915000000003</v>
      </c>
      <c r="R856">
        <f>IFERROR(VALUE(SUBSTITUTE(SUBSTITUTE(PQ_Cleansing!I856, "$", ""), ",", "")), "")</f>
        <v>73285.83</v>
      </c>
    </row>
    <row r="857" spans="1:18" x14ac:dyDescent="0.25">
      <c r="A857" t="str">
        <f>PROPER(TRIM(CLEAN(RAW_DATA!A857)))</f>
        <v>Emp1855</v>
      </c>
      <c r="B857" t="str">
        <f>RAW_DATA!B857</f>
        <v>Eva</v>
      </c>
      <c r="C857" t="str">
        <f>RAW_DATA!C857</f>
        <v>Jones</v>
      </c>
      <c r="D857">
        <f>RAW_DATA!D857</f>
        <v>30</v>
      </c>
      <c r="E857" t="str">
        <f>RAW_DATA!E857</f>
        <v>Finance-Texas</v>
      </c>
      <c r="F857" t="str">
        <f t="shared" si="39"/>
        <v>Finance</v>
      </c>
      <c r="G857" t="str">
        <f t="shared" si="40"/>
        <v>Texas</v>
      </c>
      <c r="P857">
        <f t="shared" si="41"/>
        <v>92721.13</v>
      </c>
      <c r="Q857">
        <f>IF(PQ_Cleansing!L857="Excellent", P857 * 0.1, IF(PQ_Cleansing!L857="Good", P857 * 0.05, IF(PQ_Cleansing!L857="Average", P857 * 0.02, IF(PQ_Cleansing!L857="Poor", 0, 0))))</f>
        <v>0</v>
      </c>
      <c r="R857">
        <f>IFERROR(VALUE(SUBSTITUTE(SUBSTITUTE(PQ_Cleansing!I857, "$", ""), ",", "")), "")</f>
        <v>92721.13</v>
      </c>
    </row>
    <row r="858" spans="1:18" x14ac:dyDescent="0.25">
      <c r="A858" t="str">
        <f>PROPER(TRIM(CLEAN(RAW_DATA!A858)))</f>
        <v>Emp1856</v>
      </c>
      <c r="B858" t="str">
        <f>RAW_DATA!B858</f>
        <v>Heidi</v>
      </c>
      <c r="C858" t="str">
        <f>RAW_DATA!C858</f>
        <v>Williams</v>
      </c>
      <c r="D858">
        <f>RAW_DATA!D858</f>
        <v>25</v>
      </c>
      <c r="E858" t="str">
        <f>RAW_DATA!E858</f>
        <v>Admin-Illinois</v>
      </c>
      <c r="F858" t="str">
        <f t="shared" si="39"/>
        <v>Admin</v>
      </c>
      <c r="G858" t="str">
        <f t="shared" si="40"/>
        <v>Illinois</v>
      </c>
      <c r="P858">
        <f t="shared" si="41"/>
        <v>92977.64</v>
      </c>
      <c r="Q858">
        <f>IF(PQ_Cleansing!L858="Excellent", P858 * 0.1, IF(PQ_Cleansing!L858="Good", P858 * 0.05, IF(PQ_Cleansing!L858="Average", P858 * 0.02, IF(PQ_Cleansing!L858="Poor", 0, 0))))</f>
        <v>9297.764000000001</v>
      </c>
      <c r="R858">
        <f>IFERROR(VALUE(SUBSTITUTE(SUBSTITUTE(PQ_Cleansing!I858, "$", ""), ",", "")), "")</f>
        <v>92977.64</v>
      </c>
    </row>
    <row r="859" spans="1:18" x14ac:dyDescent="0.25">
      <c r="A859" t="str">
        <f>PROPER(TRIM(CLEAN(RAW_DATA!A859)))</f>
        <v>Emp1857</v>
      </c>
      <c r="B859" t="str">
        <f>RAW_DATA!B859</f>
        <v>Heidi</v>
      </c>
      <c r="C859" t="str">
        <f>RAW_DATA!C859</f>
        <v>Williams</v>
      </c>
      <c r="D859">
        <f>RAW_DATA!D859</f>
        <v>35</v>
      </c>
      <c r="E859" t="str">
        <f>RAW_DATA!E859</f>
        <v>Cloud Tech-Texas</v>
      </c>
      <c r="F859" t="str">
        <f t="shared" si="39"/>
        <v>Cloud Tech</v>
      </c>
      <c r="G859" t="str">
        <f t="shared" si="40"/>
        <v>Texas</v>
      </c>
      <c r="P859">
        <f t="shared" si="41"/>
        <v>89994.12</v>
      </c>
      <c r="Q859">
        <f>IF(PQ_Cleansing!L859="Excellent", P859 * 0.1, IF(PQ_Cleansing!L859="Good", P859 * 0.05, IF(PQ_Cleansing!L859="Average", P859 * 0.02, IF(PQ_Cleansing!L859="Poor", 0, 0))))</f>
        <v>4499.7060000000001</v>
      </c>
      <c r="R859">
        <f>IFERROR(VALUE(SUBSTITUTE(SUBSTITUTE(PQ_Cleansing!I859, "$", ""), ",", "")), "")</f>
        <v>89994.12</v>
      </c>
    </row>
    <row r="860" spans="1:18" x14ac:dyDescent="0.25">
      <c r="A860" t="str">
        <f>PROPER(TRIM(CLEAN(RAW_DATA!A860)))</f>
        <v>Emp1858</v>
      </c>
      <c r="B860" t="str">
        <f>RAW_DATA!B860</f>
        <v>Heidi</v>
      </c>
      <c r="C860" t="str">
        <f>RAW_DATA!C860</f>
        <v>Johnson</v>
      </c>
      <c r="D860">
        <f>RAW_DATA!D860</f>
        <v>25</v>
      </c>
      <c r="E860" t="str">
        <f>RAW_DATA!E860</f>
        <v>Finance-New York</v>
      </c>
      <c r="F860" t="str">
        <f t="shared" si="39"/>
        <v>Finance</v>
      </c>
      <c r="G860" t="str">
        <f t="shared" si="40"/>
        <v>New York</v>
      </c>
      <c r="P860">
        <f t="shared" si="41"/>
        <v>50060.73</v>
      </c>
      <c r="Q860">
        <f>IF(PQ_Cleansing!L860="Excellent", P860 * 0.1, IF(PQ_Cleansing!L860="Good", P860 * 0.05, IF(PQ_Cleansing!L860="Average", P860 * 0.02, IF(PQ_Cleansing!L860="Poor", 0, 0))))</f>
        <v>0</v>
      </c>
      <c r="R860">
        <f>IFERROR(VALUE(SUBSTITUTE(SUBSTITUTE(PQ_Cleansing!I860, "$", ""), ",", "")), "")</f>
        <v>50060.73</v>
      </c>
    </row>
    <row r="861" spans="1:18" x14ac:dyDescent="0.25">
      <c r="A861" t="str">
        <f>PROPER(TRIM(CLEAN(RAW_DATA!A861)))</f>
        <v>Emp1859</v>
      </c>
      <c r="B861" t="str">
        <f>RAW_DATA!B861</f>
        <v>Grace</v>
      </c>
      <c r="C861" t="str">
        <f>RAW_DATA!C861</f>
        <v>Davis</v>
      </c>
      <c r="D861">
        <f>RAW_DATA!D861</f>
        <v>35</v>
      </c>
      <c r="E861" t="str">
        <f>RAW_DATA!E861</f>
        <v>Admin-Nevada</v>
      </c>
      <c r="F861" t="str">
        <f t="shared" si="39"/>
        <v>Admin</v>
      </c>
      <c r="G861" t="str">
        <f t="shared" si="40"/>
        <v>Nevada</v>
      </c>
      <c r="P861">
        <f t="shared" si="41"/>
        <v>90224.82</v>
      </c>
      <c r="Q861">
        <f>IF(PQ_Cleansing!L861="Excellent", P861 * 0.1, IF(PQ_Cleansing!L861="Good", P861 * 0.05, IF(PQ_Cleansing!L861="Average", P861 * 0.02, IF(PQ_Cleansing!L861="Poor", 0, 0))))</f>
        <v>9022.4820000000018</v>
      </c>
      <c r="R861">
        <f>IFERROR(VALUE(SUBSTITUTE(SUBSTITUTE(PQ_Cleansing!I861, "$", ""), ",", "")), "")</f>
        <v>90224.82</v>
      </c>
    </row>
    <row r="862" spans="1:18" x14ac:dyDescent="0.25">
      <c r="A862" t="str">
        <f>PROPER(TRIM(CLEAN(RAW_DATA!A862)))</f>
        <v>Emp1860</v>
      </c>
      <c r="B862" t="str">
        <f>RAW_DATA!B862</f>
        <v>Heidi</v>
      </c>
      <c r="C862" t="str">
        <f>RAW_DATA!C862</f>
        <v>Brown</v>
      </c>
      <c r="D862">
        <f>RAW_DATA!D862</f>
        <v>40</v>
      </c>
      <c r="E862" t="str">
        <f>RAW_DATA!E862</f>
        <v>Finance-Florida</v>
      </c>
      <c r="F862" t="str">
        <f t="shared" si="39"/>
        <v>Finance</v>
      </c>
      <c r="G862" t="str">
        <f t="shared" si="40"/>
        <v>Florida</v>
      </c>
      <c r="P862">
        <f t="shared" si="41"/>
        <v>106859.3</v>
      </c>
      <c r="Q862">
        <f>IF(PQ_Cleansing!L862="Excellent", P862 * 0.1, IF(PQ_Cleansing!L862="Good", P862 * 0.05, IF(PQ_Cleansing!L862="Average", P862 * 0.02, IF(PQ_Cleansing!L862="Poor", 0, 0))))</f>
        <v>5342.9650000000001</v>
      </c>
      <c r="R862">
        <f>IFERROR(VALUE(SUBSTITUTE(SUBSTITUTE(PQ_Cleansing!I862, "$", ""), ",", "")), "")</f>
        <v>106859.3</v>
      </c>
    </row>
    <row r="863" spans="1:18" x14ac:dyDescent="0.25">
      <c r="A863" t="str">
        <f>PROPER(TRIM(CLEAN(RAW_DATA!A863)))</f>
        <v>Emp1861</v>
      </c>
      <c r="B863" t="str">
        <f>RAW_DATA!B863</f>
        <v>David</v>
      </c>
      <c r="C863" t="str">
        <f>RAW_DATA!C863</f>
        <v>Smith</v>
      </c>
      <c r="D863">
        <f>RAW_DATA!D863</f>
        <v>25</v>
      </c>
      <c r="E863" t="str">
        <f>RAW_DATA!E863</f>
        <v>Finance-Nevada</v>
      </c>
      <c r="F863" t="str">
        <f t="shared" si="39"/>
        <v>Finance</v>
      </c>
      <c r="G863" t="str">
        <f t="shared" si="40"/>
        <v>Nevada</v>
      </c>
      <c r="P863">
        <f t="shared" si="41"/>
        <v>89707.07</v>
      </c>
      <c r="Q863">
        <f>IF(PQ_Cleansing!L863="Excellent", P863 * 0.1, IF(PQ_Cleansing!L863="Good", P863 * 0.05, IF(PQ_Cleansing!L863="Average", P863 * 0.02, IF(PQ_Cleansing!L863="Poor", 0, 0))))</f>
        <v>4485.3535000000002</v>
      </c>
      <c r="R863">
        <f>IFERROR(VALUE(SUBSTITUTE(SUBSTITUTE(PQ_Cleansing!I863, "$", ""), ",", "")), "")</f>
        <v>89707.07</v>
      </c>
    </row>
    <row r="864" spans="1:18" x14ac:dyDescent="0.25">
      <c r="A864" t="str">
        <f>PROPER(TRIM(CLEAN(RAW_DATA!A864)))</f>
        <v>Emp1862</v>
      </c>
      <c r="B864" t="str">
        <f>RAW_DATA!B864</f>
        <v>Frank</v>
      </c>
      <c r="C864" t="str">
        <f>RAW_DATA!C864</f>
        <v>Johnson</v>
      </c>
      <c r="D864">
        <f>RAW_DATA!D864</f>
        <v>35</v>
      </c>
      <c r="E864" t="str">
        <f>RAW_DATA!E864</f>
        <v>DevOps-California</v>
      </c>
      <c r="F864" t="str">
        <f t="shared" si="39"/>
        <v>DevOps</v>
      </c>
      <c r="G864" t="str">
        <f t="shared" si="40"/>
        <v>California</v>
      </c>
      <c r="P864">
        <f t="shared" si="41"/>
        <v>94259.08</v>
      </c>
      <c r="Q864">
        <f>IF(PQ_Cleansing!L864="Excellent", P864 * 0.1, IF(PQ_Cleansing!L864="Good", P864 * 0.05, IF(PQ_Cleansing!L864="Average", P864 * 0.02, IF(PQ_Cleansing!L864="Poor", 0, 0))))</f>
        <v>9425.9080000000013</v>
      </c>
      <c r="R864">
        <f>IFERROR(VALUE(SUBSTITUTE(SUBSTITUTE(PQ_Cleansing!I864, "$", ""), ",", "")), "")</f>
        <v>94259.08</v>
      </c>
    </row>
    <row r="865" spans="1:18" x14ac:dyDescent="0.25">
      <c r="A865" t="str">
        <f>PROPER(TRIM(CLEAN(RAW_DATA!A865)))</f>
        <v>Emp1863</v>
      </c>
      <c r="B865" t="str">
        <f>RAW_DATA!B865</f>
        <v>Bob</v>
      </c>
      <c r="C865" t="str">
        <f>RAW_DATA!C865</f>
        <v>Johnson</v>
      </c>
      <c r="D865">
        <f>RAW_DATA!D865</f>
        <v>35</v>
      </c>
      <c r="E865" t="str">
        <f>RAW_DATA!E865</f>
        <v>Sales-California</v>
      </c>
      <c r="F865" t="str">
        <f t="shared" si="39"/>
        <v>Sales</v>
      </c>
      <c r="G865" t="str">
        <f t="shared" si="40"/>
        <v>California</v>
      </c>
      <c r="P865">
        <f t="shared" si="41"/>
        <v>82174.75</v>
      </c>
      <c r="Q865">
        <f>IF(PQ_Cleansing!L865="Excellent", P865 * 0.1, IF(PQ_Cleansing!L865="Good", P865 * 0.05, IF(PQ_Cleansing!L865="Average", P865 * 0.02, IF(PQ_Cleansing!L865="Poor", 0, 0))))</f>
        <v>8217.4750000000004</v>
      </c>
      <c r="R865">
        <f>IFERROR(VALUE(SUBSTITUTE(SUBSTITUTE(PQ_Cleansing!I865, "$", ""), ",", "")), "")</f>
        <v>82174.75</v>
      </c>
    </row>
    <row r="866" spans="1:18" x14ac:dyDescent="0.25">
      <c r="A866" t="str">
        <f>PROPER(TRIM(CLEAN(RAW_DATA!A866)))</f>
        <v>Emp1864</v>
      </c>
      <c r="B866" t="str">
        <f>RAW_DATA!B866</f>
        <v>David</v>
      </c>
      <c r="C866" t="str">
        <f>RAW_DATA!C866</f>
        <v>Brown</v>
      </c>
      <c r="D866">
        <f>RAW_DATA!D866</f>
        <v>30</v>
      </c>
      <c r="E866" t="str">
        <f>RAW_DATA!E866</f>
        <v>Sales-Texas</v>
      </c>
      <c r="F866" t="str">
        <f t="shared" si="39"/>
        <v>Sales</v>
      </c>
      <c r="G866" t="str">
        <f t="shared" si="40"/>
        <v>Texas</v>
      </c>
      <c r="P866">
        <f t="shared" si="41"/>
        <v>63370.22</v>
      </c>
      <c r="Q866">
        <f>IF(PQ_Cleansing!L866="Excellent", P866 * 0.1, IF(PQ_Cleansing!L866="Good", P866 * 0.05, IF(PQ_Cleansing!L866="Average", P866 * 0.02, IF(PQ_Cleansing!L866="Poor", 0, 0))))</f>
        <v>6337.0220000000008</v>
      </c>
      <c r="R866">
        <f>IFERROR(VALUE(SUBSTITUTE(SUBSTITUTE(PQ_Cleansing!I866, "$", ""), ",", "")), "")</f>
        <v>63370.22</v>
      </c>
    </row>
    <row r="867" spans="1:18" x14ac:dyDescent="0.25">
      <c r="A867" t="str">
        <f>PROPER(TRIM(CLEAN(RAW_DATA!A867)))</f>
        <v>Emp1865</v>
      </c>
      <c r="B867" t="str">
        <f>RAW_DATA!B867</f>
        <v>Bob</v>
      </c>
      <c r="C867" t="str">
        <f>RAW_DATA!C867</f>
        <v>Smith</v>
      </c>
      <c r="D867">
        <f>RAW_DATA!D867</f>
        <v>35</v>
      </c>
      <c r="E867" t="str">
        <f>RAW_DATA!E867</f>
        <v>Finance-Texas</v>
      </c>
      <c r="F867" t="str">
        <f t="shared" si="39"/>
        <v>Finance</v>
      </c>
      <c r="G867" t="str">
        <f t="shared" si="40"/>
        <v>Texas</v>
      </c>
      <c r="P867">
        <f t="shared" si="41"/>
        <v>101472.69</v>
      </c>
      <c r="Q867">
        <f>IF(PQ_Cleansing!L867="Excellent", P867 * 0.1, IF(PQ_Cleansing!L867="Good", P867 * 0.05, IF(PQ_Cleansing!L867="Average", P867 * 0.02, IF(PQ_Cleansing!L867="Poor", 0, 0))))</f>
        <v>5073.6345000000001</v>
      </c>
      <c r="R867">
        <f>IFERROR(VALUE(SUBSTITUTE(SUBSTITUTE(PQ_Cleansing!I867, "$", ""), ",", "")), "")</f>
        <v>101472.69</v>
      </c>
    </row>
    <row r="868" spans="1:18" x14ac:dyDescent="0.25">
      <c r="A868" t="str">
        <f>PROPER(TRIM(CLEAN(RAW_DATA!A868)))</f>
        <v>Emp1866</v>
      </c>
      <c r="B868" t="str">
        <f>RAW_DATA!B868</f>
        <v>David</v>
      </c>
      <c r="C868" t="str">
        <f>RAW_DATA!C868</f>
        <v>Jones</v>
      </c>
      <c r="D868">
        <f>RAW_DATA!D868</f>
        <v>25</v>
      </c>
      <c r="E868" t="str">
        <f>RAW_DATA!E868</f>
        <v>DevOps-Illinois</v>
      </c>
      <c r="F868" t="str">
        <f t="shared" si="39"/>
        <v>DevOps</v>
      </c>
      <c r="G868" t="str">
        <f t="shared" si="40"/>
        <v>Illinois</v>
      </c>
      <c r="P868">
        <f t="shared" si="41"/>
        <v>77213.73</v>
      </c>
      <c r="Q868">
        <f>IF(PQ_Cleansing!L868="Excellent", P868 * 0.1, IF(PQ_Cleansing!L868="Good", P868 * 0.05, IF(PQ_Cleansing!L868="Average", P868 * 0.02, IF(PQ_Cleansing!L868="Poor", 0, 0))))</f>
        <v>3860.6864999999998</v>
      </c>
      <c r="R868">
        <f>IFERROR(VALUE(SUBSTITUTE(SUBSTITUTE(PQ_Cleansing!I868, "$", ""), ",", "")), "")</f>
        <v>77213.73</v>
      </c>
    </row>
    <row r="869" spans="1:18" x14ac:dyDescent="0.25">
      <c r="A869" t="str">
        <f>PROPER(TRIM(CLEAN(RAW_DATA!A869)))</f>
        <v>Emp1867</v>
      </c>
      <c r="B869" t="str">
        <f>RAW_DATA!B869</f>
        <v>Eva</v>
      </c>
      <c r="C869" t="str">
        <f>RAW_DATA!C869</f>
        <v>Miller</v>
      </c>
      <c r="D869">
        <f>RAW_DATA!D869</f>
        <v>40</v>
      </c>
      <c r="E869" t="str">
        <f>RAW_DATA!E869</f>
        <v>Sales-Florida</v>
      </c>
      <c r="F869" t="str">
        <f t="shared" si="39"/>
        <v>Sales</v>
      </c>
      <c r="G869" t="str">
        <f t="shared" si="40"/>
        <v>Florida</v>
      </c>
      <c r="P869">
        <f t="shared" si="41"/>
        <v>73749.960000000006</v>
      </c>
      <c r="Q869">
        <f>IF(PQ_Cleansing!L869="Excellent", P869 * 0.1, IF(PQ_Cleansing!L869="Good", P869 * 0.05, IF(PQ_Cleansing!L869="Average", P869 * 0.02, IF(PQ_Cleansing!L869="Poor", 0, 0))))</f>
        <v>0</v>
      </c>
      <c r="R869">
        <f>IFERROR(VALUE(SUBSTITUTE(SUBSTITUTE(PQ_Cleansing!I869, "$", ""), ",", "")), "")</f>
        <v>73749.960000000006</v>
      </c>
    </row>
    <row r="870" spans="1:18" x14ac:dyDescent="0.25">
      <c r="A870" t="str">
        <f>PROPER(TRIM(CLEAN(RAW_DATA!A870)))</f>
        <v>Emp1868</v>
      </c>
      <c r="B870" t="str">
        <f>RAW_DATA!B870</f>
        <v>Alice</v>
      </c>
      <c r="C870" t="str">
        <f>RAW_DATA!C870</f>
        <v>Davis</v>
      </c>
      <c r="D870">
        <f>RAW_DATA!D870</f>
        <v>40</v>
      </c>
      <c r="E870" t="str">
        <f>RAW_DATA!E870</f>
        <v>Cloud Tech-New York</v>
      </c>
      <c r="F870" t="str">
        <f t="shared" si="39"/>
        <v>Cloud Tech</v>
      </c>
      <c r="G870" t="str">
        <f t="shared" si="40"/>
        <v>New York</v>
      </c>
      <c r="P870">
        <f t="shared" si="41"/>
        <v>86618.37</v>
      </c>
      <c r="Q870">
        <f>IF(PQ_Cleansing!L870="Excellent", P870 * 0.1, IF(PQ_Cleansing!L870="Good", P870 * 0.05, IF(PQ_Cleansing!L870="Average", P870 * 0.02, IF(PQ_Cleansing!L870="Poor", 0, 0))))</f>
        <v>1732.3673999999999</v>
      </c>
      <c r="R870">
        <f>IFERROR(VALUE(SUBSTITUTE(SUBSTITUTE(PQ_Cleansing!I870, "$", ""), ",", "")), "")</f>
        <v>86618.37</v>
      </c>
    </row>
    <row r="871" spans="1:18" x14ac:dyDescent="0.25">
      <c r="A871" t="str">
        <f>PROPER(TRIM(CLEAN(RAW_DATA!A871)))</f>
        <v>Emp1869</v>
      </c>
      <c r="B871" t="str">
        <f>RAW_DATA!B871</f>
        <v>Charlie</v>
      </c>
      <c r="C871" t="str">
        <f>RAW_DATA!C871</f>
        <v>Miller</v>
      </c>
      <c r="D871">
        <f>RAW_DATA!D871</f>
        <v>0</v>
      </c>
      <c r="E871" t="str">
        <f>RAW_DATA!E871</f>
        <v>Admin-Texas</v>
      </c>
      <c r="F871" t="str">
        <f t="shared" si="39"/>
        <v>Admin</v>
      </c>
      <c r="G871" t="str">
        <f t="shared" si="40"/>
        <v>Texas</v>
      </c>
      <c r="P871">
        <f t="shared" si="41"/>
        <v>59911.33</v>
      </c>
      <c r="Q871">
        <f>IF(PQ_Cleansing!L871="Excellent", P871 * 0.1, IF(PQ_Cleansing!L871="Good", P871 * 0.05, IF(PQ_Cleansing!L871="Average", P871 * 0.02, IF(PQ_Cleansing!L871="Poor", 0, 0))))</f>
        <v>5991.1330000000007</v>
      </c>
      <c r="R871">
        <f>IFERROR(VALUE(SUBSTITUTE(SUBSTITUTE(PQ_Cleansing!I871, "$", ""), ",", "")), "")</f>
        <v>59911.33</v>
      </c>
    </row>
    <row r="872" spans="1:18" x14ac:dyDescent="0.25">
      <c r="A872" t="str">
        <f>PROPER(TRIM(CLEAN(RAW_DATA!A872)))</f>
        <v>Emp1870</v>
      </c>
      <c r="B872" t="str">
        <f>RAW_DATA!B872</f>
        <v>Heidi</v>
      </c>
      <c r="C872" t="str">
        <f>RAW_DATA!C872</f>
        <v>Jones</v>
      </c>
      <c r="D872">
        <f>RAW_DATA!D872</f>
        <v>0</v>
      </c>
      <c r="E872" t="str">
        <f>RAW_DATA!E872</f>
        <v>Cloud Tech-New York</v>
      </c>
      <c r="F872" t="str">
        <f t="shared" si="39"/>
        <v>Cloud Tech</v>
      </c>
      <c r="G872" t="str">
        <f t="shared" si="40"/>
        <v>New York</v>
      </c>
      <c r="P872">
        <f t="shared" si="41"/>
        <v>59137.64</v>
      </c>
      <c r="Q872">
        <f>IF(PQ_Cleansing!L872="Excellent", P872 * 0.1, IF(PQ_Cleansing!L872="Good", P872 * 0.05, IF(PQ_Cleansing!L872="Average", P872 * 0.02, IF(PQ_Cleansing!L872="Poor", 0, 0))))</f>
        <v>2956.8820000000001</v>
      </c>
      <c r="R872">
        <f>IFERROR(VALUE(SUBSTITUTE(SUBSTITUTE(PQ_Cleansing!I872, "$", ""), ",", "")), "")</f>
        <v>59137.64</v>
      </c>
    </row>
    <row r="873" spans="1:18" x14ac:dyDescent="0.25">
      <c r="A873" t="str">
        <f>PROPER(TRIM(CLEAN(RAW_DATA!A873)))</f>
        <v>Emp1871</v>
      </c>
      <c r="B873" t="str">
        <f>RAW_DATA!B873</f>
        <v>Alice</v>
      </c>
      <c r="C873" t="str">
        <f>RAW_DATA!C873</f>
        <v>Garcia</v>
      </c>
      <c r="D873">
        <f>RAW_DATA!D873</f>
        <v>35</v>
      </c>
      <c r="E873" t="str">
        <f>RAW_DATA!E873</f>
        <v>Cloud Tech-Florida</v>
      </c>
      <c r="F873" t="str">
        <f t="shared" si="39"/>
        <v>Cloud Tech</v>
      </c>
      <c r="G873" t="str">
        <f t="shared" si="40"/>
        <v>Florida</v>
      </c>
      <c r="P873">
        <f t="shared" si="41"/>
        <v>108474.65</v>
      </c>
      <c r="Q873">
        <f>IF(PQ_Cleansing!L873="Excellent", P873 * 0.1, IF(PQ_Cleansing!L873="Good", P873 * 0.05, IF(PQ_Cleansing!L873="Average", P873 * 0.02, IF(PQ_Cleansing!L873="Poor", 0, 0))))</f>
        <v>5423.7325000000001</v>
      </c>
      <c r="R873">
        <f>IFERROR(VALUE(SUBSTITUTE(SUBSTITUTE(PQ_Cleansing!I873, "$", ""), ",", "")), "")</f>
        <v>108474.65</v>
      </c>
    </row>
    <row r="874" spans="1:18" x14ac:dyDescent="0.25">
      <c r="A874" t="str">
        <f>PROPER(TRIM(CLEAN(RAW_DATA!A874)))</f>
        <v>Emp1872</v>
      </c>
      <c r="B874" t="str">
        <f>RAW_DATA!B874</f>
        <v>Bob</v>
      </c>
      <c r="C874" t="str">
        <f>RAW_DATA!C874</f>
        <v>Johnson</v>
      </c>
      <c r="D874">
        <f>RAW_DATA!D874</f>
        <v>25</v>
      </c>
      <c r="E874" t="str">
        <f>RAW_DATA!E874</f>
        <v>Finance-Illinois</v>
      </c>
      <c r="F874" t="str">
        <f t="shared" si="39"/>
        <v>Finance</v>
      </c>
      <c r="G874" t="str">
        <f t="shared" si="40"/>
        <v>Illinois</v>
      </c>
      <c r="P874">
        <f t="shared" si="41"/>
        <v>54417.71</v>
      </c>
      <c r="Q874">
        <f>IF(PQ_Cleansing!L874="Excellent", P874 * 0.1, IF(PQ_Cleansing!L874="Good", P874 * 0.05, IF(PQ_Cleansing!L874="Average", P874 * 0.02, IF(PQ_Cleansing!L874="Poor", 0, 0))))</f>
        <v>5441.7710000000006</v>
      </c>
      <c r="R874">
        <f>IFERROR(VALUE(SUBSTITUTE(SUBSTITUTE(PQ_Cleansing!I874, "$", ""), ",", "")), "")</f>
        <v>54417.71</v>
      </c>
    </row>
    <row r="875" spans="1:18" x14ac:dyDescent="0.25">
      <c r="A875" t="str">
        <f>PROPER(TRIM(CLEAN(RAW_DATA!A875)))</f>
        <v>Emp1873</v>
      </c>
      <c r="B875" t="str">
        <f>RAW_DATA!B875</f>
        <v>Frank</v>
      </c>
      <c r="C875" t="str">
        <f>RAW_DATA!C875</f>
        <v>Smith</v>
      </c>
      <c r="D875">
        <f>RAW_DATA!D875</f>
        <v>40</v>
      </c>
      <c r="E875" t="str">
        <f>RAW_DATA!E875</f>
        <v>HR-Texas</v>
      </c>
      <c r="F875" t="str">
        <f t="shared" si="39"/>
        <v>HR</v>
      </c>
      <c r="G875" t="str">
        <f t="shared" si="40"/>
        <v>Texas</v>
      </c>
      <c r="P875">
        <f t="shared" si="41"/>
        <v>88211.94</v>
      </c>
      <c r="Q875">
        <f>IF(PQ_Cleansing!L875="Excellent", P875 * 0.1, IF(PQ_Cleansing!L875="Good", P875 * 0.05, IF(PQ_Cleansing!L875="Average", P875 * 0.02, IF(PQ_Cleansing!L875="Poor", 0, 0))))</f>
        <v>1764.2388000000001</v>
      </c>
      <c r="R875">
        <f>IFERROR(VALUE(SUBSTITUTE(SUBSTITUTE(PQ_Cleansing!I875, "$", ""), ",", "")), "")</f>
        <v>88211.94</v>
      </c>
    </row>
    <row r="876" spans="1:18" x14ac:dyDescent="0.25">
      <c r="A876" t="str">
        <f>PROPER(TRIM(CLEAN(RAW_DATA!A876)))</f>
        <v>Emp1874</v>
      </c>
      <c r="B876" t="str">
        <f>RAW_DATA!B876</f>
        <v>David</v>
      </c>
      <c r="C876" t="str">
        <f>RAW_DATA!C876</f>
        <v>Johnson</v>
      </c>
      <c r="D876">
        <f>RAW_DATA!D876</f>
        <v>25</v>
      </c>
      <c r="E876" t="str">
        <f>RAW_DATA!E876</f>
        <v>Sales-New York</v>
      </c>
      <c r="F876" t="str">
        <f t="shared" si="39"/>
        <v>Sales</v>
      </c>
      <c r="G876" t="str">
        <f t="shared" si="40"/>
        <v>New York</v>
      </c>
      <c r="P876">
        <f t="shared" si="41"/>
        <v>58452.18</v>
      </c>
      <c r="Q876">
        <f>IF(PQ_Cleansing!L876="Excellent", P876 * 0.1, IF(PQ_Cleansing!L876="Good", P876 * 0.05, IF(PQ_Cleansing!L876="Average", P876 * 0.02, IF(PQ_Cleansing!L876="Poor", 0, 0))))</f>
        <v>5845.2180000000008</v>
      </c>
      <c r="R876">
        <f>IFERROR(VALUE(SUBSTITUTE(SUBSTITUTE(PQ_Cleansing!I876, "$", ""), ",", "")), "")</f>
        <v>58452.18</v>
      </c>
    </row>
    <row r="877" spans="1:18" x14ac:dyDescent="0.25">
      <c r="A877" t="str">
        <f>PROPER(TRIM(CLEAN(RAW_DATA!A877)))</f>
        <v>Emp1875</v>
      </c>
      <c r="B877" t="str">
        <f>RAW_DATA!B877</f>
        <v>Grace</v>
      </c>
      <c r="C877" t="str">
        <f>RAW_DATA!C877</f>
        <v>Williams</v>
      </c>
      <c r="D877">
        <f>RAW_DATA!D877</f>
        <v>30</v>
      </c>
      <c r="E877" t="str">
        <f>RAW_DATA!E877</f>
        <v>DevOps-California</v>
      </c>
      <c r="F877" t="str">
        <f t="shared" si="39"/>
        <v>DevOps</v>
      </c>
      <c r="G877" t="str">
        <f t="shared" si="40"/>
        <v>California</v>
      </c>
      <c r="P877">
        <f t="shared" si="41"/>
        <v>80706.28</v>
      </c>
      <c r="Q877">
        <f>IF(PQ_Cleansing!L877="Excellent", P877 * 0.1, IF(PQ_Cleansing!L877="Good", P877 * 0.05, IF(PQ_Cleansing!L877="Average", P877 * 0.02, IF(PQ_Cleansing!L877="Poor", 0, 0))))</f>
        <v>1614.1256000000001</v>
      </c>
      <c r="R877">
        <f>IFERROR(VALUE(SUBSTITUTE(SUBSTITUTE(PQ_Cleansing!I877, "$", ""), ",", "")), "")</f>
        <v>80706.28</v>
      </c>
    </row>
    <row r="878" spans="1:18" x14ac:dyDescent="0.25">
      <c r="A878" t="str">
        <f>PROPER(TRIM(CLEAN(RAW_DATA!A878)))</f>
        <v>Emp1876</v>
      </c>
      <c r="B878" t="str">
        <f>RAW_DATA!B878</f>
        <v>Alice</v>
      </c>
      <c r="C878" t="str">
        <f>RAW_DATA!C878</f>
        <v>Johnson</v>
      </c>
      <c r="D878">
        <f>RAW_DATA!D878</f>
        <v>30</v>
      </c>
      <c r="E878" t="str">
        <f>RAW_DATA!E878</f>
        <v>Cloud Tech-Nevada</v>
      </c>
      <c r="F878" t="str">
        <f t="shared" si="39"/>
        <v>Cloud Tech</v>
      </c>
      <c r="G878" t="str">
        <f t="shared" si="40"/>
        <v>Nevada</v>
      </c>
      <c r="P878">
        <f t="shared" si="41"/>
        <v>85268.279969293711</v>
      </c>
      <c r="Q878">
        <f>IF(PQ_Cleansing!L878="Excellent", P878 * 0.1, IF(PQ_Cleansing!L878="Good", P878 * 0.05, IF(PQ_Cleansing!L878="Average", P878 * 0.02, IF(PQ_Cleansing!L878="Poor", 0, 0))))</f>
        <v>4263.4139984646854</v>
      </c>
      <c r="R878" t="str">
        <f>IFERROR(VALUE(SUBSTITUTE(SUBSTITUTE(PQ_Cleansing!I878, "$", ""), ",", "")), "")</f>
        <v/>
      </c>
    </row>
    <row r="879" spans="1:18" x14ac:dyDescent="0.25">
      <c r="A879" t="str">
        <f>PROPER(TRIM(CLEAN(RAW_DATA!A879)))</f>
        <v>Emp1877</v>
      </c>
      <c r="B879" t="str">
        <f>RAW_DATA!B879</f>
        <v>Heidi</v>
      </c>
      <c r="C879" t="str">
        <f>RAW_DATA!C879</f>
        <v>Johnson</v>
      </c>
      <c r="D879">
        <f>RAW_DATA!D879</f>
        <v>25</v>
      </c>
      <c r="E879" t="str">
        <f>RAW_DATA!E879</f>
        <v>Cloud Tech-Texas</v>
      </c>
      <c r="F879" t="str">
        <f t="shared" si="39"/>
        <v>Cloud Tech</v>
      </c>
      <c r="G879" t="str">
        <f t="shared" si="40"/>
        <v>Texas</v>
      </c>
      <c r="P879">
        <f t="shared" si="41"/>
        <v>99471.89</v>
      </c>
      <c r="Q879">
        <f>IF(PQ_Cleansing!L879="Excellent", P879 * 0.1, IF(PQ_Cleansing!L879="Good", P879 * 0.05, IF(PQ_Cleansing!L879="Average", P879 * 0.02, IF(PQ_Cleansing!L879="Poor", 0, 0))))</f>
        <v>1989.4377999999999</v>
      </c>
      <c r="R879">
        <f>IFERROR(VALUE(SUBSTITUTE(SUBSTITUTE(PQ_Cleansing!I879, "$", ""), ",", "")), "")</f>
        <v>99471.89</v>
      </c>
    </row>
    <row r="880" spans="1:18" x14ac:dyDescent="0.25">
      <c r="A880" t="str">
        <f>PROPER(TRIM(CLEAN(RAW_DATA!A880)))</f>
        <v>Emp1878</v>
      </c>
      <c r="B880" t="str">
        <f>RAW_DATA!B880</f>
        <v>Eva</v>
      </c>
      <c r="C880" t="str">
        <f>RAW_DATA!C880</f>
        <v>Jones</v>
      </c>
      <c r="D880">
        <f>RAW_DATA!D880</f>
        <v>40</v>
      </c>
      <c r="E880" t="str">
        <f>RAW_DATA!E880</f>
        <v>DevOps-Florida</v>
      </c>
      <c r="F880" t="str">
        <f t="shared" si="39"/>
        <v>DevOps</v>
      </c>
      <c r="G880" t="str">
        <f t="shared" si="40"/>
        <v>Florida</v>
      </c>
      <c r="P880">
        <f t="shared" si="41"/>
        <v>64431.22</v>
      </c>
      <c r="Q880">
        <f>IF(PQ_Cleansing!L880="Excellent", P880 * 0.1, IF(PQ_Cleansing!L880="Good", P880 * 0.05, IF(PQ_Cleansing!L880="Average", P880 * 0.02, IF(PQ_Cleansing!L880="Poor", 0, 0))))</f>
        <v>0</v>
      </c>
      <c r="R880">
        <f>IFERROR(VALUE(SUBSTITUTE(SUBSTITUTE(PQ_Cleansing!I880, "$", ""), ",", "")), "")</f>
        <v>64431.22</v>
      </c>
    </row>
    <row r="881" spans="1:18" x14ac:dyDescent="0.25">
      <c r="A881" t="str">
        <f>PROPER(TRIM(CLEAN(RAW_DATA!A881)))</f>
        <v>Emp1879</v>
      </c>
      <c r="B881" t="str">
        <f>RAW_DATA!B881</f>
        <v>Heidi</v>
      </c>
      <c r="C881" t="str">
        <f>RAW_DATA!C881</f>
        <v>Jones</v>
      </c>
      <c r="D881">
        <f>RAW_DATA!D881</f>
        <v>40</v>
      </c>
      <c r="E881" t="str">
        <f>RAW_DATA!E881</f>
        <v>Admin-New York</v>
      </c>
      <c r="F881" t="str">
        <f t="shared" si="39"/>
        <v>Admin</v>
      </c>
      <c r="G881" t="str">
        <f t="shared" si="40"/>
        <v>New York</v>
      </c>
      <c r="P881">
        <f t="shared" si="41"/>
        <v>52633.48</v>
      </c>
      <c r="Q881">
        <f>IF(PQ_Cleansing!L881="Excellent", P881 * 0.1, IF(PQ_Cleansing!L881="Good", P881 * 0.05, IF(PQ_Cleansing!L881="Average", P881 * 0.02, IF(PQ_Cleansing!L881="Poor", 0, 0))))</f>
        <v>2631.6740000000004</v>
      </c>
      <c r="R881">
        <f>IFERROR(VALUE(SUBSTITUTE(SUBSTITUTE(PQ_Cleansing!I881, "$", ""), ",", "")), "")</f>
        <v>52633.48</v>
      </c>
    </row>
    <row r="882" spans="1:18" x14ac:dyDescent="0.25">
      <c r="A882" t="str">
        <f>PROPER(TRIM(CLEAN(RAW_DATA!A882)))</f>
        <v>Emp1880</v>
      </c>
      <c r="B882" t="str">
        <f>RAW_DATA!B882</f>
        <v>Heidi</v>
      </c>
      <c r="C882" t="str">
        <f>RAW_DATA!C882</f>
        <v>Jones</v>
      </c>
      <c r="D882">
        <f>RAW_DATA!D882</f>
        <v>0</v>
      </c>
      <c r="E882" t="str">
        <f>RAW_DATA!E882</f>
        <v>Cloud Tech-Nevada</v>
      </c>
      <c r="F882" t="str">
        <f t="shared" si="39"/>
        <v>Cloud Tech</v>
      </c>
      <c r="G882" t="str">
        <f t="shared" si="40"/>
        <v>Nevada</v>
      </c>
      <c r="P882">
        <f t="shared" si="41"/>
        <v>79315.009999999995</v>
      </c>
      <c r="Q882">
        <f>IF(PQ_Cleansing!L882="Excellent", P882 * 0.1, IF(PQ_Cleansing!L882="Good", P882 * 0.05, IF(PQ_Cleansing!L882="Average", P882 * 0.02, IF(PQ_Cleansing!L882="Poor", 0, 0))))</f>
        <v>0</v>
      </c>
      <c r="R882">
        <f>IFERROR(VALUE(SUBSTITUTE(SUBSTITUTE(PQ_Cleansing!I882, "$", ""), ",", "")), "")</f>
        <v>79315.009999999995</v>
      </c>
    </row>
    <row r="883" spans="1:18" x14ac:dyDescent="0.25">
      <c r="A883" t="str">
        <f>PROPER(TRIM(CLEAN(RAW_DATA!A883)))</f>
        <v>Emp1881</v>
      </c>
      <c r="B883" t="str">
        <f>RAW_DATA!B883</f>
        <v>David</v>
      </c>
      <c r="C883" t="str">
        <f>RAW_DATA!C883</f>
        <v>Miller</v>
      </c>
      <c r="D883">
        <f>RAW_DATA!D883</f>
        <v>25</v>
      </c>
      <c r="E883" t="str">
        <f>RAW_DATA!E883</f>
        <v>Sales-Texas</v>
      </c>
      <c r="F883" t="str">
        <f t="shared" si="39"/>
        <v>Sales</v>
      </c>
      <c r="G883" t="str">
        <f t="shared" si="40"/>
        <v>Texas</v>
      </c>
      <c r="P883">
        <f t="shared" si="41"/>
        <v>110391.17</v>
      </c>
      <c r="Q883">
        <f>IF(PQ_Cleansing!L883="Excellent", P883 * 0.1, IF(PQ_Cleansing!L883="Good", P883 * 0.05, IF(PQ_Cleansing!L883="Average", P883 * 0.02, IF(PQ_Cleansing!L883="Poor", 0, 0))))</f>
        <v>11039.117</v>
      </c>
      <c r="R883">
        <f>IFERROR(VALUE(SUBSTITUTE(SUBSTITUTE(PQ_Cleansing!I883, "$", ""), ",", "")), "")</f>
        <v>110391.17</v>
      </c>
    </row>
    <row r="884" spans="1:18" x14ac:dyDescent="0.25">
      <c r="A884" t="str">
        <f>PROPER(TRIM(CLEAN(RAW_DATA!A884)))</f>
        <v>Emp1882</v>
      </c>
      <c r="B884" t="str">
        <f>RAW_DATA!B884</f>
        <v>David</v>
      </c>
      <c r="C884" t="str">
        <f>RAW_DATA!C884</f>
        <v>Williams</v>
      </c>
      <c r="D884">
        <f>RAW_DATA!D884</f>
        <v>40</v>
      </c>
      <c r="E884" t="str">
        <f>RAW_DATA!E884</f>
        <v>DevOps-Nevada</v>
      </c>
      <c r="F884" t="str">
        <f t="shared" si="39"/>
        <v>DevOps</v>
      </c>
      <c r="G884" t="str">
        <f t="shared" si="40"/>
        <v>Nevada</v>
      </c>
      <c r="P884">
        <f t="shared" si="41"/>
        <v>53714.83</v>
      </c>
      <c r="Q884">
        <f>IF(PQ_Cleansing!L884="Excellent", P884 * 0.1, IF(PQ_Cleansing!L884="Good", P884 * 0.05, IF(PQ_Cleansing!L884="Average", P884 * 0.02, IF(PQ_Cleansing!L884="Poor", 0, 0))))</f>
        <v>5371.4830000000002</v>
      </c>
      <c r="R884">
        <f>IFERROR(VALUE(SUBSTITUTE(SUBSTITUTE(PQ_Cleansing!I884, "$", ""), ",", "")), "")</f>
        <v>53714.83</v>
      </c>
    </row>
    <row r="885" spans="1:18" x14ac:dyDescent="0.25">
      <c r="A885" t="str">
        <f>PROPER(TRIM(CLEAN(RAW_DATA!A885)))</f>
        <v>Emp1883</v>
      </c>
      <c r="B885" t="str">
        <f>RAW_DATA!B885</f>
        <v>Charlie</v>
      </c>
      <c r="C885" t="str">
        <f>RAW_DATA!C885</f>
        <v>Garcia</v>
      </c>
      <c r="D885">
        <f>RAW_DATA!D885</f>
        <v>40</v>
      </c>
      <c r="E885" t="str">
        <f>RAW_DATA!E885</f>
        <v>Finance-New York</v>
      </c>
      <c r="F885" t="str">
        <f t="shared" si="39"/>
        <v>Finance</v>
      </c>
      <c r="G885" t="str">
        <f t="shared" si="40"/>
        <v>New York</v>
      </c>
      <c r="P885">
        <f t="shared" si="41"/>
        <v>114587.11</v>
      </c>
      <c r="Q885">
        <f>IF(PQ_Cleansing!L885="Excellent", P885 * 0.1, IF(PQ_Cleansing!L885="Good", P885 * 0.05, IF(PQ_Cleansing!L885="Average", P885 * 0.02, IF(PQ_Cleansing!L885="Poor", 0, 0))))</f>
        <v>11458.711000000001</v>
      </c>
      <c r="R885">
        <f>IFERROR(VALUE(SUBSTITUTE(SUBSTITUTE(PQ_Cleansing!I885, "$", ""), ",", "")), "")</f>
        <v>114587.11</v>
      </c>
    </row>
    <row r="886" spans="1:18" x14ac:dyDescent="0.25">
      <c r="A886" t="str">
        <f>PROPER(TRIM(CLEAN(RAW_DATA!A886)))</f>
        <v>Emp1884</v>
      </c>
      <c r="B886" t="str">
        <f>RAW_DATA!B886</f>
        <v>Frank</v>
      </c>
      <c r="C886" t="str">
        <f>RAW_DATA!C886</f>
        <v>Garcia</v>
      </c>
      <c r="D886">
        <f>RAW_DATA!D886</f>
        <v>35</v>
      </c>
      <c r="E886" t="str">
        <f>RAW_DATA!E886</f>
        <v>Admin-Florida</v>
      </c>
      <c r="F886" t="str">
        <f t="shared" si="39"/>
        <v>Admin</v>
      </c>
      <c r="G886" t="str">
        <f t="shared" si="40"/>
        <v>Florida</v>
      </c>
      <c r="P886">
        <f t="shared" si="41"/>
        <v>93177.35</v>
      </c>
      <c r="Q886">
        <f>IF(PQ_Cleansing!L886="Excellent", P886 * 0.1, IF(PQ_Cleansing!L886="Good", P886 * 0.05, IF(PQ_Cleansing!L886="Average", P886 * 0.02, IF(PQ_Cleansing!L886="Poor", 0, 0))))</f>
        <v>1863.5470000000003</v>
      </c>
      <c r="R886">
        <f>IFERROR(VALUE(SUBSTITUTE(SUBSTITUTE(PQ_Cleansing!I886, "$", ""), ",", "")), "")</f>
        <v>93177.35</v>
      </c>
    </row>
    <row r="887" spans="1:18" x14ac:dyDescent="0.25">
      <c r="A887" t="str">
        <f>PROPER(TRIM(CLEAN(RAW_DATA!A887)))</f>
        <v>Emp1885</v>
      </c>
      <c r="B887" t="str">
        <f>RAW_DATA!B887</f>
        <v>Heidi</v>
      </c>
      <c r="C887" t="str">
        <f>RAW_DATA!C887</f>
        <v>Jones</v>
      </c>
      <c r="D887">
        <f>RAW_DATA!D887</f>
        <v>25</v>
      </c>
      <c r="E887" t="str">
        <f>RAW_DATA!E887</f>
        <v>Cloud Tech-Nevada</v>
      </c>
      <c r="F887" t="str">
        <f t="shared" si="39"/>
        <v>Cloud Tech</v>
      </c>
      <c r="G887" t="str">
        <f t="shared" si="40"/>
        <v>Nevada</v>
      </c>
      <c r="P887">
        <f t="shared" si="41"/>
        <v>62312.13</v>
      </c>
      <c r="Q887">
        <f>IF(PQ_Cleansing!L887="Excellent", P887 * 0.1, IF(PQ_Cleansing!L887="Good", P887 * 0.05, IF(PQ_Cleansing!L887="Average", P887 * 0.02, IF(PQ_Cleansing!L887="Poor", 0, 0))))</f>
        <v>3115.6064999999999</v>
      </c>
      <c r="R887">
        <f>IFERROR(VALUE(SUBSTITUTE(SUBSTITUTE(PQ_Cleansing!I887, "$", ""), ",", "")), "")</f>
        <v>62312.13</v>
      </c>
    </row>
    <row r="888" spans="1:18" x14ac:dyDescent="0.25">
      <c r="A888" t="str">
        <f>PROPER(TRIM(CLEAN(RAW_DATA!A888)))</f>
        <v>Emp1886</v>
      </c>
      <c r="B888" t="str">
        <f>RAW_DATA!B888</f>
        <v>Heidi</v>
      </c>
      <c r="C888" t="str">
        <f>RAW_DATA!C888</f>
        <v>Smith</v>
      </c>
      <c r="D888">
        <f>RAW_DATA!D888</f>
        <v>0</v>
      </c>
      <c r="E888" t="str">
        <f>RAW_DATA!E888</f>
        <v>Cloud Tech-Texas</v>
      </c>
      <c r="F888" t="str">
        <f t="shared" si="39"/>
        <v>Cloud Tech</v>
      </c>
      <c r="G888" t="str">
        <f t="shared" si="40"/>
        <v>Texas</v>
      </c>
      <c r="P888">
        <f t="shared" si="41"/>
        <v>81137.460000000006</v>
      </c>
      <c r="Q888">
        <f>IF(PQ_Cleansing!L888="Excellent", P888 * 0.1, IF(PQ_Cleansing!L888="Good", P888 * 0.05, IF(PQ_Cleansing!L888="Average", P888 * 0.02, IF(PQ_Cleansing!L888="Poor", 0, 0))))</f>
        <v>8113.746000000001</v>
      </c>
      <c r="R888">
        <f>IFERROR(VALUE(SUBSTITUTE(SUBSTITUTE(PQ_Cleansing!I888, "$", ""), ",", "")), "")</f>
        <v>81137.460000000006</v>
      </c>
    </row>
    <row r="889" spans="1:18" x14ac:dyDescent="0.25">
      <c r="A889" t="str">
        <f>PROPER(TRIM(CLEAN(RAW_DATA!A889)))</f>
        <v>Emp1887</v>
      </c>
      <c r="B889" t="str">
        <f>RAW_DATA!B889</f>
        <v>Grace</v>
      </c>
      <c r="C889" t="str">
        <f>RAW_DATA!C889</f>
        <v>Miller</v>
      </c>
      <c r="D889">
        <f>RAW_DATA!D889</f>
        <v>30</v>
      </c>
      <c r="E889" t="str">
        <f>RAW_DATA!E889</f>
        <v>DevOps-Nevada</v>
      </c>
      <c r="F889" t="str">
        <f t="shared" si="39"/>
        <v>DevOps</v>
      </c>
      <c r="G889" t="str">
        <f t="shared" si="40"/>
        <v>Nevada</v>
      </c>
      <c r="P889">
        <f t="shared" si="41"/>
        <v>104528.27</v>
      </c>
      <c r="Q889">
        <f>IF(PQ_Cleansing!L889="Excellent", P889 * 0.1, IF(PQ_Cleansing!L889="Good", P889 * 0.05, IF(PQ_Cleansing!L889="Average", P889 * 0.02, IF(PQ_Cleansing!L889="Poor", 0, 0))))</f>
        <v>10452.827000000001</v>
      </c>
      <c r="R889">
        <f>IFERROR(VALUE(SUBSTITUTE(SUBSTITUTE(PQ_Cleansing!I889, "$", ""), ",", "")), "")</f>
        <v>104528.27</v>
      </c>
    </row>
    <row r="890" spans="1:18" x14ac:dyDescent="0.25">
      <c r="A890" t="str">
        <f>PROPER(TRIM(CLEAN(RAW_DATA!A890)))</f>
        <v>Emp1888</v>
      </c>
      <c r="B890" t="str">
        <f>RAW_DATA!B890</f>
        <v>Bob</v>
      </c>
      <c r="C890" t="str">
        <f>RAW_DATA!C890</f>
        <v>Brown</v>
      </c>
      <c r="D890">
        <f>RAW_DATA!D890</f>
        <v>30</v>
      </c>
      <c r="E890" t="str">
        <f>RAW_DATA!E890</f>
        <v>DevOps-Florida</v>
      </c>
      <c r="F890" t="str">
        <f t="shared" si="39"/>
        <v>DevOps</v>
      </c>
      <c r="G890" t="str">
        <f t="shared" si="40"/>
        <v>Florida</v>
      </c>
      <c r="P890">
        <f t="shared" si="41"/>
        <v>112395.56</v>
      </c>
      <c r="Q890">
        <f>IF(PQ_Cleansing!L890="Excellent", P890 * 0.1, IF(PQ_Cleansing!L890="Good", P890 * 0.05, IF(PQ_Cleansing!L890="Average", P890 * 0.02, IF(PQ_Cleansing!L890="Poor", 0, 0))))</f>
        <v>5619.7780000000002</v>
      </c>
      <c r="R890">
        <f>IFERROR(VALUE(SUBSTITUTE(SUBSTITUTE(PQ_Cleansing!I890, "$", ""), ",", "")), "")</f>
        <v>112395.56</v>
      </c>
    </row>
    <row r="891" spans="1:18" x14ac:dyDescent="0.25">
      <c r="A891" t="str">
        <f>PROPER(TRIM(CLEAN(RAW_DATA!A891)))</f>
        <v>Emp1889</v>
      </c>
      <c r="B891" t="str">
        <f>RAW_DATA!B891</f>
        <v>Heidi</v>
      </c>
      <c r="C891" t="str">
        <f>RAW_DATA!C891</f>
        <v>Smith</v>
      </c>
      <c r="D891">
        <f>RAW_DATA!D891</f>
        <v>25</v>
      </c>
      <c r="E891" t="str">
        <f>RAW_DATA!E891</f>
        <v>Finance-New York</v>
      </c>
      <c r="F891" t="str">
        <f t="shared" si="39"/>
        <v>Finance</v>
      </c>
      <c r="G891" t="str">
        <f t="shared" si="40"/>
        <v>New York</v>
      </c>
      <c r="P891">
        <f t="shared" si="41"/>
        <v>81849.36</v>
      </c>
      <c r="Q891">
        <f>IF(PQ_Cleansing!L891="Excellent", P891 * 0.1, IF(PQ_Cleansing!L891="Good", P891 * 0.05, IF(PQ_Cleansing!L891="Average", P891 * 0.02, IF(PQ_Cleansing!L891="Poor", 0, 0))))</f>
        <v>8184.9360000000006</v>
      </c>
      <c r="R891">
        <f>IFERROR(VALUE(SUBSTITUTE(SUBSTITUTE(PQ_Cleansing!I891, "$", ""), ",", "")), "")</f>
        <v>81849.36</v>
      </c>
    </row>
    <row r="892" spans="1:18" x14ac:dyDescent="0.25">
      <c r="A892" t="str">
        <f>PROPER(TRIM(CLEAN(RAW_DATA!A892)))</f>
        <v>Emp1890</v>
      </c>
      <c r="B892" t="str">
        <f>RAW_DATA!B892</f>
        <v>Charlie</v>
      </c>
      <c r="C892" t="str">
        <f>RAW_DATA!C892</f>
        <v>Davis</v>
      </c>
      <c r="D892">
        <f>RAW_DATA!D892</f>
        <v>40</v>
      </c>
      <c r="E892" t="str">
        <f>RAW_DATA!E892</f>
        <v>DevOps-New York</v>
      </c>
      <c r="F892" t="str">
        <f t="shared" si="39"/>
        <v>DevOps</v>
      </c>
      <c r="G892" t="str">
        <f t="shared" si="40"/>
        <v>New York</v>
      </c>
      <c r="P892">
        <f t="shared" si="41"/>
        <v>118288.91</v>
      </c>
      <c r="Q892">
        <f>IF(PQ_Cleansing!L892="Excellent", P892 * 0.1, IF(PQ_Cleansing!L892="Good", P892 * 0.05, IF(PQ_Cleansing!L892="Average", P892 * 0.02, IF(PQ_Cleansing!L892="Poor", 0, 0))))</f>
        <v>0</v>
      </c>
      <c r="R892">
        <f>IFERROR(VALUE(SUBSTITUTE(SUBSTITUTE(PQ_Cleansing!I892, "$", ""), ",", "")), "")</f>
        <v>118288.91</v>
      </c>
    </row>
    <row r="893" spans="1:18" x14ac:dyDescent="0.25">
      <c r="A893" t="str">
        <f>PROPER(TRIM(CLEAN(RAW_DATA!A893)))</f>
        <v>Emp1891</v>
      </c>
      <c r="B893" t="str">
        <f>RAW_DATA!B893</f>
        <v>Charlie</v>
      </c>
      <c r="C893" t="str">
        <f>RAW_DATA!C893</f>
        <v>Davis</v>
      </c>
      <c r="D893">
        <f>RAW_DATA!D893</f>
        <v>25</v>
      </c>
      <c r="E893" t="str">
        <f>RAW_DATA!E893</f>
        <v>DevOps-Illinois</v>
      </c>
      <c r="F893" t="str">
        <f t="shared" si="39"/>
        <v>DevOps</v>
      </c>
      <c r="G893" t="str">
        <f t="shared" si="40"/>
        <v>Illinois</v>
      </c>
      <c r="P893">
        <f t="shared" si="41"/>
        <v>59555.1</v>
      </c>
      <c r="Q893">
        <f>IF(PQ_Cleansing!L893="Excellent", P893 * 0.1, IF(PQ_Cleansing!L893="Good", P893 * 0.05, IF(PQ_Cleansing!L893="Average", P893 * 0.02, IF(PQ_Cleansing!L893="Poor", 0, 0))))</f>
        <v>2977.7550000000001</v>
      </c>
      <c r="R893">
        <f>IFERROR(VALUE(SUBSTITUTE(SUBSTITUTE(PQ_Cleansing!I893, "$", ""), ",", "")), "")</f>
        <v>59555.1</v>
      </c>
    </row>
    <row r="894" spans="1:18" x14ac:dyDescent="0.25">
      <c r="A894" t="str">
        <f>PROPER(TRIM(CLEAN(RAW_DATA!A894)))</f>
        <v>Emp1892</v>
      </c>
      <c r="B894" t="str">
        <f>RAW_DATA!B894</f>
        <v>Heidi</v>
      </c>
      <c r="C894" t="str">
        <f>RAW_DATA!C894</f>
        <v>Smith</v>
      </c>
      <c r="D894">
        <f>RAW_DATA!D894</f>
        <v>40</v>
      </c>
      <c r="E894" t="str">
        <f>RAW_DATA!E894</f>
        <v>Admin-California</v>
      </c>
      <c r="F894" t="str">
        <f t="shared" si="39"/>
        <v>Admin</v>
      </c>
      <c r="G894" t="str">
        <f t="shared" si="40"/>
        <v>California</v>
      </c>
      <c r="P894">
        <f t="shared" si="41"/>
        <v>70661.31</v>
      </c>
      <c r="Q894">
        <f>IF(PQ_Cleansing!L894="Excellent", P894 * 0.1, IF(PQ_Cleansing!L894="Good", P894 * 0.05, IF(PQ_Cleansing!L894="Average", P894 * 0.02, IF(PQ_Cleansing!L894="Poor", 0, 0))))</f>
        <v>3533.0655000000002</v>
      </c>
      <c r="R894">
        <f>IFERROR(VALUE(SUBSTITUTE(SUBSTITUTE(PQ_Cleansing!I894, "$", ""), ",", "")), "")</f>
        <v>70661.31</v>
      </c>
    </row>
    <row r="895" spans="1:18" x14ac:dyDescent="0.25">
      <c r="A895" t="str">
        <f>PROPER(TRIM(CLEAN(RAW_DATA!A895)))</f>
        <v>Emp1893</v>
      </c>
      <c r="B895" t="str">
        <f>RAW_DATA!B895</f>
        <v>Charlie</v>
      </c>
      <c r="C895" t="str">
        <f>RAW_DATA!C895</f>
        <v>Jones</v>
      </c>
      <c r="D895">
        <f>RAW_DATA!D895</f>
        <v>0</v>
      </c>
      <c r="E895" t="str">
        <f>RAW_DATA!E895</f>
        <v>Sales-New York</v>
      </c>
      <c r="F895" t="str">
        <f t="shared" si="39"/>
        <v>Sales</v>
      </c>
      <c r="G895" t="str">
        <f t="shared" si="40"/>
        <v>New York</v>
      </c>
      <c r="P895">
        <f t="shared" si="41"/>
        <v>109988.16</v>
      </c>
      <c r="Q895">
        <f>IF(PQ_Cleansing!L895="Excellent", P895 * 0.1, IF(PQ_Cleansing!L895="Good", P895 * 0.05, IF(PQ_Cleansing!L895="Average", P895 * 0.02, IF(PQ_Cleansing!L895="Poor", 0, 0))))</f>
        <v>5499.4080000000004</v>
      </c>
      <c r="R895">
        <f>IFERROR(VALUE(SUBSTITUTE(SUBSTITUTE(PQ_Cleansing!I895, "$", ""), ",", "")), "")</f>
        <v>109988.16</v>
      </c>
    </row>
    <row r="896" spans="1:18" x14ac:dyDescent="0.25">
      <c r="A896" t="str">
        <f>PROPER(TRIM(CLEAN(RAW_DATA!A896)))</f>
        <v>Emp1894</v>
      </c>
      <c r="B896" t="str">
        <f>RAW_DATA!B896</f>
        <v>David</v>
      </c>
      <c r="C896" t="str">
        <f>RAW_DATA!C896</f>
        <v>Brown</v>
      </c>
      <c r="D896">
        <f>RAW_DATA!D896</f>
        <v>0</v>
      </c>
      <c r="E896" t="str">
        <f>RAW_DATA!E896</f>
        <v>Finance-Florida</v>
      </c>
      <c r="F896" t="str">
        <f t="shared" si="39"/>
        <v>Finance</v>
      </c>
      <c r="G896" t="str">
        <f t="shared" si="40"/>
        <v>Florida</v>
      </c>
      <c r="P896">
        <f t="shared" si="41"/>
        <v>101101.24</v>
      </c>
      <c r="Q896">
        <f>IF(PQ_Cleansing!L896="Excellent", P896 * 0.1, IF(PQ_Cleansing!L896="Good", P896 * 0.05, IF(PQ_Cleansing!L896="Average", P896 * 0.02, IF(PQ_Cleansing!L896="Poor", 0, 0))))</f>
        <v>0</v>
      </c>
      <c r="R896">
        <f>IFERROR(VALUE(SUBSTITUTE(SUBSTITUTE(PQ_Cleansing!I896, "$", ""), ",", "")), "")</f>
        <v>101101.24</v>
      </c>
    </row>
    <row r="897" spans="1:18" x14ac:dyDescent="0.25">
      <c r="A897" t="str">
        <f>PROPER(TRIM(CLEAN(RAW_DATA!A897)))</f>
        <v>Emp1895</v>
      </c>
      <c r="B897" t="str">
        <f>RAW_DATA!B897</f>
        <v>David</v>
      </c>
      <c r="C897" t="str">
        <f>RAW_DATA!C897</f>
        <v>Brown</v>
      </c>
      <c r="D897">
        <f>RAW_DATA!D897</f>
        <v>30</v>
      </c>
      <c r="E897" t="str">
        <f>RAW_DATA!E897</f>
        <v>HR-Florida</v>
      </c>
      <c r="F897" t="str">
        <f t="shared" si="39"/>
        <v>HR</v>
      </c>
      <c r="G897" t="str">
        <f t="shared" si="40"/>
        <v>Florida</v>
      </c>
      <c r="P897">
        <f t="shared" si="41"/>
        <v>112427.58</v>
      </c>
      <c r="Q897">
        <f>IF(PQ_Cleansing!L897="Excellent", P897 * 0.1, IF(PQ_Cleansing!L897="Good", P897 * 0.05, IF(PQ_Cleansing!L897="Average", P897 * 0.02, IF(PQ_Cleansing!L897="Poor", 0, 0))))</f>
        <v>5621.3790000000008</v>
      </c>
      <c r="R897">
        <f>IFERROR(VALUE(SUBSTITUTE(SUBSTITUTE(PQ_Cleansing!I897, "$", ""), ",", "")), "")</f>
        <v>112427.58</v>
      </c>
    </row>
    <row r="898" spans="1:18" x14ac:dyDescent="0.25">
      <c r="A898" t="str">
        <f>PROPER(TRIM(CLEAN(RAW_DATA!A898)))</f>
        <v>Emp1896</v>
      </c>
      <c r="B898" t="str">
        <f>RAW_DATA!B898</f>
        <v>Charlie</v>
      </c>
      <c r="C898" t="str">
        <f>RAW_DATA!C898</f>
        <v>Miller</v>
      </c>
      <c r="D898">
        <f>RAW_DATA!D898</f>
        <v>0</v>
      </c>
      <c r="E898" t="str">
        <f>RAW_DATA!E898</f>
        <v>Cloud Tech-Florida</v>
      </c>
      <c r="F898" t="str">
        <f t="shared" si="39"/>
        <v>Cloud Tech</v>
      </c>
      <c r="G898" t="str">
        <f t="shared" si="40"/>
        <v>Florida</v>
      </c>
      <c r="P898">
        <f t="shared" si="41"/>
        <v>119389.15</v>
      </c>
      <c r="Q898">
        <f>IF(PQ_Cleansing!L898="Excellent", P898 * 0.1, IF(PQ_Cleansing!L898="Good", P898 * 0.05, IF(PQ_Cleansing!L898="Average", P898 * 0.02, IF(PQ_Cleansing!L898="Poor", 0, 0))))</f>
        <v>0</v>
      </c>
      <c r="R898">
        <f>IFERROR(VALUE(SUBSTITUTE(SUBSTITUTE(PQ_Cleansing!I898, "$", ""), ",", "")), "")</f>
        <v>119389.15</v>
      </c>
    </row>
    <row r="899" spans="1:18" x14ac:dyDescent="0.25">
      <c r="A899" t="str">
        <f>PROPER(TRIM(CLEAN(RAW_DATA!A899)))</f>
        <v>Emp1897</v>
      </c>
      <c r="B899" t="str">
        <f>RAW_DATA!B899</f>
        <v>Alice</v>
      </c>
      <c r="C899" t="str">
        <f>RAW_DATA!C899</f>
        <v>Brown</v>
      </c>
      <c r="D899">
        <f>RAW_DATA!D899</f>
        <v>40</v>
      </c>
      <c r="E899" t="str">
        <f>RAW_DATA!E899</f>
        <v>Sales-Florida</v>
      </c>
      <c r="F899" t="str">
        <f t="shared" ref="F899:F962" si="42">LEFT(E899, FIND("-", E899) - 1)</f>
        <v>Sales</v>
      </c>
      <c r="G899" t="str">
        <f t="shared" ref="G899:G962" si="43">RIGHT(E899, LEN(E899) - FIND("-",E899))</f>
        <v>Florida</v>
      </c>
      <c r="P899">
        <f t="shared" ref="P899:P962" si="44">IF(ISNUMBER(R899), R899, AVERAGEIF($R$2:$R$1000, "&gt;0"))</f>
        <v>105861.23</v>
      </c>
      <c r="Q899">
        <f>IF(PQ_Cleansing!L899="Excellent", P899 * 0.1, IF(PQ_Cleansing!L899="Good", P899 * 0.05, IF(PQ_Cleansing!L899="Average", P899 * 0.02, IF(PQ_Cleansing!L899="Poor", 0, 0))))</f>
        <v>5293.0614999999998</v>
      </c>
      <c r="R899">
        <f>IFERROR(VALUE(SUBSTITUTE(SUBSTITUTE(PQ_Cleansing!I899, "$", ""), ",", "")), "")</f>
        <v>105861.23</v>
      </c>
    </row>
    <row r="900" spans="1:18" x14ac:dyDescent="0.25">
      <c r="A900" t="str">
        <f>PROPER(TRIM(CLEAN(RAW_DATA!A900)))</f>
        <v>Emp1898</v>
      </c>
      <c r="B900" t="str">
        <f>RAW_DATA!B900</f>
        <v>Heidi</v>
      </c>
      <c r="C900" t="str">
        <f>RAW_DATA!C900</f>
        <v>Davis</v>
      </c>
      <c r="D900">
        <f>RAW_DATA!D900</f>
        <v>40</v>
      </c>
      <c r="E900" t="str">
        <f>RAW_DATA!E900</f>
        <v>Admin-Texas</v>
      </c>
      <c r="F900" t="str">
        <f t="shared" si="42"/>
        <v>Admin</v>
      </c>
      <c r="G900" t="str">
        <f t="shared" si="43"/>
        <v>Texas</v>
      </c>
      <c r="P900">
        <f t="shared" si="44"/>
        <v>50869.61</v>
      </c>
      <c r="Q900">
        <f>IF(PQ_Cleansing!L900="Excellent", P900 * 0.1, IF(PQ_Cleansing!L900="Good", P900 * 0.05, IF(PQ_Cleansing!L900="Average", P900 * 0.02, IF(PQ_Cleansing!L900="Poor", 0, 0))))</f>
        <v>1017.3922</v>
      </c>
      <c r="R900">
        <f>IFERROR(VALUE(SUBSTITUTE(SUBSTITUTE(PQ_Cleansing!I900, "$", ""), ",", "")), "")</f>
        <v>50869.61</v>
      </c>
    </row>
    <row r="901" spans="1:18" x14ac:dyDescent="0.25">
      <c r="A901" t="str">
        <f>PROPER(TRIM(CLEAN(RAW_DATA!A901)))</f>
        <v>Emp1899</v>
      </c>
      <c r="B901" t="str">
        <f>RAW_DATA!B901</f>
        <v>David</v>
      </c>
      <c r="C901" t="str">
        <f>RAW_DATA!C901</f>
        <v>Williams</v>
      </c>
      <c r="D901">
        <f>RAW_DATA!D901</f>
        <v>30</v>
      </c>
      <c r="E901" t="str">
        <f>RAW_DATA!E901</f>
        <v>HR-California</v>
      </c>
      <c r="F901" t="str">
        <f t="shared" si="42"/>
        <v>HR</v>
      </c>
      <c r="G901" t="str">
        <f t="shared" si="43"/>
        <v>California</v>
      </c>
      <c r="P901">
        <f t="shared" si="44"/>
        <v>85268.279969293711</v>
      </c>
      <c r="Q901">
        <f>IF(PQ_Cleansing!L901="Excellent", P901 * 0.1, IF(PQ_Cleansing!L901="Good", P901 * 0.05, IF(PQ_Cleansing!L901="Average", P901 * 0.02, IF(PQ_Cleansing!L901="Poor", 0, 0))))</f>
        <v>8526.8279969293708</v>
      </c>
      <c r="R901" t="str">
        <f>IFERROR(VALUE(SUBSTITUTE(SUBSTITUTE(PQ_Cleansing!I901, "$", ""), ",", "")), "")</f>
        <v/>
      </c>
    </row>
    <row r="902" spans="1:18" x14ac:dyDescent="0.25">
      <c r="A902" t="str">
        <f>PROPER(TRIM(CLEAN(RAW_DATA!A902)))</f>
        <v>Emp1900</v>
      </c>
      <c r="B902" t="str">
        <f>RAW_DATA!B902</f>
        <v>Eva</v>
      </c>
      <c r="C902" t="str">
        <f>RAW_DATA!C902</f>
        <v>Jones</v>
      </c>
      <c r="D902">
        <f>RAW_DATA!D902</f>
        <v>30</v>
      </c>
      <c r="E902" t="str">
        <f>RAW_DATA!E902</f>
        <v>DevOps-Florida</v>
      </c>
      <c r="F902" t="str">
        <f t="shared" si="42"/>
        <v>DevOps</v>
      </c>
      <c r="G902" t="str">
        <f t="shared" si="43"/>
        <v>Florida</v>
      </c>
      <c r="P902">
        <f t="shared" si="44"/>
        <v>90856.21</v>
      </c>
      <c r="Q902">
        <f>IF(PQ_Cleansing!L902="Excellent", P902 * 0.1, IF(PQ_Cleansing!L902="Good", P902 * 0.05, IF(PQ_Cleansing!L902="Average", P902 * 0.02, IF(PQ_Cleansing!L902="Poor", 0, 0))))</f>
        <v>1817.1242000000002</v>
      </c>
      <c r="R902">
        <f>IFERROR(VALUE(SUBSTITUTE(SUBSTITUTE(PQ_Cleansing!I902, "$", ""), ",", "")), "")</f>
        <v>90856.21</v>
      </c>
    </row>
    <row r="903" spans="1:18" x14ac:dyDescent="0.25">
      <c r="A903" t="str">
        <f>PROPER(TRIM(CLEAN(RAW_DATA!A903)))</f>
        <v>Emp1901</v>
      </c>
      <c r="B903" t="str">
        <f>RAW_DATA!B903</f>
        <v>Heidi</v>
      </c>
      <c r="C903" t="str">
        <f>RAW_DATA!C903</f>
        <v>Brown</v>
      </c>
      <c r="D903">
        <f>RAW_DATA!D903</f>
        <v>30</v>
      </c>
      <c r="E903" t="str">
        <f>RAW_DATA!E903</f>
        <v>DevOps-Florida</v>
      </c>
      <c r="F903" t="str">
        <f t="shared" si="42"/>
        <v>DevOps</v>
      </c>
      <c r="G903" t="str">
        <f t="shared" si="43"/>
        <v>Florida</v>
      </c>
      <c r="P903">
        <f t="shared" si="44"/>
        <v>111008.63</v>
      </c>
      <c r="Q903">
        <f>IF(PQ_Cleansing!L903="Excellent", P903 * 0.1, IF(PQ_Cleansing!L903="Good", P903 * 0.05, IF(PQ_Cleansing!L903="Average", P903 * 0.02, IF(PQ_Cleansing!L903="Poor", 0, 0))))</f>
        <v>11100.863000000001</v>
      </c>
      <c r="R903">
        <f>IFERROR(VALUE(SUBSTITUTE(SUBSTITUTE(PQ_Cleansing!I903, "$", ""), ",", "")), "")</f>
        <v>111008.63</v>
      </c>
    </row>
    <row r="904" spans="1:18" x14ac:dyDescent="0.25">
      <c r="A904" t="str">
        <f>PROPER(TRIM(CLEAN(RAW_DATA!A904)))</f>
        <v>Emp1902</v>
      </c>
      <c r="B904" t="str">
        <f>RAW_DATA!B904</f>
        <v>Alice</v>
      </c>
      <c r="C904" t="str">
        <f>RAW_DATA!C904</f>
        <v>Miller</v>
      </c>
      <c r="D904">
        <f>RAW_DATA!D904</f>
        <v>25</v>
      </c>
      <c r="E904" t="str">
        <f>RAW_DATA!E904</f>
        <v>Finance-Nevada</v>
      </c>
      <c r="F904" t="str">
        <f t="shared" si="42"/>
        <v>Finance</v>
      </c>
      <c r="G904" t="str">
        <f t="shared" si="43"/>
        <v>Nevada</v>
      </c>
      <c r="P904">
        <f t="shared" si="44"/>
        <v>52289.99</v>
      </c>
      <c r="Q904">
        <f>IF(PQ_Cleansing!L904="Excellent", P904 * 0.1, IF(PQ_Cleansing!L904="Good", P904 * 0.05, IF(PQ_Cleansing!L904="Average", P904 * 0.02, IF(PQ_Cleansing!L904="Poor", 0, 0))))</f>
        <v>0</v>
      </c>
      <c r="R904">
        <f>IFERROR(VALUE(SUBSTITUTE(SUBSTITUTE(PQ_Cleansing!I904, "$", ""), ",", "")), "")</f>
        <v>52289.99</v>
      </c>
    </row>
    <row r="905" spans="1:18" x14ac:dyDescent="0.25">
      <c r="A905" t="str">
        <f>PROPER(TRIM(CLEAN(RAW_DATA!A905)))</f>
        <v>Emp1903</v>
      </c>
      <c r="B905" t="str">
        <f>RAW_DATA!B905</f>
        <v>Eva</v>
      </c>
      <c r="C905" t="str">
        <f>RAW_DATA!C905</f>
        <v>Davis</v>
      </c>
      <c r="D905">
        <f>RAW_DATA!D905</f>
        <v>0</v>
      </c>
      <c r="E905" t="str">
        <f>RAW_DATA!E905</f>
        <v>Sales-Illinois</v>
      </c>
      <c r="F905" t="str">
        <f t="shared" si="42"/>
        <v>Sales</v>
      </c>
      <c r="G905" t="str">
        <f t="shared" si="43"/>
        <v>Illinois</v>
      </c>
      <c r="P905">
        <f t="shared" si="44"/>
        <v>97926.56</v>
      </c>
      <c r="Q905">
        <f>IF(PQ_Cleansing!L905="Excellent", P905 * 0.1, IF(PQ_Cleansing!L905="Good", P905 * 0.05, IF(PQ_Cleansing!L905="Average", P905 * 0.02, IF(PQ_Cleansing!L905="Poor", 0, 0))))</f>
        <v>1958.5311999999999</v>
      </c>
      <c r="R905">
        <f>IFERROR(VALUE(SUBSTITUTE(SUBSTITUTE(PQ_Cleansing!I905, "$", ""), ",", "")), "")</f>
        <v>97926.56</v>
      </c>
    </row>
    <row r="906" spans="1:18" x14ac:dyDescent="0.25">
      <c r="A906" t="str">
        <f>PROPER(TRIM(CLEAN(RAW_DATA!A906)))</f>
        <v>Emp1904</v>
      </c>
      <c r="B906" t="str">
        <f>RAW_DATA!B906</f>
        <v>Frank</v>
      </c>
      <c r="C906" t="str">
        <f>RAW_DATA!C906</f>
        <v>Williams</v>
      </c>
      <c r="D906">
        <f>RAW_DATA!D906</f>
        <v>25</v>
      </c>
      <c r="E906" t="str">
        <f>RAW_DATA!E906</f>
        <v>Sales-Nevada</v>
      </c>
      <c r="F906" t="str">
        <f t="shared" si="42"/>
        <v>Sales</v>
      </c>
      <c r="G906" t="str">
        <f t="shared" si="43"/>
        <v>Nevada</v>
      </c>
      <c r="P906">
        <f t="shared" si="44"/>
        <v>53609.38</v>
      </c>
      <c r="Q906">
        <f>IF(PQ_Cleansing!L906="Excellent", P906 * 0.1, IF(PQ_Cleansing!L906="Good", P906 * 0.05, IF(PQ_Cleansing!L906="Average", P906 * 0.02, IF(PQ_Cleansing!L906="Poor", 0, 0))))</f>
        <v>2680.4690000000001</v>
      </c>
      <c r="R906">
        <f>IFERROR(VALUE(SUBSTITUTE(SUBSTITUTE(PQ_Cleansing!I906, "$", ""), ",", "")), "")</f>
        <v>53609.38</v>
      </c>
    </row>
    <row r="907" spans="1:18" x14ac:dyDescent="0.25">
      <c r="A907" t="str">
        <f>PROPER(TRIM(CLEAN(RAW_DATA!A907)))</f>
        <v>Emp1905</v>
      </c>
      <c r="B907" t="str">
        <f>RAW_DATA!B907</f>
        <v>Heidi</v>
      </c>
      <c r="C907" t="str">
        <f>RAW_DATA!C907</f>
        <v>Johnson</v>
      </c>
      <c r="D907">
        <f>RAW_DATA!D907</f>
        <v>0</v>
      </c>
      <c r="E907" t="str">
        <f>RAW_DATA!E907</f>
        <v>Cloud Tech-California</v>
      </c>
      <c r="F907" t="str">
        <f t="shared" si="42"/>
        <v>Cloud Tech</v>
      </c>
      <c r="G907" t="str">
        <f t="shared" si="43"/>
        <v>California</v>
      </c>
      <c r="P907">
        <f t="shared" si="44"/>
        <v>95372.09</v>
      </c>
      <c r="Q907">
        <f>IF(PQ_Cleansing!L907="Excellent", P907 * 0.1, IF(PQ_Cleansing!L907="Good", P907 * 0.05, IF(PQ_Cleansing!L907="Average", P907 * 0.02, IF(PQ_Cleansing!L907="Poor", 0, 0))))</f>
        <v>9537.2090000000007</v>
      </c>
      <c r="R907">
        <f>IFERROR(VALUE(SUBSTITUTE(SUBSTITUTE(PQ_Cleansing!I907, "$", ""), ",", "")), "")</f>
        <v>95372.09</v>
      </c>
    </row>
    <row r="908" spans="1:18" x14ac:dyDescent="0.25">
      <c r="A908" t="str">
        <f>PROPER(TRIM(CLEAN(RAW_DATA!A908)))</f>
        <v>Emp1906</v>
      </c>
      <c r="B908" t="str">
        <f>RAW_DATA!B908</f>
        <v>David</v>
      </c>
      <c r="C908" t="str">
        <f>RAW_DATA!C908</f>
        <v>Johnson</v>
      </c>
      <c r="D908">
        <f>RAW_DATA!D908</f>
        <v>30</v>
      </c>
      <c r="E908" t="str">
        <f>RAW_DATA!E908</f>
        <v>HR-New York</v>
      </c>
      <c r="F908" t="str">
        <f t="shared" si="42"/>
        <v>HR</v>
      </c>
      <c r="G908" t="str">
        <f t="shared" si="43"/>
        <v>New York</v>
      </c>
      <c r="P908">
        <f t="shared" si="44"/>
        <v>95432.69</v>
      </c>
      <c r="Q908">
        <f>IF(PQ_Cleansing!L908="Excellent", P908 * 0.1, IF(PQ_Cleansing!L908="Good", P908 * 0.05, IF(PQ_Cleansing!L908="Average", P908 * 0.02, IF(PQ_Cleansing!L908="Poor", 0, 0))))</f>
        <v>9543.2690000000002</v>
      </c>
      <c r="R908">
        <f>IFERROR(VALUE(SUBSTITUTE(SUBSTITUTE(PQ_Cleansing!I908, "$", ""), ",", "")), "")</f>
        <v>95432.69</v>
      </c>
    </row>
    <row r="909" spans="1:18" x14ac:dyDescent="0.25">
      <c r="A909" t="str">
        <f>PROPER(TRIM(CLEAN(RAW_DATA!A909)))</f>
        <v>Emp1907</v>
      </c>
      <c r="B909" t="str">
        <f>RAW_DATA!B909</f>
        <v>David</v>
      </c>
      <c r="C909" t="str">
        <f>RAW_DATA!C909</f>
        <v>Williams</v>
      </c>
      <c r="D909">
        <f>RAW_DATA!D909</f>
        <v>30</v>
      </c>
      <c r="E909" t="str">
        <f>RAW_DATA!E909</f>
        <v>HR-California</v>
      </c>
      <c r="F909" t="str">
        <f t="shared" si="42"/>
        <v>HR</v>
      </c>
      <c r="G909" t="str">
        <f t="shared" si="43"/>
        <v>California</v>
      </c>
      <c r="P909">
        <f t="shared" si="44"/>
        <v>97615.87</v>
      </c>
      <c r="Q909">
        <f>IF(PQ_Cleansing!L909="Excellent", P909 * 0.1, IF(PQ_Cleansing!L909="Good", P909 * 0.05, IF(PQ_Cleansing!L909="Average", P909 * 0.02, IF(PQ_Cleansing!L909="Poor", 0, 0))))</f>
        <v>1952.3173999999999</v>
      </c>
      <c r="R909">
        <f>IFERROR(VALUE(SUBSTITUTE(SUBSTITUTE(PQ_Cleansing!I909, "$", ""), ",", "")), "")</f>
        <v>97615.87</v>
      </c>
    </row>
    <row r="910" spans="1:18" x14ac:dyDescent="0.25">
      <c r="A910" t="str">
        <f>PROPER(TRIM(CLEAN(RAW_DATA!A910)))</f>
        <v>Emp1908</v>
      </c>
      <c r="B910" t="str">
        <f>RAW_DATA!B910</f>
        <v>Bob</v>
      </c>
      <c r="C910" t="str">
        <f>RAW_DATA!C910</f>
        <v>Davis</v>
      </c>
      <c r="D910">
        <f>RAW_DATA!D910</f>
        <v>35</v>
      </c>
      <c r="E910" t="str">
        <f>RAW_DATA!E910</f>
        <v>HR-Florida</v>
      </c>
      <c r="F910" t="str">
        <f t="shared" si="42"/>
        <v>HR</v>
      </c>
      <c r="G910" t="str">
        <f t="shared" si="43"/>
        <v>Florida</v>
      </c>
      <c r="P910">
        <f t="shared" si="44"/>
        <v>86867.78</v>
      </c>
      <c r="Q910">
        <f>IF(PQ_Cleansing!L910="Excellent", P910 * 0.1, IF(PQ_Cleansing!L910="Good", P910 * 0.05, IF(PQ_Cleansing!L910="Average", P910 * 0.02, IF(PQ_Cleansing!L910="Poor", 0, 0))))</f>
        <v>0</v>
      </c>
      <c r="R910">
        <f>IFERROR(VALUE(SUBSTITUTE(SUBSTITUTE(PQ_Cleansing!I910, "$", ""), ",", "")), "")</f>
        <v>86867.78</v>
      </c>
    </row>
    <row r="911" spans="1:18" x14ac:dyDescent="0.25">
      <c r="A911" t="str">
        <f>PROPER(TRIM(CLEAN(RAW_DATA!A911)))</f>
        <v>Emp1909</v>
      </c>
      <c r="B911" t="str">
        <f>RAW_DATA!B911</f>
        <v>Eva</v>
      </c>
      <c r="C911" t="str">
        <f>RAW_DATA!C911</f>
        <v>Miller</v>
      </c>
      <c r="D911">
        <f>RAW_DATA!D911</f>
        <v>40</v>
      </c>
      <c r="E911" t="str">
        <f>RAW_DATA!E911</f>
        <v>Sales-California</v>
      </c>
      <c r="F911" t="str">
        <f t="shared" si="42"/>
        <v>Sales</v>
      </c>
      <c r="G911" t="str">
        <f t="shared" si="43"/>
        <v>California</v>
      </c>
      <c r="P911">
        <f t="shared" si="44"/>
        <v>106615.71</v>
      </c>
      <c r="Q911">
        <f>IF(PQ_Cleansing!L911="Excellent", P911 * 0.1, IF(PQ_Cleansing!L911="Good", P911 * 0.05, IF(PQ_Cleansing!L911="Average", P911 * 0.02, IF(PQ_Cleansing!L911="Poor", 0, 0))))</f>
        <v>2132.3142000000003</v>
      </c>
      <c r="R911">
        <f>IFERROR(VALUE(SUBSTITUTE(SUBSTITUTE(PQ_Cleansing!I911, "$", ""), ",", "")), "")</f>
        <v>106615.71</v>
      </c>
    </row>
    <row r="912" spans="1:18" x14ac:dyDescent="0.25">
      <c r="A912" t="str">
        <f>PROPER(TRIM(CLEAN(RAW_DATA!A912)))</f>
        <v>Emp1910</v>
      </c>
      <c r="B912" t="str">
        <f>RAW_DATA!B912</f>
        <v>Bob</v>
      </c>
      <c r="C912" t="str">
        <f>RAW_DATA!C912</f>
        <v>Williams</v>
      </c>
      <c r="D912">
        <f>RAW_DATA!D912</f>
        <v>30</v>
      </c>
      <c r="E912" t="str">
        <f>RAW_DATA!E912</f>
        <v>Finance-Texas</v>
      </c>
      <c r="F912" t="str">
        <f t="shared" si="42"/>
        <v>Finance</v>
      </c>
      <c r="G912" t="str">
        <f t="shared" si="43"/>
        <v>Texas</v>
      </c>
      <c r="P912">
        <f t="shared" si="44"/>
        <v>112856.21</v>
      </c>
      <c r="Q912">
        <f>IF(PQ_Cleansing!L912="Excellent", P912 * 0.1, IF(PQ_Cleansing!L912="Good", P912 * 0.05, IF(PQ_Cleansing!L912="Average", P912 * 0.02, IF(PQ_Cleansing!L912="Poor", 0, 0))))</f>
        <v>0</v>
      </c>
      <c r="R912">
        <f>IFERROR(VALUE(SUBSTITUTE(SUBSTITUTE(PQ_Cleansing!I912, "$", ""), ",", "")), "")</f>
        <v>112856.21</v>
      </c>
    </row>
    <row r="913" spans="1:18" x14ac:dyDescent="0.25">
      <c r="A913" t="str">
        <f>PROPER(TRIM(CLEAN(RAW_DATA!A913)))</f>
        <v>Emp1911</v>
      </c>
      <c r="B913" t="str">
        <f>RAW_DATA!B913</f>
        <v>Bob</v>
      </c>
      <c r="C913" t="str">
        <f>RAW_DATA!C913</f>
        <v>Jones</v>
      </c>
      <c r="D913">
        <f>RAW_DATA!D913</f>
        <v>25</v>
      </c>
      <c r="E913" t="str">
        <f>RAW_DATA!E913</f>
        <v>Admin-California</v>
      </c>
      <c r="F913" t="str">
        <f t="shared" si="42"/>
        <v>Admin</v>
      </c>
      <c r="G913" t="str">
        <f t="shared" si="43"/>
        <v>California</v>
      </c>
      <c r="P913">
        <f t="shared" si="44"/>
        <v>60356.78</v>
      </c>
      <c r="Q913">
        <f>IF(PQ_Cleansing!L913="Excellent", P913 * 0.1, IF(PQ_Cleansing!L913="Good", P913 * 0.05, IF(PQ_Cleansing!L913="Average", P913 * 0.02, IF(PQ_Cleansing!L913="Poor", 0, 0))))</f>
        <v>0</v>
      </c>
      <c r="R913">
        <f>IFERROR(VALUE(SUBSTITUTE(SUBSTITUTE(PQ_Cleansing!I913, "$", ""), ",", "")), "")</f>
        <v>60356.78</v>
      </c>
    </row>
    <row r="914" spans="1:18" x14ac:dyDescent="0.25">
      <c r="A914" t="str">
        <f>PROPER(TRIM(CLEAN(RAW_DATA!A914)))</f>
        <v>Emp1912</v>
      </c>
      <c r="B914" t="str">
        <f>RAW_DATA!B914</f>
        <v>David</v>
      </c>
      <c r="C914" t="str">
        <f>RAW_DATA!C914</f>
        <v>Jones</v>
      </c>
      <c r="D914">
        <f>RAW_DATA!D914</f>
        <v>0</v>
      </c>
      <c r="E914" t="str">
        <f>RAW_DATA!E914</f>
        <v>DevOps-Texas</v>
      </c>
      <c r="F914" t="str">
        <f t="shared" si="42"/>
        <v>DevOps</v>
      </c>
      <c r="G914" t="str">
        <f t="shared" si="43"/>
        <v>Texas</v>
      </c>
      <c r="P914">
        <f t="shared" si="44"/>
        <v>117870.22</v>
      </c>
      <c r="Q914">
        <f>IF(PQ_Cleansing!L914="Excellent", P914 * 0.1, IF(PQ_Cleansing!L914="Good", P914 * 0.05, IF(PQ_Cleansing!L914="Average", P914 * 0.02, IF(PQ_Cleansing!L914="Poor", 0, 0))))</f>
        <v>11787.022000000001</v>
      </c>
      <c r="R914">
        <f>IFERROR(VALUE(SUBSTITUTE(SUBSTITUTE(PQ_Cleansing!I914, "$", ""), ",", "")), "")</f>
        <v>117870.22</v>
      </c>
    </row>
    <row r="915" spans="1:18" x14ac:dyDescent="0.25">
      <c r="A915" t="str">
        <f>PROPER(TRIM(CLEAN(RAW_DATA!A915)))</f>
        <v>Emp1913</v>
      </c>
      <c r="B915" t="str">
        <f>RAW_DATA!B915</f>
        <v>Charlie</v>
      </c>
      <c r="C915" t="str">
        <f>RAW_DATA!C915</f>
        <v>Johnson</v>
      </c>
      <c r="D915">
        <f>RAW_DATA!D915</f>
        <v>40</v>
      </c>
      <c r="E915" t="str">
        <f>RAW_DATA!E915</f>
        <v>HR-Florida</v>
      </c>
      <c r="F915" t="str">
        <f t="shared" si="42"/>
        <v>HR</v>
      </c>
      <c r="G915" t="str">
        <f t="shared" si="43"/>
        <v>Florida</v>
      </c>
      <c r="P915">
        <f t="shared" si="44"/>
        <v>95127.91</v>
      </c>
      <c r="Q915">
        <f>IF(PQ_Cleansing!L915="Excellent", P915 * 0.1, IF(PQ_Cleansing!L915="Good", P915 * 0.05, IF(PQ_Cleansing!L915="Average", P915 * 0.02, IF(PQ_Cleansing!L915="Poor", 0, 0))))</f>
        <v>1902.5582000000002</v>
      </c>
      <c r="R915">
        <f>IFERROR(VALUE(SUBSTITUTE(SUBSTITUTE(PQ_Cleansing!I915, "$", ""), ",", "")), "")</f>
        <v>95127.91</v>
      </c>
    </row>
    <row r="916" spans="1:18" x14ac:dyDescent="0.25">
      <c r="A916" t="str">
        <f>PROPER(TRIM(CLEAN(RAW_DATA!A916)))</f>
        <v>Emp1914</v>
      </c>
      <c r="B916" t="str">
        <f>RAW_DATA!B916</f>
        <v>Bob</v>
      </c>
      <c r="C916" t="str">
        <f>RAW_DATA!C916</f>
        <v>Brown</v>
      </c>
      <c r="D916">
        <f>RAW_DATA!D916</f>
        <v>25</v>
      </c>
      <c r="E916" t="str">
        <f>RAW_DATA!E916</f>
        <v>Admin-Illinois</v>
      </c>
      <c r="F916" t="str">
        <f t="shared" si="42"/>
        <v>Admin</v>
      </c>
      <c r="G916" t="str">
        <f t="shared" si="43"/>
        <v>Illinois</v>
      </c>
      <c r="P916">
        <f t="shared" si="44"/>
        <v>78818.42</v>
      </c>
      <c r="Q916">
        <f>IF(PQ_Cleansing!L916="Excellent", P916 * 0.1, IF(PQ_Cleansing!L916="Good", P916 * 0.05, IF(PQ_Cleansing!L916="Average", P916 * 0.02, IF(PQ_Cleansing!L916="Poor", 0, 0))))</f>
        <v>1576.3684000000001</v>
      </c>
      <c r="R916">
        <f>IFERROR(VALUE(SUBSTITUTE(SUBSTITUTE(PQ_Cleansing!I916, "$", ""), ",", "")), "")</f>
        <v>78818.42</v>
      </c>
    </row>
    <row r="917" spans="1:18" x14ac:dyDescent="0.25">
      <c r="A917" t="str">
        <f>PROPER(TRIM(CLEAN(RAW_DATA!A917)))</f>
        <v>Emp1915</v>
      </c>
      <c r="B917" t="str">
        <f>RAW_DATA!B917</f>
        <v>Frank</v>
      </c>
      <c r="C917" t="str">
        <f>RAW_DATA!C917</f>
        <v>Miller</v>
      </c>
      <c r="D917">
        <f>RAW_DATA!D917</f>
        <v>40</v>
      </c>
      <c r="E917" t="str">
        <f>RAW_DATA!E917</f>
        <v>Sales-Nevada</v>
      </c>
      <c r="F917" t="str">
        <f t="shared" si="42"/>
        <v>Sales</v>
      </c>
      <c r="G917" t="str">
        <f t="shared" si="43"/>
        <v>Nevada</v>
      </c>
      <c r="P917">
        <f t="shared" si="44"/>
        <v>108933.55</v>
      </c>
      <c r="Q917">
        <f>IF(PQ_Cleansing!L917="Excellent", P917 * 0.1, IF(PQ_Cleansing!L917="Good", P917 * 0.05, IF(PQ_Cleansing!L917="Average", P917 * 0.02, IF(PQ_Cleansing!L917="Poor", 0, 0))))</f>
        <v>0</v>
      </c>
      <c r="R917">
        <f>IFERROR(VALUE(SUBSTITUTE(SUBSTITUTE(PQ_Cleansing!I917, "$", ""), ",", "")), "")</f>
        <v>108933.55</v>
      </c>
    </row>
    <row r="918" spans="1:18" x14ac:dyDescent="0.25">
      <c r="A918" t="str">
        <f>PROPER(TRIM(CLEAN(RAW_DATA!A918)))</f>
        <v>Emp1916</v>
      </c>
      <c r="B918" t="str">
        <f>RAW_DATA!B918</f>
        <v>Eva</v>
      </c>
      <c r="C918" t="str">
        <f>RAW_DATA!C918</f>
        <v>Johnson</v>
      </c>
      <c r="D918">
        <f>RAW_DATA!D918</f>
        <v>0</v>
      </c>
      <c r="E918" t="str">
        <f>RAW_DATA!E918</f>
        <v>Admin-California</v>
      </c>
      <c r="F918" t="str">
        <f t="shared" si="42"/>
        <v>Admin</v>
      </c>
      <c r="G918" t="str">
        <f t="shared" si="43"/>
        <v>California</v>
      </c>
      <c r="P918">
        <f t="shared" si="44"/>
        <v>68200.52</v>
      </c>
      <c r="Q918">
        <f>IF(PQ_Cleansing!L918="Excellent", P918 * 0.1, IF(PQ_Cleansing!L918="Good", P918 * 0.05, IF(PQ_Cleansing!L918="Average", P918 * 0.02, IF(PQ_Cleansing!L918="Poor", 0, 0))))</f>
        <v>1364.0104000000001</v>
      </c>
      <c r="R918">
        <f>IFERROR(VALUE(SUBSTITUTE(SUBSTITUTE(PQ_Cleansing!I918, "$", ""), ",", "")), "")</f>
        <v>68200.52</v>
      </c>
    </row>
    <row r="919" spans="1:18" x14ac:dyDescent="0.25">
      <c r="A919" t="str">
        <f>PROPER(TRIM(CLEAN(RAW_DATA!A919)))</f>
        <v>Emp1917</v>
      </c>
      <c r="B919" t="str">
        <f>RAW_DATA!B919</f>
        <v>Eva</v>
      </c>
      <c r="C919" t="str">
        <f>RAW_DATA!C919</f>
        <v>Brown</v>
      </c>
      <c r="D919">
        <f>RAW_DATA!D919</f>
        <v>25</v>
      </c>
      <c r="E919" t="str">
        <f>RAW_DATA!E919</f>
        <v>Admin-California</v>
      </c>
      <c r="F919" t="str">
        <f t="shared" si="42"/>
        <v>Admin</v>
      </c>
      <c r="G919" t="str">
        <f t="shared" si="43"/>
        <v>California</v>
      </c>
      <c r="P919">
        <f t="shared" si="44"/>
        <v>116934.97</v>
      </c>
      <c r="Q919">
        <f>IF(PQ_Cleansing!L919="Excellent", P919 * 0.1, IF(PQ_Cleansing!L919="Good", P919 * 0.05, IF(PQ_Cleansing!L919="Average", P919 * 0.02, IF(PQ_Cleansing!L919="Poor", 0, 0))))</f>
        <v>5846.7485000000006</v>
      </c>
      <c r="R919">
        <f>IFERROR(VALUE(SUBSTITUTE(SUBSTITUTE(PQ_Cleansing!I919, "$", ""), ",", "")), "")</f>
        <v>116934.97</v>
      </c>
    </row>
    <row r="920" spans="1:18" x14ac:dyDescent="0.25">
      <c r="A920" t="str">
        <f>PROPER(TRIM(CLEAN(RAW_DATA!A920)))</f>
        <v>Emp1918</v>
      </c>
      <c r="B920" t="str">
        <f>RAW_DATA!B920</f>
        <v>Charlie</v>
      </c>
      <c r="C920" t="str">
        <f>RAW_DATA!C920</f>
        <v>Brown</v>
      </c>
      <c r="D920">
        <f>RAW_DATA!D920</f>
        <v>0</v>
      </c>
      <c r="E920" t="str">
        <f>RAW_DATA!E920</f>
        <v>HR-New York</v>
      </c>
      <c r="F920" t="str">
        <f t="shared" si="42"/>
        <v>HR</v>
      </c>
      <c r="G920" t="str">
        <f t="shared" si="43"/>
        <v>New York</v>
      </c>
      <c r="P920">
        <f t="shared" si="44"/>
        <v>99567.78</v>
      </c>
      <c r="Q920">
        <f>IF(PQ_Cleansing!L920="Excellent", P920 * 0.1, IF(PQ_Cleansing!L920="Good", P920 * 0.05, IF(PQ_Cleansing!L920="Average", P920 * 0.02, IF(PQ_Cleansing!L920="Poor", 0, 0))))</f>
        <v>4978.3890000000001</v>
      </c>
      <c r="R920">
        <f>IFERROR(VALUE(SUBSTITUTE(SUBSTITUTE(PQ_Cleansing!I920, "$", ""), ",", "")), "")</f>
        <v>99567.78</v>
      </c>
    </row>
    <row r="921" spans="1:18" x14ac:dyDescent="0.25">
      <c r="A921" t="str">
        <f>PROPER(TRIM(CLEAN(RAW_DATA!A921)))</f>
        <v>Emp1919</v>
      </c>
      <c r="B921" t="str">
        <f>RAW_DATA!B921</f>
        <v>Charlie</v>
      </c>
      <c r="C921" t="str">
        <f>RAW_DATA!C921</f>
        <v>Garcia</v>
      </c>
      <c r="D921">
        <f>RAW_DATA!D921</f>
        <v>30</v>
      </c>
      <c r="E921" t="str">
        <f>RAW_DATA!E921</f>
        <v>Admin-Texas</v>
      </c>
      <c r="F921" t="str">
        <f t="shared" si="42"/>
        <v>Admin</v>
      </c>
      <c r="G921" t="str">
        <f t="shared" si="43"/>
        <v>Texas</v>
      </c>
      <c r="P921">
        <f t="shared" si="44"/>
        <v>90216.76</v>
      </c>
      <c r="Q921">
        <f>IF(PQ_Cleansing!L921="Excellent", P921 * 0.1, IF(PQ_Cleansing!L921="Good", P921 * 0.05, IF(PQ_Cleansing!L921="Average", P921 * 0.02, IF(PQ_Cleansing!L921="Poor", 0, 0))))</f>
        <v>1804.3352</v>
      </c>
      <c r="R921">
        <f>IFERROR(VALUE(SUBSTITUTE(SUBSTITUTE(PQ_Cleansing!I921, "$", ""), ",", "")), "")</f>
        <v>90216.76</v>
      </c>
    </row>
    <row r="922" spans="1:18" x14ac:dyDescent="0.25">
      <c r="A922" t="str">
        <f>PROPER(TRIM(CLEAN(RAW_DATA!A922)))</f>
        <v>Emp1920</v>
      </c>
      <c r="B922" t="str">
        <f>RAW_DATA!B922</f>
        <v>Frank</v>
      </c>
      <c r="C922" t="str">
        <f>RAW_DATA!C922</f>
        <v>Jones</v>
      </c>
      <c r="D922">
        <f>RAW_DATA!D922</f>
        <v>30</v>
      </c>
      <c r="E922" t="str">
        <f>RAW_DATA!E922</f>
        <v>Admin-Illinois</v>
      </c>
      <c r="F922" t="str">
        <f t="shared" si="42"/>
        <v>Admin</v>
      </c>
      <c r="G922" t="str">
        <f t="shared" si="43"/>
        <v>Illinois</v>
      </c>
      <c r="P922">
        <f t="shared" si="44"/>
        <v>96588.73</v>
      </c>
      <c r="Q922">
        <f>IF(PQ_Cleansing!L922="Excellent", P922 * 0.1, IF(PQ_Cleansing!L922="Good", P922 * 0.05, IF(PQ_Cleansing!L922="Average", P922 * 0.02, IF(PQ_Cleansing!L922="Poor", 0, 0))))</f>
        <v>1931.7746</v>
      </c>
      <c r="R922">
        <f>IFERROR(VALUE(SUBSTITUTE(SUBSTITUTE(PQ_Cleansing!I922, "$", ""), ",", "")), "")</f>
        <v>96588.73</v>
      </c>
    </row>
    <row r="923" spans="1:18" x14ac:dyDescent="0.25">
      <c r="A923" t="str">
        <f>PROPER(TRIM(CLEAN(RAW_DATA!A923)))</f>
        <v>Emp1921</v>
      </c>
      <c r="B923" t="str">
        <f>RAW_DATA!B923</f>
        <v>Charlie</v>
      </c>
      <c r="C923" t="str">
        <f>RAW_DATA!C923</f>
        <v>Davis</v>
      </c>
      <c r="D923">
        <f>RAW_DATA!D923</f>
        <v>35</v>
      </c>
      <c r="E923" t="str">
        <f>RAW_DATA!E923</f>
        <v>Finance-Illinois</v>
      </c>
      <c r="F923" t="str">
        <f t="shared" si="42"/>
        <v>Finance</v>
      </c>
      <c r="G923" t="str">
        <f t="shared" si="43"/>
        <v>Illinois</v>
      </c>
      <c r="P923">
        <f t="shared" si="44"/>
        <v>71109.179999999993</v>
      </c>
      <c r="Q923">
        <f>IF(PQ_Cleansing!L923="Excellent", P923 * 0.1, IF(PQ_Cleansing!L923="Good", P923 * 0.05, IF(PQ_Cleansing!L923="Average", P923 * 0.02, IF(PQ_Cleansing!L923="Poor", 0, 0))))</f>
        <v>0</v>
      </c>
      <c r="R923">
        <f>IFERROR(VALUE(SUBSTITUTE(SUBSTITUTE(PQ_Cleansing!I923, "$", ""), ",", "")), "")</f>
        <v>71109.179999999993</v>
      </c>
    </row>
    <row r="924" spans="1:18" x14ac:dyDescent="0.25">
      <c r="A924" t="str">
        <f>PROPER(TRIM(CLEAN(RAW_DATA!A924)))</f>
        <v>Emp1922</v>
      </c>
      <c r="B924" t="str">
        <f>RAW_DATA!B924</f>
        <v>Grace</v>
      </c>
      <c r="C924" t="str">
        <f>RAW_DATA!C924</f>
        <v>Smith</v>
      </c>
      <c r="D924">
        <f>RAW_DATA!D924</f>
        <v>40</v>
      </c>
      <c r="E924" t="str">
        <f>RAW_DATA!E924</f>
        <v>Admin-Florida</v>
      </c>
      <c r="F924" t="str">
        <f t="shared" si="42"/>
        <v>Admin</v>
      </c>
      <c r="G924" t="str">
        <f t="shared" si="43"/>
        <v>Florida</v>
      </c>
      <c r="P924">
        <f t="shared" si="44"/>
        <v>50300.6</v>
      </c>
      <c r="Q924">
        <f>IF(PQ_Cleansing!L924="Excellent", P924 * 0.1, IF(PQ_Cleansing!L924="Good", P924 * 0.05, IF(PQ_Cleansing!L924="Average", P924 * 0.02, IF(PQ_Cleansing!L924="Poor", 0, 0))))</f>
        <v>2515.0300000000002</v>
      </c>
      <c r="R924">
        <f>IFERROR(VALUE(SUBSTITUTE(SUBSTITUTE(PQ_Cleansing!I924, "$", ""), ",", "")), "")</f>
        <v>50300.6</v>
      </c>
    </row>
    <row r="925" spans="1:18" x14ac:dyDescent="0.25">
      <c r="A925" t="str">
        <f>PROPER(TRIM(CLEAN(RAW_DATA!A925)))</f>
        <v>Emp1923</v>
      </c>
      <c r="B925" t="str">
        <f>RAW_DATA!B925</f>
        <v>Frank</v>
      </c>
      <c r="C925" t="str">
        <f>RAW_DATA!C925</f>
        <v>Davis</v>
      </c>
      <c r="D925">
        <f>RAW_DATA!D925</f>
        <v>35</v>
      </c>
      <c r="E925" t="str">
        <f>RAW_DATA!E925</f>
        <v>Finance-California</v>
      </c>
      <c r="F925" t="str">
        <f t="shared" si="42"/>
        <v>Finance</v>
      </c>
      <c r="G925" t="str">
        <f t="shared" si="43"/>
        <v>California</v>
      </c>
      <c r="P925">
        <f t="shared" si="44"/>
        <v>60295.839999999997</v>
      </c>
      <c r="Q925">
        <f>IF(PQ_Cleansing!L925="Excellent", P925 * 0.1, IF(PQ_Cleansing!L925="Good", P925 * 0.05, IF(PQ_Cleansing!L925="Average", P925 * 0.02, IF(PQ_Cleansing!L925="Poor", 0, 0))))</f>
        <v>3014.7919999999999</v>
      </c>
      <c r="R925">
        <f>IFERROR(VALUE(SUBSTITUTE(SUBSTITUTE(PQ_Cleansing!I925, "$", ""), ",", "")), "")</f>
        <v>60295.839999999997</v>
      </c>
    </row>
    <row r="926" spans="1:18" x14ac:dyDescent="0.25">
      <c r="A926" t="str">
        <f>PROPER(TRIM(CLEAN(RAW_DATA!A926)))</f>
        <v>Emp1924</v>
      </c>
      <c r="B926" t="str">
        <f>RAW_DATA!B926</f>
        <v>Heidi</v>
      </c>
      <c r="C926" t="str">
        <f>RAW_DATA!C926</f>
        <v>Smith</v>
      </c>
      <c r="D926">
        <f>RAW_DATA!D926</f>
        <v>35</v>
      </c>
      <c r="E926" t="str">
        <f>RAW_DATA!E926</f>
        <v>DevOps-Texas</v>
      </c>
      <c r="F926" t="str">
        <f t="shared" si="42"/>
        <v>DevOps</v>
      </c>
      <c r="G926" t="str">
        <f t="shared" si="43"/>
        <v>Texas</v>
      </c>
      <c r="P926">
        <f t="shared" si="44"/>
        <v>113012.21</v>
      </c>
      <c r="Q926">
        <f>IF(PQ_Cleansing!L926="Excellent", P926 * 0.1, IF(PQ_Cleansing!L926="Good", P926 * 0.05, IF(PQ_Cleansing!L926="Average", P926 * 0.02, IF(PQ_Cleansing!L926="Poor", 0, 0))))</f>
        <v>11301.221000000001</v>
      </c>
      <c r="R926">
        <f>IFERROR(VALUE(SUBSTITUTE(SUBSTITUTE(PQ_Cleansing!I926, "$", ""), ",", "")), "")</f>
        <v>113012.21</v>
      </c>
    </row>
    <row r="927" spans="1:18" x14ac:dyDescent="0.25">
      <c r="A927" t="str">
        <f>PROPER(TRIM(CLEAN(RAW_DATA!A927)))</f>
        <v>Emp1925</v>
      </c>
      <c r="B927" t="str">
        <f>RAW_DATA!B927</f>
        <v>Bob</v>
      </c>
      <c r="C927" t="str">
        <f>RAW_DATA!C927</f>
        <v>Williams</v>
      </c>
      <c r="D927">
        <f>RAW_DATA!D927</f>
        <v>35</v>
      </c>
      <c r="E927" t="str">
        <f>RAW_DATA!E927</f>
        <v>Cloud Tech-Florida</v>
      </c>
      <c r="F927" t="str">
        <f t="shared" si="42"/>
        <v>Cloud Tech</v>
      </c>
      <c r="G927" t="str">
        <f t="shared" si="43"/>
        <v>Florida</v>
      </c>
      <c r="P927">
        <f t="shared" si="44"/>
        <v>65425.54</v>
      </c>
      <c r="Q927">
        <f>IF(PQ_Cleansing!L927="Excellent", P927 * 0.1, IF(PQ_Cleansing!L927="Good", P927 * 0.05, IF(PQ_Cleansing!L927="Average", P927 * 0.02, IF(PQ_Cleansing!L927="Poor", 0, 0))))</f>
        <v>0</v>
      </c>
      <c r="R927">
        <f>IFERROR(VALUE(SUBSTITUTE(SUBSTITUTE(PQ_Cleansing!I927, "$", ""), ",", "")), "")</f>
        <v>65425.54</v>
      </c>
    </row>
    <row r="928" spans="1:18" x14ac:dyDescent="0.25">
      <c r="A928" t="str">
        <f>PROPER(TRIM(CLEAN(RAW_DATA!A928)))</f>
        <v>Emp1926</v>
      </c>
      <c r="B928" t="str">
        <f>RAW_DATA!B928</f>
        <v>Frank</v>
      </c>
      <c r="C928" t="str">
        <f>RAW_DATA!C928</f>
        <v>Jones</v>
      </c>
      <c r="D928">
        <f>RAW_DATA!D928</f>
        <v>25</v>
      </c>
      <c r="E928" t="str">
        <f>RAW_DATA!E928</f>
        <v>Sales-Nevada</v>
      </c>
      <c r="F928" t="str">
        <f t="shared" si="42"/>
        <v>Sales</v>
      </c>
      <c r="G928" t="str">
        <f t="shared" si="43"/>
        <v>Nevada</v>
      </c>
      <c r="P928">
        <f t="shared" si="44"/>
        <v>86850.37</v>
      </c>
      <c r="Q928">
        <f>IF(PQ_Cleansing!L928="Excellent", P928 * 0.1, IF(PQ_Cleansing!L928="Good", P928 * 0.05, IF(PQ_Cleansing!L928="Average", P928 * 0.02, IF(PQ_Cleansing!L928="Poor", 0, 0))))</f>
        <v>8685.0370000000003</v>
      </c>
      <c r="R928">
        <f>IFERROR(VALUE(SUBSTITUTE(SUBSTITUTE(PQ_Cleansing!I928, "$", ""), ",", "")), "")</f>
        <v>86850.37</v>
      </c>
    </row>
    <row r="929" spans="1:18" x14ac:dyDescent="0.25">
      <c r="A929" t="str">
        <f>PROPER(TRIM(CLEAN(RAW_DATA!A929)))</f>
        <v>Emp1927</v>
      </c>
      <c r="B929" t="str">
        <f>RAW_DATA!B929</f>
        <v>Eva</v>
      </c>
      <c r="C929" t="str">
        <f>RAW_DATA!C929</f>
        <v>Brown</v>
      </c>
      <c r="D929">
        <f>RAW_DATA!D929</f>
        <v>30</v>
      </c>
      <c r="E929" t="str">
        <f>RAW_DATA!E929</f>
        <v>Cloud Tech-Texas</v>
      </c>
      <c r="F929" t="str">
        <f t="shared" si="42"/>
        <v>Cloud Tech</v>
      </c>
      <c r="G929" t="str">
        <f t="shared" si="43"/>
        <v>Texas</v>
      </c>
      <c r="P929">
        <f t="shared" si="44"/>
        <v>81182.070000000007</v>
      </c>
      <c r="Q929">
        <f>IF(PQ_Cleansing!L929="Excellent", P929 * 0.1, IF(PQ_Cleansing!L929="Good", P929 * 0.05, IF(PQ_Cleansing!L929="Average", P929 * 0.02, IF(PQ_Cleansing!L929="Poor", 0, 0))))</f>
        <v>4059.1035000000006</v>
      </c>
      <c r="R929">
        <f>IFERROR(VALUE(SUBSTITUTE(SUBSTITUTE(PQ_Cleansing!I929, "$", ""), ",", "")), "")</f>
        <v>81182.070000000007</v>
      </c>
    </row>
    <row r="930" spans="1:18" x14ac:dyDescent="0.25">
      <c r="A930" t="str">
        <f>PROPER(TRIM(CLEAN(RAW_DATA!A930)))</f>
        <v>Emp1928</v>
      </c>
      <c r="B930" t="str">
        <f>RAW_DATA!B930</f>
        <v>Bob</v>
      </c>
      <c r="C930" t="str">
        <f>RAW_DATA!C930</f>
        <v>Miller</v>
      </c>
      <c r="D930">
        <f>RAW_DATA!D930</f>
        <v>0</v>
      </c>
      <c r="E930" t="str">
        <f>RAW_DATA!E930</f>
        <v>Finance-New York</v>
      </c>
      <c r="F930" t="str">
        <f t="shared" si="42"/>
        <v>Finance</v>
      </c>
      <c r="G930" t="str">
        <f t="shared" si="43"/>
        <v>New York</v>
      </c>
      <c r="P930">
        <f t="shared" si="44"/>
        <v>92222.03</v>
      </c>
      <c r="Q930">
        <f>IF(PQ_Cleansing!L930="Excellent", P930 * 0.1, IF(PQ_Cleansing!L930="Good", P930 * 0.05, IF(PQ_Cleansing!L930="Average", P930 * 0.02, IF(PQ_Cleansing!L930="Poor", 0, 0))))</f>
        <v>0</v>
      </c>
      <c r="R930">
        <f>IFERROR(VALUE(SUBSTITUTE(SUBSTITUTE(PQ_Cleansing!I930, "$", ""), ",", "")), "")</f>
        <v>92222.03</v>
      </c>
    </row>
    <row r="931" spans="1:18" x14ac:dyDescent="0.25">
      <c r="A931" t="str">
        <f>PROPER(TRIM(CLEAN(RAW_DATA!A931)))</f>
        <v>Emp1929</v>
      </c>
      <c r="B931" t="str">
        <f>RAW_DATA!B931</f>
        <v>Alice</v>
      </c>
      <c r="C931" t="str">
        <f>RAW_DATA!C931</f>
        <v>Smith</v>
      </c>
      <c r="D931">
        <f>RAW_DATA!D931</f>
        <v>35</v>
      </c>
      <c r="E931" t="str">
        <f>RAW_DATA!E931</f>
        <v>Finance-New York</v>
      </c>
      <c r="F931" t="str">
        <f t="shared" si="42"/>
        <v>Finance</v>
      </c>
      <c r="G931" t="str">
        <f t="shared" si="43"/>
        <v>New York</v>
      </c>
      <c r="P931">
        <f t="shared" si="44"/>
        <v>79934.83</v>
      </c>
      <c r="Q931">
        <f>IF(PQ_Cleansing!L931="Excellent", P931 * 0.1, IF(PQ_Cleansing!L931="Good", P931 * 0.05, IF(PQ_Cleansing!L931="Average", P931 * 0.02, IF(PQ_Cleansing!L931="Poor", 0, 0))))</f>
        <v>1598.6966</v>
      </c>
      <c r="R931">
        <f>IFERROR(VALUE(SUBSTITUTE(SUBSTITUTE(PQ_Cleansing!I931, "$", ""), ",", "")), "")</f>
        <v>79934.83</v>
      </c>
    </row>
    <row r="932" spans="1:18" x14ac:dyDescent="0.25">
      <c r="A932" t="str">
        <f>PROPER(TRIM(CLEAN(RAW_DATA!A932)))</f>
        <v>Emp1930</v>
      </c>
      <c r="B932" t="str">
        <f>RAW_DATA!B932</f>
        <v>Alice</v>
      </c>
      <c r="C932" t="str">
        <f>RAW_DATA!C932</f>
        <v>Davis</v>
      </c>
      <c r="D932">
        <f>RAW_DATA!D932</f>
        <v>35</v>
      </c>
      <c r="E932" t="str">
        <f>RAW_DATA!E932</f>
        <v>HR-California</v>
      </c>
      <c r="F932" t="str">
        <f t="shared" si="42"/>
        <v>HR</v>
      </c>
      <c r="G932" t="str">
        <f t="shared" si="43"/>
        <v>California</v>
      </c>
      <c r="P932">
        <f t="shared" si="44"/>
        <v>111201.12</v>
      </c>
      <c r="Q932">
        <f>IF(PQ_Cleansing!L932="Excellent", P932 * 0.1, IF(PQ_Cleansing!L932="Good", P932 * 0.05, IF(PQ_Cleansing!L932="Average", P932 * 0.02, IF(PQ_Cleansing!L932="Poor", 0, 0))))</f>
        <v>0</v>
      </c>
      <c r="R932">
        <f>IFERROR(VALUE(SUBSTITUTE(SUBSTITUTE(PQ_Cleansing!I932, "$", ""), ",", "")), "")</f>
        <v>111201.12</v>
      </c>
    </row>
    <row r="933" spans="1:18" x14ac:dyDescent="0.25">
      <c r="A933" t="str">
        <f>PROPER(TRIM(CLEAN(RAW_DATA!A933)))</f>
        <v>Emp1931</v>
      </c>
      <c r="B933" t="str">
        <f>RAW_DATA!B933</f>
        <v>Heidi</v>
      </c>
      <c r="C933" t="str">
        <f>RAW_DATA!C933</f>
        <v>Brown</v>
      </c>
      <c r="D933">
        <f>RAW_DATA!D933</f>
        <v>40</v>
      </c>
      <c r="E933" t="str">
        <f>RAW_DATA!E933</f>
        <v>Finance-California</v>
      </c>
      <c r="F933" t="str">
        <f t="shared" si="42"/>
        <v>Finance</v>
      </c>
      <c r="G933" t="str">
        <f t="shared" si="43"/>
        <v>California</v>
      </c>
      <c r="P933">
        <f t="shared" si="44"/>
        <v>100960.05</v>
      </c>
      <c r="Q933">
        <f>IF(PQ_Cleansing!L933="Excellent", P933 * 0.1, IF(PQ_Cleansing!L933="Good", P933 * 0.05, IF(PQ_Cleansing!L933="Average", P933 * 0.02, IF(PQ_Cleansing!L933="Poor", 0, 0))))</f>
        <v>2019.201</v>
      </c>
      <c r="R933">
        <f>IFERROR(VALUE(SUBSTITUTE(SUBSTITUTE(PQ_Cleansing!I933, "$", ""), ",", "")), "")</f>
        <v>100960.05</v>
      </c>
    </row>
    <row r="934" spans="1:18" x14ac:dyDescent="0.25">
      <c r="A934" t="str">
        <f>PROPER(TRIM(CLEAN(RAW_DATA!A934)))</f>
        <v>Emp1932</v>
      </c>
      <c r="B934" t="str">
        <f>RAW_DATA!B934</f>
        <v>Grace</v>
      </c>
      <c r="C934" t="str">
        <f>RAW_DATA!C934</f>
        <v>Smith</v>
      </c>
      <c r="D934">
        <f>RAW_DATA!D934</f>
        <v>30</v>
      </c>
      <c r="E934" t="str">
        <f>RAW_DATA!E934</f>
        <v>Sales-Illinois</v>
      </c>
      <c r="F934" t="str">
        <f t="shared" si="42"/>
        <v>Sales</v>
      </c>
      <c r="G934" t="str">
        <f t="shared" si="43"/>
        <v>Illinois</v>
      </c>
      <c r="P934">
        <f t="shared" si="44"/>
        <v>64544.87</v>
      </c>
      <c r="Q934">
        <f>IF(PQ_Cleansing!L934="Excellent", P934 * 0.1, IF(PQ_Cleansing!L934="Good", P934 * 0.05, IF(PQ_Cleansing!L934="Average", P934 * 0.02, IF(PQ_Cleansing!L934="Poor", 0, 0))))</f>
        <v>1290.8974000000001</v>
      </c>
      <c r="R934">
        <f>IFERROR(VALUE(SUBSTITUTE(SUBSTITUTE(PQ_Cleansing!I934, "$", ""), ",", "")), "")</f>
        <v>64544.87</v>
      </c>
    </row>
    <row r="935" spans="1:18" x14ac:dyDescent="0.25">
      <c r="A935" t="str">
        <f>PROPER(TRIM(CLEAN(RAW_DATA!A935)))</f>
        <v>Emp1933</v>
      </c>
      <c r="B935" t="str">
        <f>RAW_DATA!B935</f>
        <v>Frank</v>
      </c>
      <c r="C935" t="str">
        <f>RAW_DATA!C935</f>
        <v>Smith</v>
      </c>
      <c r="D935">
        <f>RAW_DATA!D935</f>
        <v>25</v>
      </c>
      <c r="E935" t="str">
        <f>RAW_DATA!E935</f>
        <v>Sales-Florida</v>
      </c>
      <c r="F935" t="str">
        <f t="shared" si="42"/>
        <v>Sales</v>
      </c>
      <c r="G935" t="str">
        <f t="shared" si="43"/>
        <v>Florida</v>
      </c>
      <c r="P935">
        <f t="shared" si="44"/>
        <v>78662.240000000005</v>
      </c>
      <c r="Q935">
        <f>IF(PQ_Cleansing!L935="Excellent", P935 * 0.1, IF(PQ_Cleansing!L935="Good", P935 * 0.05, IF(PQ_Cleansing!L935="Average", P935 * 0.02, IF(PQ_Cleansing!L935="Poor", 0, 0))))</f>
        <v>0</v>
      </c>
      <c r="R935">
        <f>IFERROR(VALUE(SUBSTITUTE(SUBSTITUTE(PQ_Cleansing!I935, "$", ""), ",", "")), "")</f>
        <v>78662.240000000005</v>
      </c>
    </row>
    <row r="936" spans="1:18" x14ac:dyDescent="0.25">
      <c r="A936" t="str">
        <f>PROPER(TRIM(CLEAN(RAW_DATA!A936)))</f>
        <v>Emp1934</v>
      </c>
      <c r="B936" t="str">
        <f>RAW_DATA!B936</f>
        <v>Grace</v>
      </c>
      <c r="C936" t="str">
        <f>RAW_DATA!C936</f>
        <v>Garcia</v>
      </c>
      <c r="D936">
        <f>RAW_DATA!D936</f>
        <v>30</v>
      </c>
      <c r="E936" t="str">
        <f>RAW_DATA!E936</f>
        <v>Sales-Florida</v>
      </c>
      <c r="F936" t="str">
        <f t="shared" si="42"/>
        <v>Sales</v>
      </c>
      <c r="G936" t="str">
        <f t="shared" si="43"/>
        <v>Florida</v>
      </c>
      <c r="P936">
        <f t="shared" si="44"/>
        <v>102867.06</v>
      </c>
      <c r="Q936">
        <f>IF(PQ_Cleansing!L936="Excellent", P936 * 0.1, IF(PQ_Cleansing!L936="Good", P936 * 0.05, IF(PQ_Cleansing!L936="Average", P936 * 0.02, IF(PQ_Cleansing!L936="Poor", 0, 0))))</f>
        <v>2057.3411999999998</v>
      </c>
      <c r="R936">
        <f>IFERROR(VALUE(SUBSTITUTE(SUBSTITUTE(PQ_Cleansing!I936, "$", ""), ",", "")), "")</f>
        <v>102867.06</v>
      </c>
    </row>
    <row r="937" spans="1:18" x14ac:dyDescent="0.25">
      <c r="A937" t="str">
        <f>PROPER(TRIM(CLEAN(RAW_DATA!A937)))</f>
        <v>Emp1935</v>
      </c>
      <c r="B937" t="str">
        <f>RAW_DATA!B937</f>
        <v>Charlie</v>
      </c>
      <c r="C937" t="str">
        <f>RAW_DATA!C937</f>
        <v>Smith</v>
      </c>
      <c r="D937">
        <f>RAW_DATA!D937</f>
        <v>40</v>
      </c>
      <c r="E937" t="str">
        <f>RAW_DATA!E937</f>
        <v>HR-Illinois</v>
      </c>
      <c r="F937" t="str">
        <f t="shared" si="42"/>
        <v>HR</v>
      </c>
      <c r="G937" t="str">
        <f t="shared" si="43"/>
        <v>Illinois</v>
      </c>
      <c r="P937">
        <f t="shared" si="44"/>
        <v>107595.95</v>
      </c>
      <c r="Q937">
        <f>IF(PQ_Cleansing!L937="Excellent", P937 * 0.1, IF(PQ_Cleansing!L937="Good", P937 * 0.05, IF(PQ_Cleansing!L937="Average", P937 * 0.02, IF(PQ_Cleansing!L937="Poor", 0, 0))))</f>
        <v>10759.595000000001</v>
      </c>
      <c r="R937">
        <f>IFERROR(VALUE(SUBSTITUTE(SUBSTITUTE(PQ_Cleansing!I937, "$", ""), ",", "")), "")</f>
        <v>107595.95</v>
      </c>
    </row>
    <row r="938" spans="1:18" x14ac:dyDescent="0.25">
      <c r="A938" t="str">
        <f>PROPER(TRIM(CLEAN(RAW_DATA!A938)))</f>
        <v>Emp1936</v>
      </c>
      <c r="B938" t="str">
        <f>RAW_DATA!B938</f>
        <v>Eva</v>
      </c>
      <c r="C938" t="str">
        <f>RAW_DATA!C938</f>
        <v>Miller</v>
      </c>
      <c r="D938">
        <f>RAW_DATA!D938</f>
        <v>40</v>
      </c>
      <c r="E938" t="str">
        <f>RAW_DATA!E938</f>
        <v>Sales-Nevada</v>
      </c>
      <c r="F938" t="str">
        <f t="shared" si="42"/>
        <v>Sales</v>
      </c>
      <c r="G938" t="str">
        <f t="shared" si="43"/>
        <v>Nevada</v>
      </c>
      <c r="P938">
        <f t="shared" si="44"/>
        <v>85268.279969293711</v>
      </c>
      <c r="Q938">
        <f>IF(PQ_Cleansing!L938="Excellent", P938 * 0.1, IF(PQ_Cleansing!L938="Good", P938 * 0.05, IF(PQ_Cleansing!L938="Average", P938 * 0.02, IF(PQ_Cleansing!L938="Poor", 0, 0))))</f>
        <v>4263.4139984646854</v>
      </c>
      <c r="R938" t="str">
        <f>IFERROR(VALUE(SUBSTITUTE(SUBSTITUTE(PQ_Cleansing!I938, "$", ""), ",", "")), "")</f>
        <v/>
      </c>
    </row>
    <row r="939" spans="1:18" x14ac:dyDescent="0.25">
      <c r="A939" t="str">
        <f>PROPER(TRIM(CLEAN(RAW_DATA!A939)))</f>
        <v>Emp1937</v>
      </c>
      <c r="B939" t="str">
        <f>RAW_DATA!B939</f>
        <v>Eva</v>
      </c>
      <c r="C939" t="str">
        <f>RAW_DATA!C939</f>
        <v>Jones</v>
      </c>
      <c r="D939">
        <f>RAW_DATA!D939</f>
        <v>35</v>
      </c>
      <c r="E939" t="str">
        <f>RAW_DATA!E939</f>
        <v>DevOps-Nevada</v>
      </c>
      <c r="F939" t="str">
        <f t="shared" si="42"/>
        <v>DevOps</v>
      </c>
      <c r="G939" t="str">
        <f t="shared" si="43"/>
        <v>Nevada</v>
      </c>
      <c r="P939">
        <f t="shared" si="44"/>
        <v>95766.91</v>
      </c>
      <c r="Q939">
        <f>IF(PQ_Cleansing!L939="Excellent", P939 * 0.1, IF(PQ_Cleansing!L939="Good", P939 * 0.05, IF(PQ_Cleansing!L939="Average", P939 * 0.02, IF(PQ_Cleansing!L939="Poor", 0, 0))))</f>
        <v>1915.3382000000001</v>
      </c>
      <c r="R939">
        <f>IFERROR(VALUE(SUBSTITUTE(SUBSTITUTE(PQ_Cleansing!I939, "$", ""), ",", "")), "")</f>
        <v>95766.91</v>
      </c>
    </row>
    <row r="940" spans="1:18" x14ac:dyDescent="0.25">
      <c r="A940" t="str">
        <f>PROPER(TRIM(CLEAN(RAW_DATA!A940)))</f>
        <v>Emp1938</v>
      </c>
      <c r="B940" t="str">
        <f>RAW_DATA!B940</f>
        <v>Grace</v>
      </c>
      <c r="C940" t="str">
        <f>RAW_DATA!C940</f>
        <v>Miller</v>
      </c>
      <c r="D940">
        <f>RAW_DATA!D940</f>
        <v>30</v>
      </c>
      <c r="E940" t="str">
        <f>RAW_DATA!E940</f>
        <v>Finance-Nevada</v>
      </c>
      <c r="F940" t="str">
        <f t="shared" si="42"/>
        <v>Finance</v>
      </c>
      <c r="G940" t="str">
        <f t="shared" si="43"/>
        <v>Nevada</v>
      </c>
      <c r="P940">
        <f t="shared" si="44"/>
        <v>51990.98</v>
      </c>
      <c r="Q940">
        <f>IF(PQ_Cleansing!L940="Excellent", P940 * 0.1, IF(PQ_Cleansing!L940="Good", P940 * 0.05, IF(PQ_Cleansing!L940="Average", P940 * 0.02, IF(PQ_Cleansing!L940="Poor", 0, 0))))</f>
        <v>5199.0980000000009</v>
      </c>
      <c r="R940">
        <f>IFERROR(VALUE(SUBSTITUTE(SUBSTITUTE(PQ_Cleansing!I940, "$", ""), ",", "")), "")</f>
        <v>51990.98</v>
      </c>
    </row>
    <row r="941" spans="1:18" x14ac:dyDescent="0.25">
      <c r="A941" t="str">
        <f>PROPER(TRIM(CLEAN(RAW_DATA!A941)))</f>
        <v>Emp1939</v>
      </c>
      <c r="B941" t="str">
        <f>RAW_DATA!B941</f>
        <v>Heidi</v>
      </c>
      <c r="C941" t="str">
        <f>RAW_DATA!C941</f>
        <v>Johnson</v>
      </c>
      <c r="D941">
        <f>RAW_DATA!D941</f>
        <v>25</v>
      </c>
      <c r="E941" t="str">
        <f>RAW_DATA!E941</f>
        <v>Sales-Nevada</v>
      </c>
      <c r="F941" t="str">
        <f t="shared" si="42"/>
        <v>Sales</v>
      </c>
      <c r="G941" t="str">
        <f t="shared" si="43"/>
        <v>Nevada</v>
      </c>
      <c r="P941">
        <f t="shared" si="44"/>
        <v>83634.009999999995</v>
      </c>
      <c r="Q941">
        <f>IF(PQ_Cleansing!L941="Excellent", P941 * 0.1, IF(PQ_Cleansing!L941="Good", P941 * 0.05, IF(PQ_Cleansing!L941="Average", P941 * 0.02, IF(PQ_Cleansing!L941="Poor", 0, 0))))</f>
        <v>1672.6802</v>
      </c>
      <c r="R941">
        <f>IFERROR(VALUE(SUBSTITUTE(SUBSTITUTE(PQ_Cleansing!I941, "$", ""), ",", "")), "")</f>
        <v>83634.009999999995</v>
      </c>
    </row>
    <row r="942" spans="1:18" x14ac:dyDescent="0.25">
      <c r="A942" t="str">
        <f>PROPER(TRIM(CLEAN(RAW_DATA!A942)))</f>
        <v>Emp1940</v>
      </c>
      <c r="B942" t="str">
        <f>RAW_DATA!B942</f>
        <v>Eva</v>
      </c>
      <c r="C942" t="str">
        <f>RAW_DATA!C942</f>
        <v>Brown</v>
      </c>
      <c r="D942">
        <f>RAW_DATA!D942</f>
        <v>40</v>
      </c>
      <c r="E942" t="str">
        <f>RAW_DATA!E942</f>
        <v>DevOps-Texas</v>
      </c>
      <c r="F942" t="str">
        <f t="shared" si="42"/>
        <v>DevOps</v>
      </c>
      <c r="G942" t="str">
        <f t="shared" si="43"/>
        <v>Texas</v>
      </c>
      <c r="P942">
        <f t="shared" si="44"/>
        <v>85268.279969293711</v>
      </c>
      <c r="Q942">
        <f>IF(PQ_Cleansing!L942="Excellent", P942 * 0.1, IF(PQ_Cleansing!L942="Good", P942 * 0.05, IF(PQ_Cleansing!L942="Average", P942 * 0.02, IF(PQ_Cleansing!L942="Poor", 0, 0))))</f>
        <v>4263.4139984646854</v>
      </c>
      <c r="R942" t="str">
        <f>IFERROR(VALUE(SUBSTITUTE(SUBSTITUTE(PQ_Cleansing!I942, "$", ""), ",", "")), "")</f>
        <v/>
      </c>
    </row>
    <row r="943" spans="1:18" x14ac:dyDescent="0.25">
      <c r="A943" t="str">
        <f>PROPER(TRIM(CLEAN(RAW_DATA!A943)))</f>
        <v>Emp1941</v>
      </c>
      <c r="B943" t="str">
        <f>RAW_DATA!B943</f>
        <v>Eva</v>
      </c>
      <c r="C943" t="str">
        <f>RAW_DATA!C943</f>
        <v>Jones</v>
      </c>
      <c r="D943">
        <f>RAW_DATA!D943</f>
        <v>30</v>
      </c>
      <c r="E943" t="str">
        <f>RAW_DATA!E943</f>
        <v>Sales-Texas</v>
      </c>
      <c r="F943" t="str">
        <f t="shared" si="42"/>
        <v>Sales</v>
      </c>
      <c r="G943" t="str">
        <f t="shared" si="43"/>
        <v>Texas</v>
      </c>
      <c r="P943">
        <f t="shared" si="44"/>
        <v>82273.08</v>
      </c>
      <c r="Q943">
        <f>IF(PQ_Cleansing!L943="Excellent", P943 * 0.1, IF(PQ_Cleansing!L943="Good", P943 * 0.05, IF(PQ_Cleansing!L943="Average", P943 * 0.02, IF(PQ_Cleansing!L943="Poor", 0, 0))))</f>
        <v>8227.3080000000009</v>
      </c>
      <c r="R943">
        <f>IFERROR(VALUE(SUBSTITUTE(SUBSTITUTE(PQ_Cleansing!I943, "$", ""), ",", "")), "")</f>
        <v>82273.08</v>
      </c>
    </row>
    <row r="944" spans="1:18" x14ac:dyDescent="0.25">
      <c r="A944" t="str">
        <f>PROPER(TRIM(CLEAN(RAW_DATA!A944)))</f>
        <v>Emp1942</v>
      </c>
      <c r="B944" t="str">
        <f>RAW_DATA!B944</f>
        <v>Frank</v>
      </c>
      <c r="C944" t="str">
        <f>RAW_DATA!C944</f>
        <v>Garcia</v>
      </c>
      <c r="D944">
        <f>RAW_DATA!D944</f>
        <v>30</v>
      </c>
      <c r="E944" t="str">
        <f>RAW_DATA!E944</f>
        <v>Cloud Tech-California</v>
      </c>
      <c r="F944" t="str">
        <f t="shared" si="42"/>
        <v>Cloud Tech</v>
      </c>
      <c r="G944" t="str">
        <f t="shared" si="43"/>
        <v>California</v>
      </c>
      <c r="P944">
        <f t="shared" si="44"/>
        <v>94537.3</v>
      </c>
      <c r="Q944">
        <f>IF(PQ_Cleansing!L944="Excellent", P944 * 0.1, IF(PQ_Cleansing!L944="Good", P944 * 0.05, IF(PQ_Cleansing!L944="Average", P944 * 0.02, IF(PQ_Cleansing!L944="Poor", 0, 0))))</f>
        <v>4726.8650000000007</v>
      </c>
      <c r="R944">
        <f>IFERROR(VALUE(SUBSTITUTE(SUBSTITUTE(PQ_Cleansing!I944, "$", ""), ",", "")), "")</f>
        <v>94537.3</v>
      </c>
    </row>
    <row r="945" spans="1:18" x14ac:dyDescent="0.25">
      <c r="A945" t="str">
        <f>PROPER(TRIM(CLEAN(RAW_DATA!A945)))</f>
        <v>Emp1943</v>
      </c>
      <c r="B945" t="str">
        <f>RAW_DATA!B945</f>
        <v>Alice</v>
      </c>
      <c r="C945" t="str">
        <f>RAW_DATA!C945</f>
        <v>Jones</v>
      </c>
      <c r="D945">
        <f>RAW_DATA!D945</f>
        <v>35</v>
      </c>
      <c r="E945" t="str">
        <f>RAW_DATA!E945</f>
        <v>HR-Illinois</v>
      </c>
      <c r="F945" t="str">
        <f t="shared" si="42"/>
        <v>HR</v>
      </c>
      <c r="G945" t="str">
        <f t="shared" si="43"/>
        <v>Illinois</v>
      </c>
      <c r="P945">
        <f t="shared" si="44"/>
        <v>85970.65</v>
      </c>
      <c r="Q945">
        <f>IF(PQ_Cleansing!L945="Excellent", P945 * 0.1, IF(PQ_Cleansing!L945="Good", P945 * 0.05, IF(PQ_Cleansing!L945="Average", P945 * 0.02, IF(PQ_Cleansing!L945="Poor", 0, 0))))</f>
        <v>4298.5325000000003</v>
      </c>
      <c r="R945">
        <f>IFERROR(VALUE(SUBSTITUTE(SUBSTITUTE(PQ_Cleansing!I945, "$", ""), ",", "")), "")</f>
        <v>85970.65</v>
      </c>
    </row>
    <row r="946" spans="1:18" x14ac:dyDescent="0.25">
      <c r="A946" t="str">
        <f>PROPER(TRIM(CLEAN(RAW_DATA!A946)))</f>
        <v>Emp1944</v>
      </c>
      <c r="B946" t="str">
        <f>RAW_DATA!B946</f>
        <v>Charlie</v>
      </c>
      <c r="C946" t="str">
        <f>RAW_DATA!C946</f>
        <v>Jones</v>
      </c>
      <c r="D946">
        <f>RAW_DATA!D946</f>
        <v>25</v>
      </c>
      <c r="E946" t="str">
        <f>RAW_DATA!E946</f>
        <v>Sales-New York</v>
      </c>
      <c r="F946" t="str">
        <f t="shared" si="42"/>
        <v>Sales</v>
      </c>
      <c r="G946" t="str">
        <f t="shared" si="43"/>
        <v>New York</v>
      </c>
      <c r="P946">
        <f t="shared" si="44"/>
        <v>111071.02</v>
      </c>
      <c r="Q946">
        <f>IF(PQ_Cleansing!L946="Excellent", P946 * 0.1, IF(PQ_Cleansing!L946="Good", P946 * 0.05, IF(PQ_Cleansing!L946="Average", P946 * 0.02, IF(PQ_Cleansing!L946="Poor", 0, 0))))</f>
        <v>11107.102000000001</v>
      </c>
      <c r="R946">
        <f>IFERROR(VALUE(SUBSTITUTE(SUBSTITUTE(PQ_Cleansing!I946, "$", ""), ",", "")), "")</f>
        <v>111071.02</v>
      </c>
    </row>
    <row r="947" spans="1:18" x14ac:dyDescent="0.25">
      <c r="A947" t="str">
        <f>PROPER(TRIM(CLEAN(RAW_DATA!A947)))</f>
        <v>Emp1945</v>
      </c>
      <c r="B947" t="str">
        <f>RAW_DATA!B947</f>
        <v>Eva</v>
      </c>
      <c r="C947" t="str">
        <f>RAW_DATA!C947</f>
        <v>Davis</v>
      </c>
      <c r="D947">
        <f>RAW_DATA!D947</f>
        <v>35</v>
      </c>
      <c r="E947" t="str">
        <f>RAW_DATA!E947</f>
        <v>DevOps-Nevada</v>
      </c>
      <c r="F947" t="str">
        <f t="shared" si="42"/>
        <v>DevOps</v>
      </c>
      <c r="G947" t="str">
        <f t="shared" si="43"/>
        <v>Nevada</v>
      </c>
      <c r="P947">
        <f t="shared" si="44"/>
        <v>56708.34</v>
      </c>
      <c r="Q947">
        <f>IF(PQ_Cleansing!L947="Excellent", P947 * 0.1, IF(PQ_Cleansing!L947="Good", P947 * 0.05, IF(PQ_Cleansing!L947="Average", P947 * 0.02, IF(PQ_Cleansing!L947="Poor", 0, 0))))</f>
        <v>5670.8339999999998</v>
      </c>
      <c r="R947">
        <f>IFERROR(VALUE(SUBSTITUTE(SUBSTITUTE(PQ_Cleansing!I947, "$", ""), ",", "")), "")</f>
        <v>56708.34</v>
      </c>
    </row>
    <row r="948" spans="1:18" x14ac:dyDescent="0.25">
      <c r="A948" t="str">
        <f>PROPER(TRIM(CLEAN(RAW_DATA!A948)))</f>
        <v>Emp1946</v>
      </c>
      <c r="B948" t="str">
        <f>RAW_DATA!B948</f>
        <v>Charlie</v>
      </c>
      <c r="C948" t="str">
        <f>RAW_DATA!C948</f>
        <v>Jones</v>
      </c>
      <c r="D948">
        <f>RAW_DATA!D948</f>
        <v>25</v>
      </c>
      <c r="E948" t="str">
        <f>RAW_DATA!E948</f>
        <v>Admin-Illinois</v>
      </c>
      <c r="F948" t="str">
        <f t="shared" si="42"/>
        <v>Admin</v>
      </c>
      <c r="G948" t="str">
        <f t="shared" si="43"/>
        <v>Illinois</v>
      </c>
      <c r="P948">
        <f t="shared" si="44"/>
        <v>104516.55</v>
      </c>
      <c r="Q948">
        <f>IF(PQ_Cleansing!L948="Excellent", P948 * 0.1, IF(PQ_Cleansing!L948="Good", P948 * 0.05, IF(PQ_Cleansing!L948="Average", P948 * 0.02, IF(PQ_Cleansing!L948="Poor", 0, 0))))</f>
        <v>10451.655000000001</v>
      </c>
      <c r="R948">
        <f>IFERROR(VALUE(SUBSTITUTE(SUBSTITUTE(PQ_Cleansing!I948, "$", ""), ",", "")), "")</f>
        <v>104516.55</v>
      </c>
    </row>
    <row r="949" spans="1:18" x14ac:dyDescent="0.25">
      <c r="A949" t="str">
        <f>PROPER(TRIM(CLEAN(RAW_DATA!A949)))</f>
        <v>Emp1947</v>
      </c>
      <c r="B949" t="str">
        <f>RAW_DATA!B949</f>
        <v>Charlie</v>
      </c>
      <c r="C949" t="str">
        <f>RAW_DATA!C949</f>
        <v>Garcia</v>
      </c>
      <c r="D949">
        <f>RAW_DATA!D949</f>
        <v>25</v>
      </c>
      <c r="E949" t="str">
        <f>RAW_DATA!E949</f>
        <v>Admin-New York</v>
      </c>
      <c r="F949" t="str">
        <f t="shared" si="42"/>
        <v>Admin</v>
      </c>
      <c r="G949" t="str">
        <f t="shared" si="43"/>
        <v>New York</v>
      </c>
      <c r="P949">
        <f t="shared" si="44"/>
        <v>108210.15</v>
      </c>
      <c r="Q949">
        <f>IF(PQ_Cleansing!L949="Excellent", P949 * 0.1, IF(PQ_Cleansing!L949="Good", P949 * 0.05, IF(PQ_Cleansing!L949="Average", P949 * 0.02, IF(PQ_Cleansing!L949="Poor", 0, 0))))</f>
        <v>0</v>
      </c>
      <c r="R949">
        <f>IFERROR(VALUE(SUBSTITUTE(SUBSTITUTE(PQ_Cleansing!I949, "$", ""), ",", "")), "")</f>
        <v>108210.15</v>
      </c>
    </row>
    <row r="950" spans="1:18" x14ac:dyDescent="0.25">
      <c r="A950" t="str">
        <f>PROPER(TRIM(CLEAN(RAW_DATA!A950)))</f>
        <v>Emp1948</v>
      </c>
      <c r="B950" t="str">
        <f>RAW_DATA!B950</f>
        <v>Bob</v>
      </c>
      <c r="C950" t="str">
        <f>RAW_DATA!C950</f>
        <v>Miller</v>
      </c>
      <c r="D950">
        <f>RAW_DATA!D950</f>
        <v>40</v>
      </c>
      <c r="E950" t="str">
        <f>RAW_DATA!E950</f>
        <v>Finance-Texas</v>
      </c>
      <c r="F950" t="str">
        <f t="shared" si="42"/>
        <v>Finance</v>
      </c>
      <c r="G950" t="str">
        <f t="shared" si="43"/>
        <v>Texas</v>
      </c>
      <c r="P950">
        <f t="shared" si="44"/>
        <v>85268.279969293711</v>
      </c>
      <c r="Q950">
        <f>IF(PQ_Cleansing!L950="Excellent", P950 * 0.1, IF(PQ_Cleansing!L950="Good", P950 * 0.05, IF(PQ_Cleansing!L950="Average", P950 * 0.02, IF(PQ_Cleansing!L950="Poor", 0, 0))))</f>
        <v>8526.8279969293708</v>
      </c>
      <c r="R950" t="str">
        <f>IFERROR(VALUE(SUBSTITUTE(SUBSTITUTE(PQ_Cleansing!I950, "$", ""), ",", "")), "")</f>
        <v/>
      </c>
    </row>
    <row r="951" spans="1:18" x14ac:dyDescent="0.25">
      <c r="A951" t="str">
        <f>PROPER(TRIM(CLEAN(RAW_DATA!A951)))</f>
        <v>Emp1949</v>
      </c>
      <c r="B951" t="str">
        <f>RAW_DATA!B951</f>
        <v>Frank</v>
      </c>
      <c r="C951" t="str">
        <f>RAW_DATA!C951</f>
        <v>Jones</v>
      </c>
      <c r="D951">
        <f>RAW_DATA!D951</f>
        <v>35</v>
      </c>
      <c r="E951" t="str">
        <f>RAW_DATA!E951</f>
        <v>DevOps-California</v>
      </c>
      <c r="F951" t="str">
        <f t="shared" si="42"/>
        <v>DevOps</v>
      </c>
      <c r="G951" t="str">
        <f t="shared" si="43"/>
        <v>California</v>
      </c>
      <c r="P951">
        <f t="shared" si="44"/>
        <v>80935.649999999994</v>
      </c>
      <c r="Q951">
        <f>IF(PQ_Cleansing!L951="Excellent", P951 * 0.1, IF(PQ_Cleansing!L951="Good", P951 * 0.05, IF(PQ_Cleansing!L951="Average", P951 * 0.02, IF(PQ_Cleansing!L951="Poor", 0, 0))))</f>
        <v>8093.5649999999996</v>
      </c>
      <c r="R951">
        <f>IFERROR(VALUE(SUBSTITUTE(SUBSTITUTE(PQ_Cleansing!I951, "$", ""), ",", "")), "")</f>
        <v>80935.649999999994</v>
      </c>
    </row>
    <row r="952" spans="1:18" x14ac:dyDescent="0.25">
      <c r="A952" t="str">
        <f>PROPER(TRIM(CLEAN(RAW_DATA!A952)))</f>
        <v>Emp1950</v>
      </c>
      <c r="B952" t="str">
        <f>RAW_DATA!B952</f>
        <v>Frank</v>
      </c>
      <c r="C952" t="str">
        <f>RAW_DATA!C952</f>
        <v>Williams</v>
      </c>
      <c r="D952">
        <f>RAW_DATA!D952</f>
        <v>30</v>
      </c>
      <c r="E952" t="str">
        <f>RAW_DATA!E952</f>
        <v>DevOps-California</v>
      </c>
      <c r="F952" t="str">
        <f t="shared" si="42"/>
        <v>DevOps</v>
      </c>
      <c r="G952" t="str">
        <f t="shared" si="43"/>
        <v>California</v>
      </c>
      <c r="P952">
        <f t="shared" si="44"/>
        <v>107020.19</v>
      </c>
      <c r="Q952">
        <f>IF(PQ_Cleansing!L952="Excellent", P952 * 0.1, IF(PQ_Cleansing!L952="Good", P952 * 0.05, IF(PQ_Cleansing!L952="Average", P952 * 0.02, IF(PQ_Cleansing!L952="Poor", 0, 0))))</f>
        <v>10702.019</v>
      </c>
      <c r="R952">
        <f>IFERROR(VALUE(SUBSTITUTE(SUBSTITUTE(PQ_Cleansing!I952, "$", ""), ",", "")), "")</f>
        <v>107020.19</v>
      </c>
    </row>
    <row r="953" spans="1:18" x14ac:dyDescent="0.25">
      <c r="A953" t="str">
        <f>PROPER(TRIM(CLEAN(RAW_DATA!A953)))</f>
        <v>Emp1951</v>
      </c>
      <c r="B953" t="str">
        <f>RAW_DATA!B953</f>
        <v>Charlie</v>
      </c>
      <c r="C953" t="str">
        <f>RAW_DATA!C953</f>
        <v>Brown</v>
      </c>
      <c r="D953">
        <f>RAW_DATA!D953</f>
        <v>30</v>
      </c>
      <c r="E953" t="str">
        <f>RAW_DATA!E953</f>
        <v>HR-New York</v>
      </c>
      <c r="F953" t="str">
        <f t="shared" si="42"/>
        <v>HR</v>
      </c>
      <c r="G953" t="str">
        <f t="shared" si="43"/>
        <v>New York</v>
      </c>
      <c r="P953">
        <f t="shared" si="44"/>
        <v>118677.67</v>
      </c>
      <c r="Q953">
        <f>IF(PQ_Cleansing!L953="Excellent", P953 * 0.1, IF(PQ_Cleansing!L953="Good", P953 * 0.05, IF(PQ_Cleansing!L953="Average", P953 * 0.02, IF(PQ_Cleansing!L953="Poor", 0, 0))))</f>
        <v>11867.767</v>
      </c>
      <c r="R953">
        <f>IFERROR(VALUE(SUBSTITUTE(SUBSTITUTE(PQ_Cleansing!I953, "$", ""), ",", "")), "")</f>
        <v>118677.67</v>
      </c>
    </row>
    <row r="954" spans="1:18" x14ac:dyDescent="0.25">
      <c r="A954" t="str">
        <f>PROPER(TRIM(CLEAN(RAW_DATA!A954)))</f>
        <v>Emp1952</v>
      </c>
      <c r="B954" t="str">
        <f>RAW_DATA!B954</f>
        <v>Bob</v>
      </c>
      <c r="C954" t="str">
        <f>RAW_DATA!C954</f>
        <v>Jones</v>
      </c>
      <c r="D954">
        <f>RAW_DATA!D954</f>
        <v>25</v>
      </c>
      <c r="E954" t="str">
        <f>RAW_DATA!E954</f>
        <v>Cloud Tech-Florida</v>
      </c>
      <c r="F954" t="str">
        <f t="shared" si="42"/>
        <v>Cloud Tech</v>
      </c>
      <c r="G954" t="str">
        <f t="shared" si="43"/>
        <v>Florida</v>
      </c>
      <c r="P954">
        <f t="shared" si="44"/>
        <v>63744.57</v>
      </c>
      <c r="Q954">
        <f>IF(PQ_Cleansing!L954="Excellent", P954 * 0.1, IF(PQ_Cleansing!L954="Good", P954 * 0.05, IF(PQ_Cleansing!L954="Average", P954 * 0.02, IF(PQ_Cleansing!L954="Poor", 0, 0))))</f>
        <v>1274.8914</v>
      </c>
      <c r="R954">
        <f>IFERROR(VALUE(SUBSTITUTE(SUBSTITUTE(PQ_Cleansing!I954, "$", ""), ",", "")), "")</f>
        <v>63744.57</v>
      </c>
    </row>
    <row r="955" spans="1:18" x14ac:dyDescent="0.25">
      <c r="A955" t="str">
        <f>PROPER(TRIM(CLEAN(RAW_DATA!A955)))</f>
        <v>Emp1953</v>
      </c>
      <c r="B955" t="str">
        <f>RAW_DATA!B955</f>
        <v>Alice</v>
      </c>
      <c r="C955" t="str">
        <f>RAW_DATA!C955</f>
        <v>Brown</v>
      </c>
      <c r="D955">
        <f>RAW_DATA!D955</f>
        <v>40</v>
      </c>
      <c r="E955" t="str">
        <f>RAW_DATA!E955</f>
        <v>Cloud Tech-California</v>
      </c>
      <c r="F955" t="str">
        <f t="shared" si="42"/>
        <v>Cloud Tech</v>
      </c>
      <c r="G955" t="str">
        <f t="shared" si="43"/>
        <v>California</v>
      </c>
      <c r="P955">
        <f t="shared" si="44"/>
        <v>85268.279969293711</v>
      </c>
      <c r="Q955">
        <f>IF(PQ_Cleansing!L955="Excellent", P955 * 0.1, IF(PQ_Cleansing!L955="Good", P955 * 0.05, IF(PQ_Cleansing!L955="Average", P955 * 0.02, IF(PQ_Cleansing!L955="Poor", 0, 0))))</f>
        <v>0</v>
      </c>
      <c r="R955" t="str">
        <f>IFERROR(VALUE(SUBSTITUTE(SUBSTITUTE(PQ_Cleansing!I955, "$", ""), ",", "")), "")</f>
        <v/>
      </c>
    </row>
    <row r="956" spans="1:18" x14ac:dyDescent="0.25">
      <c r="A956" t="str">
        <f>PROPER(TRIM(CLEAN(RAW_DATA!A956)))</f>
        <v>Emp1954</v>
      </c>
      <c r="B956" t="str">
        <f>RAW_DATA!B956</f>
        <v>Bob</v>
      </c>
      <c r="C956" t="str">
        <f>RAW_DATA!C956</f>
        <v>Williams</v>
      </c>
      <c r="D956">
        <f>RAW_DATA!D956</f>
        <v>25</v>
      </c>
      <c r="E956" t="str">
        <f>RAW_DATA!E956</f>
        <v>Sales-New York</v>
      </c>
      <c r="F956" t="str">
        <f t="shared" si="42"/>
        <v>Sales</v>
      </c>
      <c r="G956" t="str">
        <f t="shared" si="43"/>
        <v>New York</v>
      </c>
      <c r="P956">
        <f t="shared" si="44"/>
        <v>62934.73</v>
      </c>
      <c r="Q956">
        <f>IF(PQ_Cleansing!L956="Excellent", P956 * 0.1, IF(PQ_Cleansing!L956="Good", P956 * 0.05, IF(PQ_Cleansing!L956="Average", P956 * 0.02, IF(PQ_Cleansing!L956="Poor", 0, 0))))</f>
        <v>3146.7365000000004</v>
      </c>
      <c r="R956">
        <f>IFERROR(VALUE(SUBSTITUTE(SUBSTITUTE(PQ_Cleansing!I956, "$", ""), ",", "")), "")</f>
        <v>62934.73</v>
      </c>
    </row>
    <row r="957" spans="1:18" x14ac:dyDescent="0.25">
      <c r="A957" t="str">
        <f>PROPER(TRIM(CLEAN(RAW_DATA!A957)))</f>
        <v>Emp1955</v>
      </c>
      <c r="B957" t="str">
        <f>RAW_DATA!B957</f>
        <v>Bob</v>
      </c>
      <c r="C957" t="str">
        <f>RAW_DATA!C957</f>
        <v>Williams</v>
      </c>
      <c r="D957">
        <f>RAW_DATA!D957</f>
        <v>30</v>
      </c>
      <c r="E957" t="str">
        <f>RAW_DATA!E957</f>
        <v>DevOps-California</v>
      </c>
      <c r="F957" t="str">
        <f t="shared" si="42"/>
        <v>DevOps</v>
      </c>
      <c r="G957" t="str">
        <f t="shared" si="43"/>
        <v>California</v>
      </c>
      <c r="P957">
        <f t="shared" si="44"/>
        <v>74654.23</v>
      </c>
      <c r="Q957">
        <f>IF(PQ_Cleansing!L957="Excellent", P957 * 0.1, IF(PQ_Cleansing!L957="Good", P957 * 0.05, IF(PQ_Cleansing!L957="Average", P957 * 0.02, IF(PQ_Cleansing!L957="Poor", 0, 0))))</f>
        <v>7465.4229999999998</v>
      </c>
      <c r="R957">
        <f>IFERROR(VALUE(SUBSTITUTE(SUBSTITUTE(PQ_Cleansing!I957, "$", ""), ",", "")), "")</f>
        <v>74654.23</v>
      </c>
    </row>
    <row r="958" spans="1:18" x14ac:dyDescent="0.25">
      <c r="A958" t="str">
        <f>PROPER(TRIM(CLEAN(RAW_DATA!A958)))</f>
        <v>Emp1956</v>
      </c>
      <c r="B958" t="str">
        <f>RAW_DATA!B958</f>
        <v>David</v>
      </c>
      <c r="C958" t="str">
        <f>RAW_DATA!C958</f>
        <v>Brown</v>
      </c>
      <c r="D958">
        <f>RAW_DATA!D958</f>
        <v>0</v>
      </c>
      <c r="E958" t="str">
        <f>RAW_DATA!E958</f>
        <v>Sales-Texas</v>
      </c>
      <c r="F958" t="str">
        <f t="shared" si="42"/>
        <v>Sales</v>
      </c>
      <c r="G958" t="str">
        <f t="shared" si="43"/>
        <v>Texas</v>
      </c>
      <c r="P958">
        <f t="shared" si="44"/>
        <v>85268.279969293711</v>
      </c>
      <c r="Q958">
        <f>IF(PQ_Cleansing!L958="Excellent", P958 * 0.1, IF(PQ_Cleansing!L958="Good", P958 * 0.05, IF(PQ_Cleansing!L958="Average", P958 * 0.02, IF(PQ_Cleansing!L958="Poor", 0, 0))))</f>
        <v>1705.3655993858742</v>
      </c>
      <c r="R958" t="str">
        <f>IFERROR(VALUE(SUBSTITUTE(SUBSTITUTE(PQ_Cleansing!I958, "$", ""), ",", "")), "")</f>
        <v/>
      </c>
    </row>
    <row r="959" spans="1:18" x14ac:dyDescent="0.25">
      <c r="A959" t="str">
        <f>PROPER(TRIM(CLEAN(RAW_DATA!A959)))</f>
        <v>Emp1957</v>
      </c>
      <c r="B959" t="str">
        <f>RAW_DATA!B959</f>
        <v>David</v>
      </c>
      <c r="C959" t="str">
        <f>RAW_DATA!C959</f>
        <v>Smith</v>
      </c>
      <c r="D959">
        <f>RAW_DATA!D959</f>
        <v>30</v>
      </c>
      <c r="E959" t="str">
        <f>RAW_DATA!E959</f>
        <v>HR-New York</v>
      </c>
      <c r="F959" t="str">
        <f t="shared" si="42"/>
        <v>HR</v>
      </c>
      <c r="G959" t="str">
        <f t="shared" si="43"/>
        <v>New York</v>
      </c>
      <c r="P959">
        <f t="shared" si="44"/>
        <v>118150.59</v>
      </c>
      <c r="Q959">
        <f>IF(PQ_Cleansing!L959="Excellent", P959 * 0.1, IF(PQ_Cleansing!L959="Good", P959 * 0.05, IF(PQ_Cleansing!L959="Average", P959 * 0.02, IF(PQ_Cleansing!L959="Poor", 0, 0))))</f>
        <v>2363.0117999999998</v>
      </c>
      <c r="R959">
        <f>IFERROR(VALUE(SUBSTITUTE(SUBSTITUTE(PQ_Cleansing!I959, "$", ""), ",", "")), "")</f>
        <v>118150.59</v>
      </c>
    </row>
    <row r="960" spans="1:18" x14ac:dyDescent="0.25">
      <c r="A960" t="str">
        <f>PROPER(TRIM(CLEAN(RAW_DATA!A960)))</f>
        <v>Emp1958</v>
      </c>
      <c r="B960" t="str">
        <f>RAW_DATA!B960</f>
        <v>David</v>
      </c>
      <c r="C960" t="str">
        <f>RAW_DATA!C960</f>
        <v>Johnson</v>
      </c>
      <c r="D960">
        <f>RAW_DATA!D960</f>
        <v>0</v>
      </c>
      <c r="E960" t="str">
        <f>RAW_DATA!E960</f>
        <v>DevOps-Florida</v>
      </c>
      <c r="F960" t="str">
        <f t="shared" si="42"/>
        <v>DevOps</v>
      </c>
      <c r="G960" t="str">
        <f t="shared" si="43"/>
        <v>Florida</v>
      </c>
      <c r="P960">
        <f t="shared" si="44"/>
        <v>91256.639999999999</v>
      </c>
      <c r="Q960">
        <f>IF(PQ_Cleansing!L960="Excellent", P960 * 0.1, IF(PQ_Cleansing!L960="Good", P960 * 0.05, IF(PQ_Cleansing!L960="Average", P960 * 0.02, IF(PQ_Cleansing!L960="Poor", 0, 0))))</f>
        <v>1825.1328000000001</v>
      </c>
      <c r="R960">
        <f>IFERROR(VALUE(SUBSTITUTE(SUBSTITUTE(PQ_Cleansing!I960, "$", ""), ",", "")), "")</f>
        <v>91256.639999999999</v>
      </c>
    </row>
    <row r="961" spans="1:18" x14ac:dyDescent="0.25">
      <c r="A961" t="str">
        <f>PROPER(TRIM(CLEAN(RAW_DATA!A961)))</f>
        <v>Emp1959</v>
      </c>
      <c r="B961" t="str">
        <f>RAW_DATA!B961</f>
        <v>Bob</v>
      </c>
      <c r="C961" t="str">
        <f>RAW_DATA!C961</f>
        <v>Davis</v>
      </c>
      <c r="D961">
        <f>RAW_DATA!D961</f>
        <v>30</v>
      </c>
      <c r="E961" t="str">
        <f>RAW_DATA!E961</f>
        <v>HR-Florida</v>
      </c>
      <c r="F961" t="str">
        <f t="shared" si="42"/>
        <v>HR</v>
      </c>
      <c r="G961" t="str">
        <f t="shared" si="43"/>
        <v>Florida</v>
      </c>
      <c r="P961">
        <f t="shared" si="44"/>
        <v>85997.57</v>
      </c>
      <c r="Q961">
        <f>IF(PQ_Cleansing!L961="Excellent", P961 * 0.1, IF(PQ_Cleansing!L961="Good", P961 * 0.05, IF(PQ_Cleansing!L961="Average", P961 * 0.02, IF(PQ_Cleansing!L961="Poor", 0, 0))))</f>
        <v>4299.8785000000007</v>
      </c>
      <c r="R961">
        <f>IFERROR(VALUE(SUBSTITUTE(SUBSTITUTE(PQ_Cleansing!I961, "$", ""), ",", "")), "")</f>
        <v>85997.57</v>
      </c>
    </row>
    <row r="962" spans="1:18" x14ac:dyDescent="0.25">
      <c r="A962" t="str">
        <f>PROPER(TRIM(CLEAN(RAW_DATA!A962)))</f>
        <v>Emp1960</v>
      </c>
      <c r="B962" t="str">
        <f>RAW_DATA!B962</f>
        <v>Frank</v>
      </c>
      <c r="C962" t="str">
        <f>RAW_DATA!C962</f>
        <v>Smith</v>
      </c>
      <c r="D962">
        <f>RAW_DATA!D962</f>
        <v>25</v>
      </c>
      <c r="E962" t="str">
        <f>RAW_DATA!E962</f>
        <v>Finance-Texas</v>
      </c>
      <c r="F962" t="str">
        <f t="shared" si="42"/>
        <v>Finance</v>
      </c>
      <c r="G962" t="str">
        <f t="shared" si="43"/>
        <v>Texas</v>
      </c>
      <c r="P962">
        <f t="shared" si="44"/>
        <v>84707.12</v>
      </c>
      <c r="Q962">
        <f>IF(PQ_Cleansing!L962="Excellent", P962 * 0.1, IF(PQ_Cleansing!L962="Good", P962 * 0.05, IF(PQ_Cleansing!L962="Average", P962 * 0.02, IF(PQ_Cleansing!L962="Poor", 0, 0))))</f>
        <v>8470.7119999999995</v>
      </c>
      <c r="R962">
        <f>IFERROR(VALUE(SUBSTITUTE(SUBSTITUTE(PQ_Cleansing!I962, "$", ""), ",", "")), "")</f>
        <v>84707.12</v>
      </c>
    </row>
    <row r="963" spans="1:18" x14ac:dyDescent="0.25">
      <c r="A963" t="str">
        <f>PROPER(TRIM(CLEAN(RAW_DATA!A963)))</f>
        <v>Emp1961</v>
      </c>
      <c r="B963" t="str">
        <f>RAW_DATA!B963</f>
        <v>Eva</v>
      </c>
      <c r="C963" t="str">
        <f>RAW_DATA!C963</f>
        <v>Smith</v>
      </c>
      <c r="D963">
        <f>RAW_DATA!D963</f>
        <v>0</v>
      </c>
      <c r="E963" t="str">
        <f>RAW_DATA!E963</f>
        <v>DevOps-Texas</v>
      </c>
      <c r="F963" t="str">
        <f t="shared" ref="F963:F1021" si="45">LEFT(E963, FIND("-", E963) - 1)</f>
        <v>DevOps</v>
      </c>
      <c r="G963" t="str">
        <f t="shared" ref="G963:G1021" si="46">RIGHT(E963, LEN(E963) - FIND("-",E963))</f>
        <v>Texas</v>
      </c>
      <c r="P963">
        <f t="shared" ref="P963:P1021" si="47">IF(ISNUMBER(R963), R963, AVERAGEIF($R$2:$R$1000, "&gt;0"))</f>
        <v>84559.9</v>
      </c>
      <c r="Q963">
        <f>IF(PQ_Cleansing!L963="Excellent", P963 * 0.1, IF(PQ_Cleansing!L963="Good", P963 * 0.05, IF(PQ_Cleansing!L963="Average", P963 * 0.02, IF(PQ_Cleansing!L963="Poor", 0, 0))))</f>
        <v>0</v>
      </c>
      <c r="R963">
        <f>IFERROR(VALUE(SUBSTITUTE(SUBSTITUTE(PQ_Cleansing!I963, "$", ""), ",", "")), "")</f>
        <v>84559.9</v>
      </c>
    </row>
    <row r="964" spans="1:18" x14ac:dyDescent="0.25">
      <c r="A964" t="str">
        <f>PROPER(TRIM(CLEAN(RAW_DATA!A964)))</f>
        <v>Emp1962</v>
      </c>
      <c r="B964" t="str">
        <f>RAW_DATA!B964</f>
        <v>Heidi</v>
      </c>
      <c r="C964" t="str">
        <f>RAW_DATA!C964</f>
        <v>Miller</v>
      </c>
      <c r="D964">
        <f>RAW_DATA!D964</f>
        <v>0</v>
      </c>
      <c r="E964" t="str">
        <f>RAW_DATA!E964</f>
        <v>DevOps-California</v>
      </c>
      <c r="F964" t="str">
        <f t="shared" si="45"/>
        <v>DevOps</v>
      </c>
      <c r="G964" t="str">
        <f t="shared" si="46"/>
        <v>California</v>
      </c>
      <c r="P964">
        <f t="shared" si="47"/>
        <v>81076.91</v>
      </c>
      <c r="Q964">
        <f>IF(PQ_Cleansing!L964="Excellent", P964 * 0.1, IF(PQ_Cleansing!L964="Good", P964 * 0.05, IF(PQ_Cleansing!L964="Average", P964 * 0.02, IF(PQ_Cleansing!L964="Poor", 0, 0))))</f>
        <v>0</v>
      </c>
      <c r="R964">
        <f>IFERROR(VALUE(SUBSTITUTE(SUBSTITUTE(PQ_Cleansing!I964, "$", ""), ",", "")), "")</f>
        <v>81076.91</v>
      </c>
    </row>
    <row r="965" spans="1:18" x14ac:dyDescent="0.25">
      <c r="A965" t="str">
        <f>PROPER(TRIM(CLEAN(RAW_DATA!A965)))</f>
        <v>Emp1963</v>
      </c>
      <c r="B965" t="str">
        <f>RAW_DATA!B965</f>
        <v>Eva</v>
      </c>
      <c r="C965" t="str">
        <f>RAW_DATA!C965</f>
        <v>Davis</v>
      </c>
      <c r="D965">
        <f>RAW_DATA!D965</f>
        <v>40</v>
      </c>
      <c r="E965" t="str">
        <f>RAW_DATA!E965</f>
        <v>Admin-Texas</v>
      </c>
      <c r="F965" t="str">
        <f t="shared" si="45"/>
        <v>Admin</v>
      </c>
      <c r="G965" t="str">
        <f t="shared" si="46"/>
        <v>Texas</v>
      </c>
      <c r="P965">
        <f t="shared" si="47"/>
        <v>85268.279969293711</v>
      </c>
      <c r="Q965">
        <f>IF(PQ_Cleansing!L965="Excellent", P965 * 0.1, IF(PQ_Cleansing!L965="Good", P965 * 0.05, IF(PQ_Cleansing!L965="Average", P965 * 0.02, IF(PQ_Cleansing!L965="Poor", 0, 0))))</f>
        <v>1705.3655993858742</v>
      </c>
      <c r="R965" t="str">
        <f>IFERROR(VALUE(SUBSTITUTE(SUBSTITUTE(PQ_Cleansing!I965, "$", ""), ",", "")), "")</f>
        <v/>
      </c>
    </row>
    <row r="966" spans="1:18" x14ac:dyDescent="0.25">
      <c r="A966" t="str">
        <f>PROPER(TRIM(CLEAN(RAW_DATA!A966)))</f>
        <v>Emp1964</v>
      </c>
      <c r="B966" t="str">
        <f>RAW_DATA!B966</f>
        <v>Heidi</v>
      </c>
      <c r="C966" t="str">
        <f>RAW_DATA!C966</f>
        <v>Davis</v>
      </c>
      <c r="D966">
        <f>RAW_DATA!D966</f>
        <v>25</v>
      </c>
      <c r="E966" t="str">
        <f>RAW_DATA!E966</f>
        <v>Finance-Florida</v>
      </c>
      <c r="F966" t="str">
        <f t="shared" si="45"/>
        <v>Finance</v>
      </c>
      <c r="G966" t="str">
        <f t="shared" si="46"/>
        <v>Florida</v>
      </c>
      <c r="P966">
        <f t="shared" si="47"/>
        <v>97356.31</v>
      </c>
      <c r="Q966">
        <f>IF(PQ_Cleansing!L966="Excellent", P966 * 0.1, IF(PQ_Cleansing!L966="Good", P966 * 0.05, IF(PQ_Cleansing!L966="Average", P966 * 0.02, IF(PQ_Cleansing!L966="Poor", 0, 0))))</f>
        <v>4867.8154999999997</v>
      </c>
      <c r="R966">
        <f>IFERROR(VALUE(SUBSTITUTE(SUBSTITUTE(PQ_Cleansing!I966, "$", ""), ",", "")), "")</f>
        <v>97356.31</v>
      </c>
    </row>
    <row r="967" spans="1:18" x14ac:dyDescent="0.25">
      <c r="A967" t="str">
        <f>PROPER(TRIM(CLEAN(RAW_DATA!A967)))</f>
        <v>Emp1965</v>
      </c>
      <c r="B967" t="str">
        <f>RAW_DATA!B967</f>
        <v>Grace</v>
      </c>
      <c r="C967" t="str">
        <f>RAW_DATA!C967</f>
        <v>Smith</v>
      </c>
      <c r="D967">
        <f>RAW_DATA!D967</f>
        <v>40</v>
      </c>
      <c r="E967" t="str">
        <f>RAW_DATA!E967</f>
        <v>DevOps-Illinois</v>
      </c>
      <c r="F967" t="str">
        <f t="shared" si="45"/>
        <v>DevOps</v>
      </c>
      <c r="G967" t="str">
        <f t="shared" si="46"/>
        <v>Illinois</v>
      </c>
      <c r="P967">
        <f t="shared" si="47"/>
        <v>114770.32</v>
      </c>
      <c r="Q967">
        <f>IF(PQ_Cleansing!L967="Excellent", P967 * 0.1, IF(PQ_Cleansing!L967="Good", P967 * 0.05, IF(PQ_Cleansing!L967="Average", P967 * 0.02, IF(PQ_Cleansing!L967="Poor", 0, 0))))</f>
        <v>5738.5160000000005</v>
      </c>
      <c r="R967">
        <f>IFERROR(VALUE(SUBSTITUTE(SUBSTITUTE(PQ_Cleansing!I967, "$", ""), ",", "")), "")</f>
        <v>114770.32</v>
      </c>
    </row>
    <row r="968" spans="1:18" x14ac:dyDescent="0.25">
      <c r="A968" t="str">
        <f>PROPER(TRIM(CLEAN(RAW_DATA!A968)))</f>
        <v>Emp1966</v>
      </c>
      <c r="B968" t="str">
        <f>RAW_DATA!B968</f>
        <v>Bob</v>
      </c>
      <c r="C968" t="str">
        <f>RAW_DATA!C968</f>
        <v>Jones</v>
      </c>
      <c r="D968">
        <f>RAW_DATA!D968</f>
        <v>35</v>
      </c>
      <c r="E968" t="str">
        <f>RAW_DATA!E968</f>
        <v>Admin-California</v>
      </c>
      <c r="F968" t="str">
        <f t="shared" si="45"/>
        <v>Admin</v>
      </c>
      <c r="G968" t="str">
        <f t="shared" si="46"/>
        <v>California</v>
      </c>
      <c r="P968">
        <f t="shared" si="47"/>
        <v>109082.07</v>
      </c>
      <c r="Q968">
        <f>IF(PQ_Cleansing!L968="Excellent", P968 * 0.1, IF(PQ_Cleansing!L968="Good", P968 * 0.05, IF(PQ_Cleansing!L968="Average", P968 * 0.02, IF(PQ_Cleansing!L968="Poor", 0, 0))))</f>
        <v>5454.1035000000011</v>
      </c>
      <c r="R968">
        <f>IFERROR(VALUE(SUBSTITUTE(SUBSTITUTE(PQ_Cleansing!I968, "$", ""), ",", "")), "")</f>
        <v>109082.07</v>
      </c>
    </row>
    <row r="969" spans="1:18" x14ac:dyDescent="0.25">
      <c r="A969" t="str">
        <f>PROPER(TRIM(CLEAN(RAW_DATA!A969)))</f>
        <v>Emp1967</v>
      </c>
      <c r="B969" t="str">
        <f>RAW_DATA!B969</f>
        <v>David</v>
      </c>
      <c r="C969" t="str">
        <f>RAW_DATA!C969</f>
        <v>Miller</v>
      </c>
      <c r="D969">
        <f>RAW_DATA!D969</f>
        <v>40</v>
      </c>
      <c r="E969" t="str">
        <f>RAW_DATA!E969</f>
        <v>DevOps-Florida</v>
      </c>
      <c r="F969" t="str">
        <f t="shared" si="45"/>
        <v>DevOps</v>
      </c>
      <c r="G969" t="str">
        <f t="shared" si="46"/>
        <v>Florida</v>
      </c>
      <c r="P969">
        <f t="shared" si="47"/>
        <v>99944.57</v>
      </c>
      <c r="Q969">
        <f>IF(PQ_Cleansing!L969="Excellent", P969 * 0.1, IF(PQ_Cleansing!L969="Good", P969 * 0.05, IF(PQ_Cleansing!L969="Average", P969 * 0.02, IF(PQ_Cleansing!L969="Poor", 0, 0))))</f>
        <v>0</v>
      </c>
      <c r="R969">
        <f>IFERROR(VALUE(SUBSTITUTE(SUBSTITUTE(PQ_Cleansing!I969, "$", ""), ",", "")), "")</f>
        <v>99944.57</v>
      </c>
    </row>
    <row r="970" spans="1:18" x14ac:dyDescent="0.25">
      <c r="A970" t="str">
        <f>PROPER(TRIM(CLEAN(RAW_DATA!A970)))</f>
        <v>Emp1968</v>
      </c>
      <c r="B970" t="str">
        <f>RAW_DATA!B970</f>
        <v>Eva</v>
      </c>
      <c r="C970" t="str">
        <f>RAW_DATA!C970</f>
        <v>Miller</v>
      </c>
      <c r="D970">
        <f>RAW_DATA!D970</f>
        <v>40</v>
      </c>
      <c r="E970" t="str">
        <f>RAW_DATA!E970</f>
        <v>HR-Florida</v>
      </c>
      <c r="F970" t="str">
        <f t="shared" si="45"/>
        <v>HR</v>
      </c>
      <c r="G970" t="str">
        <f t="shared" si="46"/>
        <v>Florida</v>
      </c>
      <c r="P970">
        <f t="shared" si="47"/>
        <v>116509.72</v>
      </c>
      <c r="Q970">
        <f>IF(PQ_Cleansing!L970="Excellent", P970 * 0.1, IF(PQ_Cleansing!L970="Good", P970 * 0.05, IF(PQ_Cleansing!L970="Average", P970 * 0.02, IF(PQ_Cleansing!L970="Poor", 0, 0))))</f>
        <v>2330.1943999999999</v>
      </c>
      <c r="R970">
        <f>IFERROR(VALUE(SUBSTITUTE(SUBSTITUTE(PQ_Cleansing!I970, "$", ""), ",", "")), "")</f>
        <v>116509.72</v>
      </c>
    </row>
    <row r="971" spans="1:18" x14ac:dyDescent="0.25">
      <c r="A971" t="str">
        <f>PROPER(TRIM(CLEAN(RAW_DATA!A971)))</f>
        <v>Emp1969</v>
      </c>
      <c r="B971" t="str">
        <f>RAW_DATA!B971</f>
        <v>Eva</v>
      </c>
      <c r="C971" t="str">
        <f>RAW_DATA!C971</f>
        <v>Williams</v>
      </c>
      <c r="D971">
        <f>RAW_DATA!D971</f>
        <v>30</v>
      </c>
      <c r="E971" t="str">
        <f>RAW_DATA!E971</f>
        <v>Finance-Texas</v>
      </c>
      <c r="F971" t="str">
        <f t="shared" si="45"/>
        <v>Finance</v>
      </c>
      <c r="G971" t="str">
        <f t="shared" si="46"/>
        <v>Texas</v>
      </c>
      <c r="P971">
        <f t="shared" si="47"/>
        <v>84253.9</v>
      </c>
      <c r="Q971">
        <f>IF(PQ_Cleansing!L971="Excellent", P971 * 0.1, IF(PQ_Cleansing!L971="Good", P971 * 0.05, IF(PQ_Cleansing!L971="Average", P971 * 0.02, IF(PQ_Cleansing!L971="Poor", 0, 0))))</f>
        <v>8425.39</v>
      </c>
      <c r="R971">
        <f>IFERROR(VALUE(SUBSTITUTE(SUBSTITUTE(PQ_Cleansing!I971, "$", ""), ",", "")), "")</f>
        <v>84253.9</v>
      </c>
    </row>
    <row r="972" spans="1:18" x14ac:dyDescent="0.25">
      <c r="A972" t="str">
        <f>PROPER(TRIM(CLEAN(RAW_DATA!A972)))</f>
        <v>Emp1970</v>
      </c>
      <c r="B972" t="str">
        <f>RAW_DATA!B972</f>
        <v>Charlie</v>
      </c>
      <c r="C972" t="str">
        <f>RAW_DATA!C972</f>
        <v>Garcia</v>
      </c>
      <c r="D972">
        <f>RAW_DATA!D972</f>
        <v>25</v>
      </c>
      <c r="E972" t="str">
        <f>RAW_DATA!E972</f>
        <v>Cloud Tech-Nevada</v>
      </c>
      <c r="F972" t="str">
        <f t="shared" si="45"/>
        <v>Cloud Tech</v>
      </c>
      <c r="G972" t="str">
        <f t="shared" si="46"/>
        <v>Nevada</v>
      </c>
      <c r="P972">
        <f t="shared" si="47"/>
        <v>54776.01</v>
      </c>
      <c r="Q972">
        <f>IF(PQ_Cleansing!L972="Excellent", P972 * 0.1, IF(PQ_Cleansing!L972="Good", P972 * 0.05, IF(PQ_Cleansing!L972="Average", P972 * 0.02, IF(PQ_Cleansing!L972="Poor", 0, 0))))</f>
        <v>0</v>
      </c>
      <c r="R972">
        <f>IFERROR(VALUE(SUBSTITUTE(SUBSTITUTE(PQ_Cleansing!I972, "$", ""), ",", "")), "")</f>
        <v>54776.01</v>
      </c>
    </row>
    <row r="973" spans="1:18" x14ac:dyDescent="0.25">
      <c r="A973" t="str">
        <f>PROPER(TRIM(CLEAN(RAW_DATA!A973)))</f>
        <v>Emp1971</v>
      </c>
      <c r="B973" t="str">
        <f>RAW_DATA!B973</f>
        <v>Charlie</v>
      </c>
      <c r="C973" t="str">
        <f>RAW_DATA!C973</f>
        <v>Davis</v>
      </c>
      <c r="D973">
        <f>RAW_DATA!D973</f>
        <v>40</v>
      </c>
      <c r="E973" t="str">
        <f>RAW_DATA!E973</f>
        <v>Sales-Nevada</v>
      </c>
      <c r="F973" t="str">
        <f t="shared" si="45"/>
        <v>Sales</v>
      </c>
      <c r="G973" t="str">
        <f t="shared" si="46"/>
        <v>Nevada</v>
      </c>
      <c r="P973">
        <f t="shared" si="47"/>
        <v>71192.679999999993</v>
      </c>
      <c r="Q973">
        <f>IF(PQ_Cleansing!L973="Excellent", P973 * 0.1, IF(PQ_Cleansing!L973="Good", P973 * 0.05, IF(PQ_Cleansing!L973="Average", P973 * 0.02, IF(PQ_Cleansing!L973="Poor", 0, 0))))</f>
        <v>1423.8535999999999</v>
      </c>
      <c r="R973">
        <f>IFERROR(VALUE(SUBSTITUTE(SUBSTITUTE(PQ_Cleansing!I973, "$", ""), ",", "")), "")</f>
        <v>71192.679999999993</v>
      </c>
    </row>
    <row r="974" spans="1:18" x14ac:dyDescent="0.25">
      <c r="A974" t="str">
        <f>PROPER(TRIM(CLEAN(RAW_DATA!A974)))</f>
        <v>Emp1972</v>
      </c>
      <c r="B974" t="str">
        <f>RAW_DATA!B974</f>
        <v>Bob</v>
      </c>
      <c r="C974" t="str">
        <f>RAW_DATA!C974</f>
        <v>Smith</v>
      </c>
      <c r="D974">
        <f>RAW_DATA!D974</f>
        <v>0</v>
      </c>
      <c r="E974" t="str">
        <f>RAW_DATA!E974</f>
        <v>Finance-Florida</v>
      </c>
      <c r="F974" t="str">
        <f t="shared" si="45"/>
        <v>Finance</v>
      </c>
      <c r="G974" t="str">
        <f t="shared" si="46"/>
        <v>Florida</v>
      </c>
      <c r="P974">
        <f t="shared" si="47"/>
        <v>96346.53</v>
      </c>
      <c r="Q974">
        <f>IF(PQ_Cleansing!L974="Excellent", P974 * 0.1, IF(PQ_Cleansing!L974="Good", P974 * 0.05, IF(PQ_Cleansing!L974="Average", P974 * 0.02, IF(PQ_Cleansing!L974="Poor", 0, 0))))</f>
        <v>1926.9305999999999</v>
      </c>
      <c r="R974">
        <f>IFERROR(VALUE(SUBSTITUTE(SUBSTITUTE(PQ_Cleansing!I974, "$", ""), ",", "")), "")</f>
        <v>96346.53</v>
      </c>
    </row>
    <row r="975" spans="1:18" x14ac:dyDescent="0.25">
      <c r="A975" t="str">
        <f>PROPER(TRIM(CLEAN(RAW_DATA!A975)))</f>
        <v>Emp1973</v>
      </c>
      <c r="B975" t="str">
        <f>RAW_DATA!B975</f>
        <v>Eva</v>
      </c>
      <c r="C975" t="str">
        <f>RAW_DATA!C975</f>
        <v>Williams</v>
      </c>
      <c r="D975">
        <f>RAW_DATA!D975</f>
        <v>0</v>
      </c>
      <c r="E975" t="str">
        <f>RAW_DATA!E975</f>
        <v>HR-Illinois</v>
      </c>
      <c r="F975" t="str">
        <f t="shared" si="45"/>
        <v>HR</v>
      </c>
      <c r="G975" t="str">
        <f t="shared" si="46"/>
        <v>Illinois</v>
      </c>
      <c r="P975">
        <f t="shared" si="47"/>
        <v>116680.63</v>
      </c>
      <c r="Q975">
        <f>IF(PQ_Cleansing!L975="Excellent", P975 * 0.1, IF(PQ_Cleansing!L975="Good", P975 * 0.05, IF(PQ_Cleansing!L975="Average", P975 * 0.02, IF(PQ_Cleansing!L975="Poor", 0, 0))))</f>
        <v>11668.063000000002</v>
      </c>
      <c r="R975">
        <f>IFERROR(VALUE(SUBSTITUTE(SUBSTITUTE(PQ_Cleansing!I975, "$", ""), ",", "")), "")</f>
        <v>116680.63</v>
      </c>
    </row>
    <row r="976" spans="1:18" x14ac:dyDescent="0.25">
      <c r="A976" t="str">
        <f>PROPER(TRIM(CLEAN(RAW_DATA!A976)))</f>
        <v>Emp1974</v>
      </c>
      <c r="B976" t="str">
        <f>RAW_DATA!B976</f>
        <v>Grace</v>
      </c>
      <c r="C976" t="str">
        <f>RAW_DATA!C976</f>
        <v>Brown</v>
      </c>
      <c r="D976">
        <f>RAW_DATA!D976</f>
        <v>25</v>
      </c>
      <c r="E976" t="str">
        <f>RAW_DATA!E976</f>
        <v>Finance-Florida</v>
      </c>
      <c r="F976" t="str">
        <f t="shared" si="45"/>
        <v>Finance</v>
      </c>
      <c r="G976" t="str">
        <f t="shared" si="46"/>
        <v>Florida</v>
      </c>
      <c r="P976">
        <f t="shared" si="47"/>
        <v>76343.56</v>
      </c>
      <c r="Q976">
        <f>IF(PQ_Cleansing!L976="Excellent", P976 * 0.1, IF(PQ_Cleansing!L976="Good", P976 * 0.05, IF(PQ_Cleansing!L976="Average", P976 * 0.02, IF(PQ_Cleansing!L976="Poor", 0, 0))))</f>
        <v>7634.3559999999998</v>
      </c>
      <c r="R976">
        <f>IFERROR(VALUE(SUBSTITUTE(SUBSTITUTE(PQ_Cleansing!I976, "$", ""), ",", "")), "")</f>
        <v>76343.56</v>
      </c>
    </row>
    <row r="977" spans="1:18" x14ac:dyDescent="0.25">
      <c r="A977" t="str">
        <f>PROPER(TRIM(CLEAN(RAW_DATA!A977)))</f>
        <v>Emp1975</v>
      </c>
      <c r="B977" t="str">
        <f>RAW_DATA!B977</f>
        <v>Alice</v>
      </c>
      <c r="C977" t="str">
        <f>RAW_DATA!C977</f>
        <v>Johnson</v>
      </c>
      <c r="D977">
        <f>RAW_DATA!D977</f>
        <v>30</v>
      </c>
      <c r="E977" t="str">
        <f>RAW_DATA!E977</f>
        <v>Sales-Nevada</v>
      </c>
      <c r="F977" t="str">
        <f t="shared" si="45"/>
        <v>Sales</v>
      </c>
      <c r="G977" t="str">
        <f t="shared" si="46"/>
        <v>Nevada</v>
      </c>
      <c r="P977">
        <f t="shared" si="47"/>
        <v>99424.14</v>
      </c>
      <c r="Q977">
        <f>IF(PQ_Cleansing!L977="Excellent", P977 * 0.1, IF(PQ_Cleansing!L977="Good", P977 * 0.05, IF(PQ_Cleansing!L977="Average", P977 * 0.02, IF(PQ_Cleansing!L977="Poor", 0, 0))))</f>
        <v>9942.4140000000007</v>
      </c>
      <c r="R977">
        <f>IFERROR(VALUE(SUBSTITUTE(SUBSTITUTE(PQ_Cleansing!I977, "$", ""), ",", "")), "")</f>
        <v>99424.14</v>
      </c>
    </row>
    <row r="978" spans="1:18" x14ac:dyDescent="0.25">
      <c r="A978" t="str">
        <f>PROPER(TRIM(CLEAN(RAW_DATA!A978)))</f>
        <v>Emp1976</v>
      </c>
      <c r="B978" t="str">
        <f>RAW_DATA!B978</f>
        <v>Charlie</v>
      </c>
      <c r="C978" t="str">
        <f>RAW_DATA!C978</f>
        <v>Garcia</v>
      </c>
      <c r="D978">
        <f>RAW_DATA!D978</f>
        <v>35</v>
      </c>
      <c r="E978" t="str">
        <f>RAW_DATA!E978</f>
        <v>DevOps-Florida</v>
      </c>
      <c r="F978" t="str">
        <f t="shared" si="45"/>
        <v>DevOps</v>
      </c>
      <c r="G978" t="str">
        <f t="shared" si="46"/>
        <v>Florida</v>
      </c>
      <c r="P978">
        <f t="shared" si="47"/>
        <v>57656.74</v>
      </c>
      <c r="Q978">
        <f>IF(PQ_Cleansing!L978="Excellent", P978 * 0.1, IF(PQ_Cleansing!L978="Good", P978 * 0.05, IF(PQ_Cleansing!L978="Average", P978 * 0.02, IF(PQ_Cleansing!L978="Poor", 0, 0))))</f>
        <v>2882.837</v>
      </c>
      <c r="R978">
        <f>IFERROR(VALUE(SUBSTITUTE(SUBSTITUTE(PQ_Cleansing!I978, "$", ""), ",", "")), "")</f>
        <v>57656.74</v>
      </c>
    </row>
    <row r="979" spans="1:18" x14ac:dyDescent="0.25">
      <c r="A979" t="str">
        <f>PROPER(TRIM(CLEAN(RAW_DATA!A979)))</f>
        <v>Emp1977</v>
      </c>
      <c r="B979" t="str">
        <f>RAW_DATA!B979</f>
        <v>Heidi</v>
      </c>
      <c r="C979" t="str">
        <f>RAW_DATA!C979</f>
        <v>Garcia</v>
      </c>
      <c r="D979">
        <f>RAW_DATA!D979</f>
        <v>40</v>
      </c>
      <c r="E979" t="str">
        <f>RAW_DATA!E979</f>
        <v>Sales-New York</v>
      </c>
      <c r="F979" t="str">
        <f t="shared" si="45"/>
        <v>Sales</v>
      </c>
      <c r="G979" t="str">
        <f t="shared" si="46"/>
        <v>New York</v>
      </c>
      <c r="P979">
        <f t="shared" si="47"/>
        <v>77396.94</v>
      </c>
      <c r="Q979">
        <f>IF(PQ_Cleansing!L979="Excellent", P979 * 0.1, IF(PQ_Cleansing!L979="Good", P979 * 0.05, IF(PQ_Cleansing!L979="Average", P979 * 0.02, IF(PQ_Cleansing!L979="Poor", 0, 0))))</f>
        <v>7739.6940000000004</v>
      </c>
      <c r="R979">
        <f>IFERROR(VALUE(SUBSTITUTE(SUBSTITUTE(PQ_Cleansing!I979, "$", ""), ",", "")), "")</f>
        <v>77396.94</v>
      </c>
    </row>
    <row r="980" spans="1:18" x14ac:dyDescent="0.25">
      <c r="A980" t="str">
        <f>PROPER(TRIM(CLEAN(RAW_DATA!A980)))</f>
        <v>Emp1978</v>
      </c>
      <c r="B980" t="str">
        <f>RAW_DATA!B980</f>
        <v>Grace</v>
      </c>
      <c r="C980" t="str">
        <f>RAW_DATA!C980</f>
        <v>Garcia</v>
      </c>
      <c r="D980">
        <f>RAW_DATA!D980</f>
        <v>0</v>
      </c>
      <c r="E980" t="str">
        <f>RAW_DATA!E980</f>
        <v>DevOps-California</v>
      </c>
      <c r="F980" t="str">
        <f t="shared" si="45"/>
        <v>DevOps</v>
      </c>
      <c r="G980" t="str">
        <f t="shared" si="46"/>
        <v>California</v>
      </c>
      <c r="P980">
        <f t="shared" si="47"/>
        <v>54299.68</v>
      </c>
      <c r="Q980">
        <f>IF(PQ_Cleansing!L980="Excellent", P980 * 0.1, IF(PQ_Cleansing!L980="Good", P980 * 0.05, IF(PQ_Cleansing!L980="Average", P980 * 0.02, IF(PQ_Cleansing!L980="Poor", 0, 0))))</f>
        <v>1085.9936</v>
      </c>
      <c r="R980">
        <f>IFERROR(VALUE(SUBSTITUTE(SUBSTITUTE(PQ_Cleansing!I980, "$", ""), ",", "")), "")</f>
        <v>54299.68</v>
      </c>
    </row>
    <row r="981" spans="1:18" x14ac:dyDescent="0.25">
      <c r="A981" t="str">
        <f>PROPER(TRIM(CLEAN(RAW_DATA!A981)))</f>
        <v>Emp1979</v>
      </c>
      <c r="B981" t="str">
        <f>RAW_DATA!B981</f>
        <v>Charlie</v>
      </c>
      <c r="C981" t="str">
        <f>RAW_DATA!C981</f>
        <v>Miller</v>
      </c>
      <c r="D981">
        <f>RAW_DATA!D981</f>
        <v>35</v>
      </c>
      <c r="E981" t="str">
        <f>RAW_DATA!E981</f>
        <v>HR-Nevada</v>
      </c>
      <c r="F981" t="str">
        <f t="shared" si="45"/>
        <v>HR</v>
      </c>
      <c r="G981" t="str">
        <f t="shared" si="46"/>
        <v>Nevada</v>
      </c>
      <c r="P981">
        <f t="shared" si="47"/>
        <v>103563.58</v>
      </c>
      <c r="Q981">
        <f>IF(PQ_Cleansing!L981="Excellent", P981 * 0.1, IF(PQ_Cleansing!L981="Good", P981 * 0.05, IF(PQ_Cleansing!L981="Average", P981 * 0.02, IF(PQ_Cleansing!L981="Poor", 0, 0))))</f>
        <v>10356.358</v>
      </c>
      <c r="R981">
        <f>IFERROR(VALUE(SUBSTITUTE(SUBSTITUTE(PQ_Cleansing!I981, "$", ""), ",", "")), "")</f>
        <v>103563.58</v>
      </c>
    </row>
    <row r="982" spans="1:18" x14ac:dyDescent="0.25">
      <c r="A982" t="str">
        <f>PROPER(TRIM(CLEAN(RAW_DATA!A982)))</f>
        <v>Emp1980</v>
      </c>
      <c r="B982" t="str">
        <f>RAW_DATA!B982</f>
        <v>Grace</v>
      </c>
      <c r="C982" t="str">
        <f>RAW_DATA!C982</f>
        <v>Brown</v>
      </c>
      <c r="D982">
        <f>RAW_DATA!D982</f>
        <v>25</v>
      </c>
      <c r="E982" t="str">
        <f>RAW_DATA!E982</f>
        <v>Finance-California</v>
      </c>
      <c r="F982" t="str">
        <f t="shared" si="45"/>
        <v>Finance</v>
      </c>
      <c r="G982" t="str">
        <f t="shared" si="46"/>
        <v>California</v>
      </c>
      <c r="P982">
        <f t="shared" si="47"/>
        <v>74588.850000000006</v>
      </c>
      <c r="Q982">
        <f>IF(PQ_Cleansing!L982="Excellent", P982 * 0.1, IF(PQ_Cleansing!L982="Good", P982 * 0.05, IF(PQ_Cleansing!L982="Average", P982 * 0.02, IF(PQ_Cleansing!L982="Poor", 0, 0))))</f>
        <v>1491.777</v>
      </c>
      <c r="R982">
        <f>IFERROR(VALUE(SUBSTITUTE(SUBSTITUTE(PQ_Cleansing!I982, "$", ""), ",", "")), "")</f>
        <v>74588.850000000006</v>
      </c>
    </row>
    <row r="983" spans="1:18" x14ac:dyDescent="0.25">
      <c r="A983" t="str">
        <f>PROPER(TRIM(CLEAN(RAW_DATA!A983)))</f>
        <v>Emp1981</v>
      </c>
      <c r="B983" t="str">
        <f>RAW_DATA!B983</f>
        <v>David</v>
      </c>
      <c r="C983" t="str">
        <f>RAW_DATA!C983</f>
        <v>Garcia</v>
      </c>
      <c r="D983">
        <f>RAW_DATA!D983</f>
        <v>30</v>
      </c>
      <c r="E983" t="str">
        <f>RAW_DATA!E983</f>
        <v>DevOps-California</v>
      </c>
      <c r="F983" t="str">
        <f t="shared" si="45"/>
        <v>DevOps</v>
      </c>
      <c r="G983" t="str">
        <f t="shared" si="46"/>
        <v>California</v>
      </c>
      <c r="P983">
        <f t="shared" si="47"/>
        <v>113727.23</v>
      </c>
      <c r="Q983">
        <f>IF(PQ_Cleansing!L983="Excellent", P983 * 0.1, IF(PQ_Cleansing!L983="Good", P983 * 0.05, IF(PQ_Cleansing!L983="Average", P983 * 0.02, IF(PQ_Cleansing!L983="Poor", 0, 0))))</f>
        <v>0</v>
      </c>
      <c r="R983">
        <f>IFERROR(VALUE(SUBSTITUTE(SUBSTITUTE(PQ_Cleansing!I983, "$", ""), ",", "")), "")</f>
        <v>113727.23</v>
      </c>
    </row>
    <row r="984" spans="1:18" x14ac:dyDescent="0.25">
      <c r="A984" t="str">
        <f>PROPER(TRIM(CLEAN(RAW_DATA!A984)))</f>
        <v>Emp1982</v>
      </c>
      <c r="B984" t="str">
        <f>RAW_DATA!B984</f>
        <v>Eva</v>
      </c>
      <c r="C984" t="str">
        <f>RAW_DATA!C984</f>
        <v>Brown</v>
      </c>
      <c r="D984">
        <f>RAW_DATA!D984</f>
        <v>25</v>
      </c>
      <c r="E984" t="str">
        <f>RAW_DATA!E984</f>
        <v>HR-New York</v>
      </c>
      <c r="F984" t="str">
        <f t="shared" si="45"/>
        <v>HR</v>
      </c>
      <c r="G984" t="str">
        <f t="shared" si="46"/>
        <v>New York</v>
      </c>
      <c r="P984">
        <f t="shared" si="47"/>
        <v>72828.179999999993</v>
      </c>
      <c r="Q984">
        <f>IF(PQ_Cleansing!L984="Excellent", P984 * 0.1, IF(PQ_Cleansing!L984="Good", P984 * 0.05, IF(PQ_Cleansing!L984="Average", P984 * 0.02, IF(PQ_Cleansing!L984="Poor", 0, 0))))</f>
        <v>3641.4089999999997</v>
      </c>
      <c r="R984">
        <f>IFERROR(VALUE(SUBSTITUTE(SUBSTITUTE(PQ_Cleansing!I984, "$", ""), ",", "")), "")</f>
        <v>72828.179999999993</v>
      </c>
    </row>
    <row r="985" spans="1:18" x14ac:dyDescent="0.25">
      <c r="A985" t="str">
        <f>PROPER(TRIM(CLEAN(RAW_DATA!A985)))</f>
        <v>Emp1983</v>
      </c>
      <c r="B985" t="str">
        <f>RAW_DATA!B985</f>
        <v>Grace</v>
      </c>
      <c r="C985" t="str">
        <f>RAW_DATA!C985</f>
        <v>Jones</v>
      </c>
      <c r="D985">
        <f>RAW_DATA!D985</f>
        <v>0</v>
      </c>
      <c r="E985" t="str">
        <f>RAW_DATA!E985</f>
        <v>Sales-Florida</v>
      </c>
      <c r="F985" t="str">
        <f t="shared" si="45"/>
        <v>Sales</v>
      </c>
      <c r="G985" t="str">
        <f t="shared" si="46"/>
        <v>Florida</v>
      </c>
      <c r="P985">
        <f t="shared" si="47"/>
        <v>98717.09</v>
      </c>
      <c r="Q985">
        <f>IF(PQ_Cleansing!L985="Excellent", P985 * 0.1, IF(PQ_Cleansing!L985="Good", P985 * 0.05, IF(PQ_Cleansing!L985="Average", P985 * 0.02, IF(PQ_Cleansing!L985="Poor", 0, 0))))</f>
        <v>0</v>
      </c>
      <c r="R985">
        <f>IFERROR(VALUE(SUBSTITUTE(SUBSTITUTE(PQ_Cleansing!I985, "$", ""), ",", "")), "")</f>
        <v>98717.09</v>
      </c>
    </row>
    <row r="986" spans="1:18" x14ac:dyDescent="0.25">
      <c r="A986" t="str">
        <f>PROPER(TRIM(CLEAN(RAW_DATA!A986)))</f>
        <v>Emp1984</v>
      </c>
      <c r="B986" t="str">
        <f>RAW_DATA!B986</f>
        <v>Frank</v>
      </c>
      <c r="C986" t="str">
        <f>RAW_DATA!C986</f>
        <v>Garcia</v>
      </c>
      <c r="D986">
        <f>RAW_DATA!D986</f>
        <v>40</v>
      </c>
      <c r="E986" t="str">
        <f>RAW_DATA!E986</f>
        <v>Sales-Florida</v>
      </c>
      <c r="F986" t="str">
        <f t="shared" si="45"/>
        <v>Sales</v>
      </c>
      <c r="G986" t="str">
        <f t="shared" si="46"/>
        <v>Florida</v>
      </c>
      <c r="P986">
        <f t="shared" si="47"/>
        <v>56840.800000000003</v>
      </c>
      <c r="Q986">
        <f>IF(PQ_Cleansing!L986="Excellent", P986 * 0.1, IF(PQ_Cleansing!L986="Good", P986 * 0.05, IF(PQ_Cleansing!L986="Average", P986 * 0.02, IF(PQ_Cleansing!L986="Poor", 0, 0))))</f>
        <v>0</v>
      </c>
      <c r="R986">
        <f>IFERROR(VALUE(SUBSTITUTE(SUBSTITUTE(PQ_Cleansing!I986, "$", ""), ",", "")), "")</f>
        <v>56840.800000000003</v>
      </c>
    </row>
    <row r="987" spans="1:18" x14ac:dyDescent="0.25">
      <c r="A987" t="str">
        <f>PROPER(TRIM(CLEAN(RAW_DATA!A987)))</f>
        <v>Emp1985</v>
      </c>
      <c r="B987" t="str">
        <f>RAW_DATA!B987</f>
        <v>David</v>
      </c>
      <c r="C987" t="str">
        <f>RAW_DATA!C987</f>
        <v>Johnson</v>
      </c>
      <c r="D987">
        <f>RAW_DATA!D987</f>
        <v>35</v>
      </c>
      <c r="E987" t="str">
        <f>RAW_DATA!E987</f>
        <v>Finance-Illinois</v>
      </c>
      <c r="F987" t="str">
        <f t="shared" si="45"/>
        <v>Finance</v>
      </c>
      <c r="G987" t="str">
        <f t="shared" si="46"/>
        <v>Illinois</v>
      </c>
      <c r="P987">
        <f t="shared" si="47"/>
        <v>61663.91</v>
      </c>
      <c r="Q987">
        <f>IF(PQ_Cleansing!L987="Excellent", P987 * 0.1, IF(PQ_Cleansing!L987="Good", P987 * 0.05, IF(PQ_Cleansing!L987="Average", P987 * 0.02, IF(PQ_Cleansing!L987="Poor", 0, 0))))</f>
        <v>1233.2782000000002</v>
      </c>
      <c r="R987">
        <f>IFERROR(VALUE(SUBSTITUTE(SUBSTITUTE(PQ_Cleansing!I987, "$", ""), ",", "")), "")</f>
        <v>61663.91</v>
      </c>
    </row>
    <row r="988" spans="1:18" x14ac:dyDescent="0.25">
      <c r="A988" t="str">
        <f>PROPER(TRIM(CLEAN(RAW_DATA!A988)))</f>
        <v>Emp1986</v>
      </c>
      <c r="B988" t="str">
        <f>RAW_DATA!B988</f>
        <v>Grace</v>
      </c>
      <c r="C988" t="str">
        <f>RAW_DATA!C988</f>
        <v>Brown</v>
      </c>
      <c r="D988">
        <f>RAW_DATA!D988</f>
        <v>30</v>
      </c>
      <c r="E988" t="str">
        <f>RAW_DATA!E988</f>
        <v>Finance-Nevada</v>
      </c>
      <c r="F988" t="str">
        <f t="shared" si="45"/>
        <v>Finance</v>
      </c>
      <c r="G988" t="str">
        <f t="shared" si="46"/>
        <v>Nevada</v>
      </c>
      <c r="P988">
        <f t="shared" si="47"/>
        <v>109523.4</v>
      </c>
      <c r="Q988">
        <f>IF(PQ_Cleansing!L988="Excellent", P988 * 0.1, IF(PQ_Cleansing!L988="Good", P988 * 0.05, IF(PQ_Cleansing!L988="Average", P988 * 0.02, IF(PQ_Cleansing!L988="Poor", 0, 0))))</f>
        <v>0</v>
      </c>
      <c r="R988">
        <f>IFERROR(VALUE(SUBSTITUTE(SUBSTITUTE(PQ_Cleansing!I988, "$", ""), ",", "")), "")</f>
        <v>109523.4</v>
      </c>
    </row>
    <row r="989" spans="1:18" x14ac:dyDescent="0.25">
      <c r="A989" t="str">
        <f>PROPER(TRIM(CLEAN(RAW_DATA!A989)))</f>
        <v>Emp1987</v>
      </c>
      <c r="B989" t="str">
        <f>RAW_DATA!B989</f>
        <v>Eva</v>
      </c>
      <c r="C989" t="str">
        <f>RAW_DATA!C989</f>
        <v>Brown</v>
      </c>
      <c r="D989">
        <f>RAW_DATA!D989</f>
        <v>25</v>
      </c>
      <c r="E989" t="str">
        <f>RAW_DATA!E989</f>
        <v>HR-Illinois</v>
      </c>
      <c r="F989" t="str">
        <f t="shared" si="45"/>
        <v>HR</v>
      </c>
      <c r="G989" t="str">
        <f t="shared" si="46"/>
        <v>Illinois</v>
      </c>
      <c r="P989">
        <f t="shared" si="47"/>
        <v>65812.02</v>
      </c>
      <c r="Q989">
        <f>IF(PQ_Cleansing!L989="Excellent", P989 * 0.1, IF(PQ_Cleansing!L989="Good", P989 * 0.05, IF(PQ_Cleansing!L989="Average", P989 * 0.02, IF(PQ_Cleansing!L989="Poor", 0, 0))))</f>
        <v>1316.2404000000001</v>
      </c>
      <c r="R989">
        <f>IFERROR(VALUE(SUBSTITUTE(SUBSTITUTE(PQ_Cleansing!I989, "$", ""), ",", "")), "")</f>
        <v>65812.02</v>
      </c>
    </row>
    <row r="990" spans="1:18" x14ac:dyDescent="0.25">
      <c r="A990" t="str">
        <f>PROPER(TRIM(CLEAN(RAW_DATA!A990)))</f>
        <v>Emp1988</v>
      </c>
      <c r="B990" t="str">
        <f>RAW_DATA!B990</f>
        <v>Bob</v>
      </c>
      <c r="C990" t="str">
        <f>RAW_DATA!C990</f>
        <v>Johnson</v>
      </c>
      <c r="D990">
        <f>RAW_DATA!D990</f>
        <v>0</v>
      </c>
      <c r="E990" t="str">
        <f>RAW_DATA!E990</f>
        <v>Cloud Tech-Illinois</v>
      </c>
      <c r="F990" t="str">
        <f t="shared" si="45"/>
        <v>Cloud Tech</v>
      </c>
      <c r="G990" t="str">
        <f t="shared" si="46"/>
        <v>Illinois</v>
      </c>
      <c r="P990">
        <f t="shared" si="47"/>
        <v>54708.88</v>
      </c>
      <c r="Q990">
        <f>IF(PQ_Cleansing!L990="Excellent", P990 * 0.1, IF(PQ_Cleansing!L990="Good", P990 * 0.05, IF(PQ_Cleansing!L990="Average", P990 * 0.02, IF(PQ_Cleansing!L990="Poor", 0, 0))))</f>
        <v>5470.8879999999999</v>
      </c>
      <c r="R990">
        <f>IFERROR(VALUE(SUBSTITUTE(SUBSTITUTE(PQ_Cleansing!I990, "$", ""), ",", "")), "")</f>
        <v>54708.88</v>
      </c>
    </row>
    <row r="991" spans="1:18" x14ac:dyDescent="0.25">
      <c r="A991" t="str">
        <f>PROPER(TRIM(CLEAN(RAW_DATA!A991)))</f>
        <v>Emp1989</v>
      </c>
      <c r="B991" t="str">
        <f>RAW_DATA!B991</f>
        <v>Heidi</v>
      </c>
      <c r="C991" t="str">
        <f>RAW_DATA!C991</f>
        <v>Garcia</v>
      </c>
      <c r="D991">
        <f>RAW_DATA!D991</f>
        <v>40</v>
      </c>
      <c r="E991" t="str">
        <f>RAW_DATA!E991</f>
        <v>Admin-California</v>
      </c>
      <c r="F991" t="str">
        <f t="shared" si="45"/>
        <v>Admin</v>
      </c>
      <c r="G991" t="str">
        <f t="shared" si="46"/>
        <v>California</v>
      </c>
      <c r="P991">
        <f t="shared" si="47"/>
        <v>107661.73</v>
      </c>
      <c r="Q991">
        <f>IF(PQ_Cleansing!L991="Excellent", P991 * 0.1, IF(PQ_Cleansing!L991="Good", P991 * 0.05, IF(PQ_Cleansing!L991="Average", P991 * 0.02, IF(PQ_Cleansing!L991="Poor", 0, 0))))</f>
        <v>10766.173000000001</v>
      </c>
      <c r="R991">
        <f>IFERROR(VALUE(SUBSTITUTE(SUBSTITUTE(PQ_Cleansing!I991, "$", ""), ",", "")), "")</f>
        <v>107661.73</v>
      </c>
    </row>
    <row r="992" spans="1:18" x14ac:dyDescent="0.25">
      <c r="A992" t="str">
        <f>PROPER(TRIM(CLEAN(RAW_DATA!A992)))</f>
        <v>Emp1990</v>
      </c>
      <c r="B992" t="str">
        <f>RAW_DATA!B992</f>
        <v>Eva</v>
      </c>
      <c r="C992" t="str">
        <f>RAW_DATA!C992</f>
        <v>Johnson</v>
      </c>
      <c r="D992">
        <f>RAW_DATA!D992</f>
        <v>40</v>
      </c>
      <c r="E992" t="str">
        <f>RAW_DATA!E992</f>
        <v>DevOps-Illinois</v>
      </c>
      <c r="F992" t="str">
        <f t="shared" si="45"/>
        <v>DevOps</v>
      </c>
      <c r="G992" t="str">
        <f t="shared" si="46"/>
        <v>Illinois</v>
      </c>
      <c r="P992">
        <f t="shared" si="47"/>
        <v>79002</v>
      </c>
      <c r="Q992">
        <f>IF(PQ_Cleansing!L992="Excellent", P992 * 0.1, IF(PQ_Cleansing!L992="Good", P992 * 0.05, IF(PQ_Cleansing!L992="Average", P992 * 0.02, IF(PQ_Cleansing!L992="Poor", 0, 0))))</f>
        <v>1580.04</v>
      </c>
      <c r="R992">
        <f>IFERROR(VALUE(SUBSTITUTE(SUBSTITUTE(PQ_Cleansing!I992, "$", ""), ",", "")), "")</f>
        <v>79002</v>
      </c>
    </row>
    <row r="993" spans="1:18" x14ac:dyDescent="0.25">
      <c r="A993" t="str">
        <f>PROPER(TRIM(CLEAN(RAW_DATA!A993)))</f>
        <v>Emp1991</v>
      </c>
      <c r="B993" t="str">
        <f>RAW_DATA!B993</f>
        <v>Heidi</v>
      </c>
      <c r="C993" t="str">
        <f>RAW_DATA!C993</f>
        <v>Brown</v>
      </c>
      <c r="D993">
        <f>RAW_DATA!D993</f>
        <v>0</v>
      </c>
      <c r="E993" t="str">
        <f>RAW_DATA!E993</f>
        <v>Admin-Texas</v>
      </c>
      <c r="F993" t="str">
        <f t="shared" si="45"/>
        <v>Admin</v>
      </c>
      <c r="G993" t="str">
        <f t="shared" si="46"/>
        <v>Texas</v>
      </c>
      <c r="P993">
        <f t="shared" si="47"/>
        <v>86135.69</v>
      </c>
      <c r="Q993">
        <f>IF(PQ_Cleansing!L993="Excellent", P993 * 0.1, IF(PQ_Cleansing!L993="Good", P993 * 0.05, IF(PQ_Cleansing!L993="Average", P993 * 0.02, IF(PQ_Cleansing!L993="Poor", 0, 0))))</f>
        <v>8613.5690000000013</v>
      </c>
      <c r="R993">
        <f>IFERROR(VALUE(SUBSTITUTE(SUBSTITUTE(PQ_Cleansing!I993, "$", ""), ",", "")), "")</f>
        <v>86135.69</v>
      </c>
    </row>
    <row r="994" spans="1:18" x14ac:dyDescent="0.25">
      <c r="A994" t="str">
        <f>PROPER(TRIM(CLEAN(RAW_DATA!A994)))</f>
        <v>Emp1992</v>
      </c>
      <c r="B994" t="str">
        <f>RAW_DATA!B994</f>
        <v>Heidi</v>
      </c>
      <c r="C994" t="str">
        <f>RAW_DATA!C994</f>
        <v>Johnson</v>
      </c>
      <c r="D994">
        <f>RAW_DATA!D994</f>
        <v>30</v>
      </c>
      <c r="E994" t="str">
        <f>RAW_DATA!E994</f>
        <v>DevOps-Nevada</v>
      </c>
      <c r="F994" t="str">
        <f t="shared" si="45"/>
        <v>DevOps</v>
      </c>
      <c r="G994" t="str">
        <f t="shared" si="46"/>
        <v>Nevada</v>
      </c>
      <c r="P994">
        <f t="shared" si="47"/>
        <v>115601.4</v>
      </c>
      <c r="Q994">
        <f>IF(PQ_Cleansing!L994="Excellent", P994 * 0.1, IF(PQ_Cleansing!L994="Good", P994 * 0.05, IF(PQ_Cleansing!L994="Average", P994 * 0.02, IF(PQ_Cleansing!L994="Poor", 0, 0))))</f>
        <v>5780.07</v>
      </c>
      <c r="R994">
        <f>IFERROR(VALUE(SUBSTITUTE(SUBSTITUTE(PQ_Cleansing!I994, "$", ""), ",", "")), "")</f>
        <v>115601.4</v>
      </c>
    </row>
    <row r="995" spans="1:18" x14ac:dyDescent="0.25">
      <c r="A995" t="str">
        <f>PROPER(TRIM(CLEAN(RAW_DATA!A995)))</f>
        <v>Emp1993</v>
      </c>
      <c r="B995" t="str">
        <f>RAW_DATA!B995</f>
        <v>Grace</v>
      </c>
      <c r="C995" t="str">
        <f>RAW_DATA!C995</f>
        <v>Brown</v>
      </c>
      <c r="D995">
        <f>RAW_DATA!D995</f>
        <v>0</v>
      </c>
      <c r="E995" t="str">
        <f>RAW_DATA!E995</f>
        <v>DevOps-Nevada</v>
      </c>
      <c r="F995" t="str">
        <f t="shared" si="45"/>
        <v>DevOps</v>
      </c>
      <c r="G995" t="str">
        <f t="shared" si="46"/>
        <v>Nevada</v>
      </c>
      <c r="P995">
        <f t="shared" si="47"/>
        <v>64045.36</v>
      </c>
      <c r="Q995">
        <f>IF(PQ_Cleansing!L995="Excellent", P995 * 0.1, IF(PQ_Cleansing!L995="Good", P995 * 0.05, IF(PQ_Cleansing!L995="Average", P995 * 0.02, IF(PQ_Cleansing!L995="Poor", 0, 0))))</f>
        <v>0</v>
      </c>
      <c r="R995">
        <f>IFERROR(VALUE(SUBSTITUTE(SUBSTITUTE(PQ_Cleansing!I995, "$", ""), ",", "")), "")</f>
        <v>64045.36</v>
      </c>
    </row>
    <row r="996" spans="1:18" x14ac:dyDescent="0.25">
      <c r="A996" t="str">
        <f>PROPER(TRIM(CLEAN(RAW_DATA!A996)))</f>
        <v>Emp1994</v>
      </c>
      <c r="B996" t="str">
        <f>RAW_DATA!B996</f>
        <v>David</v>
      </c>
      <c r="C996" t="str">
        <f>RAW_DATA!C996</f>
        <v>Brown</v>
      </c>
      <c r="D996">
        <f>RAW_DATA!D996</f>
        <v>30</v>
      </c>
      <c r="E996" t="str">
        <f>RAW_DATA!E996</f>
        <v>DevOps-Nevada</v>
      </c>
      <c r="F996" t="str">
        <f t="shared" si="45"/>
        <v>DevOps</v>
      </c>
      <c r="G996" t="str">
        <f t="shared" si="46"/>
        <v>Nevada</v>
      </c>
      <c r="P996">
        <f t="shared" si="47"/>
        <v>80477.210000000006</v>
      </c>
      <c r="Q996">
        <f>IF(PQ_Cleansing!L996="Excellent", P996 * 0.1, IF(PQ_Cleansing!L996="Good", P996 * 0.05, IF(PQ_Cleansing!L996="Average", P996 * 0.02, IF(PQ_Cleansing!L996="Poor", 0, 0))))</f>
        <v>4023.8605000000007</v>
      </c>
      <c r="R996">
        <f>IFERROR(VALUE(SUBSTITUTE(SUBSTITUTE(PQ_Cleansing!I996, "$", ""), ",", "")), "")</f>
        <v>80477.210000000006</v>
      </c>
    </row>
    <row r="997" spans="1:18" x14ac:dyDescent="0.25">
      <c r="A997" t="str">
        <f>PROPER(TRIM(CLEAN(RAW_DATA!A997)))</f>
        <v>Emp1995</v>
      </c>
      <c r="B997" t="str">
        <f>RAW_DATA!B997</f>
        <v>Bob</v>
      </c>
      <c r="C997" t="str">
        <f>RAW_DATA!C997</f>
        <v>Jones</v>
      </c>
      <c r="D997">
        <f>RAW_DATA!D997</f>
        <v>30</v>
      </c>
      <c r="E997" t="str">
        <f>RAW_DATA!E997</f>
        <v>Finance-California</v>
      </c>
      <c r="F997" t="str">
        <f t="shared" si="45"/>
        <v>Finance</v>
      </c>
      <c r="G997" t="str">
        <f t="shared" si="46"/>
        <v>California</v>
      </c>
      <c r="P997">
        <f t="shared" si="47"/>
        <v>61240.9</v>
      </c>
      <c r="Q997">
        <f>IF(PQ_Cleansing!L997="Excellent", P997 * 0.1, IF(PQ_Cleansing!L997="Good", P997 * 0.05, IF(PQ_Cleansing!L997="Average", P997 * 0.02, IF(PQ_Cleansing!L997="Poor", 0, 0))))</f>
        <v>0</v>
      </c>
      <c r="R997">
        <f>IFERROR(VALUE(SUBSTITUTE(SUBSTITUTE(PQ_Cleansing!I997, "$", ""), ",", "")), "")</f>
        <v>61240.9</v>
      </c>
    </row>
    <row r="998" spans="1:18" x14ac:dyDescent="0.25">
      <c r="A998" t="str">
        <f>PROPER(TRIM(CLEAN(RAW_DATA!A998)))</f>
        <v>Emp1996</v>
      </c>
      <c r="B998" t="str">
        <f>RAW_DATA!B998</f>
        <v>David</v>
      </c>
      <c r="C998" t="str">
        <f>RAW_DATA!C998</f>
        <v>Smith</v>
      </c>
      <c r="D998">
        <f>RAW_DATA!D998</f>
        <v>40</v>
      </c>
      <c r="E998" t="str">
        <f>RAW_DATA!E998</f>
        <v>Admin-Texas</v>
      </c>
      <c r="F998" t="str">
        <f t="shared" si="45"/>
        <v>Admin</v>
      </c>
      <c r="G998" t="str">
        <f t="shared" si="46"/>
        <v>Texas</v>
      </c>
      <c r="P998">
        <f t="shared" si="47"/>
        <v>51939.29</v>
      </c>
      <c r="Q998">
        <f>IF(PQ_Cleansing!L998="Excellent", P998 * 0.1, IF(PQ_Cleansing!L998="Good", P998 * 0.05, IF(PQ_Cleansing!L998="Average", P998 * 0.02, IF(PQ_Cleansing!L998="Poor", 0, 0))))</f>
        <v>5193.9290000000001</v>
      </c>
      <c r="R998">
        <f>IFERROR(VALUE(SUBSTITUTE(SUBSTITUTE(PQ_Cleansing!I998, "$", ""), ",", "")), "")</f>
        <v>51939.29</v>
      </c>
    </row>
    <row r="999" spans="1:18" x14ac:dyDescent="0.25">
      <c r="A999" t="str">
        <f>PROPER(TRIM(CLEAN(RAW_DATA!A999)))</f>
        <v>Emp1997</v>
      </c>
      <c r="B999" t="str">
        <f>RAW_DATA!B999</f>
        <v>Eva</v>
      </c>
      <c r="C999" t="str">
        <f>RAW_DATA!C999</f>
        <v>Brown</v>
      </c>
      <c r="D999">
        <f>RAW_DATA!D999</f>
        <v>40</v>
      </c>
      <c r="E999" t="str">
        <f>RAW_DATA!E999</f>
        <v>Finance-Illinois</v>
      </c>
      <c r="F999" t="str">
        <f t="shared" si="45"/>
        <v>Finance</v>
      </c>
      <c r="G999" t="str">
        <f t="shared" si="46"/>
        <v>Illinois</v>
      </c>
      <c r="P999">
        <f t="shared" si="47"/>
        <v>95284.54</v>
      </c>
      <c r="Q999">
        <f>IF(PQ_Cleansing!L999="Excellent", P999 * 0.1, IF(PQ_Cleansing!L999="Good", P999 * 0.05, IF(PQ_Cleansing!L999="Average", P999 * 0.02, IF(PQ_Cleansing!L999="Poor", 0, 0))))</f>
        <v>4764.2269999999999</v>
      </c>
      <c r="R999">
        <f>IFERROR(VALUE(SUBSTITUTE(SUBSTITUTE(PQ_Cleansing!I999, "$", ""), ",", "")), "")</f>
        <v>95284.54</v>
      </c>
    </row>
    <row r="1000" spans="1:18" x14ac:dyDescent="0.25">
      <c r="A1000" t="str">
        <f>PROPER(TRIM(CLEAN(RAW_DATA!A1000)))</f>
        <v>Emp1998</v>
      </c>
      <c r="B1000" t="str">
        <f>RAW_DATA!B1000</f>
        <v>Charlie</v>
      </c>
      <c r="C1000" t="str">
        <f>RAW_DATA!C1000</f>
        <v>Garcia</v>
      </c>
      <c r="D1000">
        <f>RAW_DATA!D1000</f>
        <v>35</v>
      </c>
      <c r="E1000" t="str">
        <f>RAW_DATA!E1000</f>
        <v>Admin-Texas</v>
      </c>
      <c r="F1000" t="str">
        <f t="shared" si="45"/>
        <v>Admin</v>
      </c>
      <c r="G1000" t="str">
        <f t="shared" si="46"/>
        <v>Texas</v>
      </c>
      <c r="P1000">
        <f t="shared" si="47"/>
        <v>106247.67</v>
      </c>
      <c r="Q1000">
        <f>IF(PQ_Cleansing!L1000="Excellent", P1000 * 0.1, IF(PQ_Cleansing!L1000="Good", P1000 * 0.05, IF(PQ_Cleansing!L1000="Average", P1000 * 0.02, IF(PQ_Cleansing!L1000="Poor", 0, 0))))</f>
        <v>10624.767</v>
      </c>
      <c r="R1000">
        <f>IFERROR(VALUE(SUBSTITUTE(SUBSTITUTE(PQ_Cleansing!I1000, "$", ""), ",", "")), "")</f>
        <v>106247.67</v>
      </c>
    </row>
    <row r="1001" spans="1:18" x14ac:dyDescent="0.25">
      <c r="A1001" t="str">
        <f>PROPER(TRIM(CLEAN(RAW_DATA!A1001)))</f>
        <v>Emp1999</v>
      </c>
      <c r="B1001" t="str">
        <f>RAW_DATA!B1001</f>
        <v>Charlie</v>
      </c>
      <c r="C1001" t="str">
        <f>RAW_DATA!C1001</f>
        <v>Williams</v>
      </c>
      <c r="D1001">
        <f>RAW_DATA!D1001</f>
        <v>25</v>
      </c>
      <c r="E1001" t="str">
        <f>RAW_DATA!E1001</f>
        <v>DevOps-Florida</v>
      </c>
      <c r="F1001" t="str">
        <f t="shared" si="45"/>
        <v>DevOps</v>
      </c>
      <c r="G1001" t="str">
        <f t="shared" si="46"/>
        <v>Florida</v>
      </c>
      <c r="P1001">
        <f t="shared" si="47"/>
        <v>110170.88</v>
      </c>
      <c r="Q1001">
        <f>IF(PQ_Cleansing!L1001="Excellent", P1001 * 0.1, IF(PQ_Cleansing!L1001="Good", P1001 * 0.05, IF(PQ_Cleansing!L1001="Average", P1001 * 0.02, IF(PQ_Cleansing!L1001="Poor", 0, 0))))</f>
        <v>0</v>
      </c>
      <c r="R1001">
        <f>IFERROR(VALUE(SUBSTITUTE(SUBSTITUTE(PQ_Cleansing!I1001, "$", ""), ",", "")), "")</f>
        <v>110170.88</v>
      </c>
    </row>
    <row r="1002" spans="1:18" x14ac:dyDescent="0.25">
      <c r="A1002" t="str">
        <f>PROPER(TRIM(CLEAN(RAW_DATA!A1002)))</f>
        <v>Emp2000</v>
      </c>
      <c r="B1002" t="str">
        <f>RAW_DATA!B1002</f>
        <v>Charlie</v>
      </c>
      <c r="C1002" t="str">
        <f>RAW_DATA!C1002</f>
        <v>Miller</v>
      </c>
      <c r="D1002">
        <f>RAW_DATA!D1002</f>
        <v>25</v>
      </c>
      <c r="E1002" t="str">
        <f>RAW_DATA!E1002</f>
        <v>HR-Nevada</v>
      </c>
      <c r="F1002" t="str">
        <f t="shared" si="45"/>
        <v>HR</v>
      </c>
      <c r="G1002" t="str">
        <f t="shared" si="46"/>
        <v>Nevada</v>
      </c>
      <c r="P1002">
        <f t="shared" si="47"/>
        <v>52615.44</v>
      </c>
      <c r="Q1002">
        <f>IF(PQ_Cleansing!L1002="Excellent", P1002 * 0.1, IF(PQ_Cleansing!L1002="Good", P1002 * 0.05, IF(PQ_Cleansing!L1002="Average", P1002 * 0.02, IF(PQ_Cleansing!L1002="Poor", 0, 0))))</f>
        <v>1052.3088</v>
      </c>
      <c r="R1002">
        <f>IFERROR(VALUE(SUBSTITUTE(SUBSTITUTE(PQ_Cleansing!I1002, "$", ""), ",", "")), "")</f>
        <v>52615.44</v>
      </c>
    </row>
    <row r="1003" spans="1:18" x14ac:dyDescent="0.25">
      <c r="A1003" t="str">
        <f>PROPER(TRIM(CLEAN(RAW_DATA!A1003)))</f>
        <v>Emp2001</v>
      </c>
      <c r="B1003" t="str">
        <f>RAW_DATA!B1003</f>
        <v>Eva</v>
      </c>
      <c r="C1003" t="str">
        <f>RAW_DATA!C1003</f>
        <v>Davis</v>
      </c>
      <c r="D1003">
        <f>RAW_DATA!D1003</f>
        <v>30</v>
      </c>
      <c r="E1003" t="str">
        <f>RAW_DATA!E1003</f>
        <v>DevOps-Illinois</v>
      </c>
      <c r="F1003" t="str">
        <f t="shared" si="45"/>
        <v>DevOps</v>
      </c>
      <c r="G1003" t="str">
        <f t="shared" si="46"/>
        <v>Illinois</v>
      </c>
      <c r="P1003">
        <f t="shared" si="47"/>
        <v>82547.259999999995</v>
      </c>
      <c r="Q1003">
        <f>IF(PQ_Cleansing!L1003="Excellent", P1003 * 0.1, IF(PQ_Cleansing!L1003="Good", P1003 * 0.05, IF(PQ_Cleansing!L1003="Average", P1003 * 0.02, IF(PQ_Cleansing!L1003="Poor", 0, 0))))</f>
        <v>1650.9451999999999</v>
      </c>
      <c r="R1003">
        <f>IFERROR(VALUE(SUBSTITUTE(SUBSTITUTE(PQ_Cleansing!I1003, "$", ""), ",", "")), "")</f>
        <v>82547.259999999995</v>
      </c>
    </row>
    <row r="1004" spans="1:18" x14ac:dyDescent="0.25">
      <c r="A1004" t="str">
        <f>PROPER(TRIM(CLEAN(RAW_DATA!A1004)))</f>
        <v>Emp2002</v>
      </c>
      <c r="B1004" t="str">
        <f>RAW_DATA!B1004</f>
        <v>Bob</v>
      </c>
      <c r="C1004" t="str">
        <f>RAW_DATA!C1004</f>
        <v>Smith</v>
      </c>
      <c r="D1004">
        <f>RAW_DATA!D1004</f>
        <v>35</v>
      </c>
      <c r="E1004" t="str">
        <f>RAW_DATA!E1004</f>
        <v>Finance-Illinois</v>
      </c>
      <c r="F1004" t="str">
        <f t="shared" si="45"/>
        <v>Finance</v>
      </c>
      <c r="G1004" t="str">
        <f t="shared" si="46"/>
        <v>Illinois</v>
      </c>
      <c r="P1004">
        <f t="shared" si="47"/>
        <v>63049.22</v>
      </c>
      <c r="Q1004">
        <f>IF(PQ_Cleansing!L1004="Excellent", P1004 * 0.1, IF(PQ_Cleansing!L1004="Good", P1004 * 0.05, IF(PQ_Cleansing!L1004="Average", P1004 * 0.02, IF(PQ_Cleansing!L1004="Poor", 0, 0))))</f>
        <v>3152.4610000000002</v>
      </c>
      <c r="R1004">
        <f>IFERROR(VALUE(SUBSTITUTE(SUBSTITUTE(PQ_Cleansing!I1004, "$", ""), ",", "")), "")</f>
        <v>63049.22</v>
      </c>
    </row>
    <row r="1005" spans="1:18" x14ac:dyDescent="0.25">
      <c r="A1005" t="str">
        <f>PROPER(TRIM(CLEAN(RAW_DATA!A1005)))</f>
        <v>Emp2003</v>
      </c>
      <c r="B1005" t="str">
        <f>RAW_DATA!B1005</f>
        <v>Frank</v>
      </c>
      <c r="C1005" t="str">
        <f>RAW_DATA!C1005</f>
        <v>Smith</v>
      </c>
      <c r="D1005">
        <f>RAW_DATA!D1005</f>
        <v>35</v>
      </c>
      <c r="E1005" t="str">
        <f>RAW_DATA!E1005</f>
        <v>HR-California</v>
      </c>
      <c r="F1005" t="str">
        <f t="shared" si="45"/>
        <v>HR</v>
      </c>
      <c r="G1005" t="str">
        <f t="shared" si="46"/>
        <v>California</v>
      </c>
      <c r="P1005">
        <f t="shared" si="47"/>
        <v>115229.12</v>
      </c>
      <c r="Q1005">
        <f>IF(PQ_Cleansing!L1005="Excellent", P1005 * 0.1, IF(PQ_Cleansing!L1005="Good", P1005 * 0.05, IF(PQ_Cleansing!L1005="Average", P1005 * 0.02, IF(PQ_Cleansing!L1005="Poor", 0, 0))))</f>
        <v>11522.912</v>
      </c>
      <c r="R1005">
        <f>IFERROR(VALUE(SUBSTITUTE(SUBSTITUTE(PQ_Cleansing!I1005, "$", ""), ",", "")), "")</f>
        <v>115229.12</v>
      </c>
    </row>
    <row r="1006" spans="1:18" x14ac:dyDescent="0.25">
      <c r="A1006" t="str">
        <f>PROPER(TRIM(CLEAN(RAW_DATA!A1006)))</f>
        <v>Emp2004</v>
      </c>
      <c r="B1006" t="str">
        <f>RAW_DATA!B1006</f>
        <v>Grace</v>
      </c>
      <c r="C1006" t="str">
        <f>RAW_DATA!C1006</f>
        <v>Smith</v>
      </c>
      <c r="D1006">
        <f>RAW_DATA!D1006</f>
        <v>25</v>
      </c>
      <c r="E1006" t="str">
        <f>RAW_DATA!E1006</f>
        <v>DevOps-Illinois</v>
      </c>
      <c r="F1006" t="str">
        <f t="shared" si="45"/>
        <v>DevOps</v>
      </c>
      <c r="G1006" t="str">
        <f t="shared" si="46"/>
        <v>Illinois</v>
      </c>
      <c r="P1006">
        <f t="shared" si="47"/>
        <v>60687.63</v>
      </c>
      <c r="Q1006">
        <f>IF(PQ_Cleansing!L1006="Excellent", P1006 * 0.1, IF(PQ_Cleansing!L1006="Good", P1006 * 0.05, IF(PQ_Cleansing!L1006="Average", P1006 * 0.02, IF(PQ_Cleansing!L1006="Poor", 0, 0))))</f>
        <v>6068.7629999999999</v>
      </c>
      <c r="R1006">
        <f>IFERROR(VALUE(SUBSTITUTE(SUBSTITUTE(PQ_Cleansing!I1006, "$", ""), ",", "")), "")</f>
        <v>60687.63</v>
      </c>
    </row>
    <row r="1007" spans="1:18" x14ac:dyDescent="0.25">
      <c r="A1007" t="str">
        <f>PROPER(TRIM(CLEAN(RAW_DATA!A1007)))</f>
        <v>Emp2005</v>
      </c>
      <c r="B1007" t="str">
        <f>RAW_DATA!B1007</f>
        <v>Frank</v>
      </c>
      <c r="C1007" t="str">
        <f>RAW_DATA!C1007</f>
        <v>Jones</v>
      </c>
      <c r="D1007">
        <f>RAW_DATA!D1007</f>
        <v>30</v>
      </c>
      <c r="E1007" t="str">
        <f>RAW_DATA!E1007</f>
        <v>Finance-Illinois</v>
      </c>
      <c r="F1007" t="str">
        <f t="shared" si="45"/>
        <v>Finance</v>
      </c>
      <c r="G1007" t="str">
        <f t="shared" si="46"/>
        <v>Illinois</v>
      </c>
      <c r="P1007">
        <f t="shared" si="47"/>
        <v>67492.73</v>
      </c>
      <c r="Q1007">
        <f>IF(PQ_Cleansing!L1007="Excellent", P1007 * 0.1, IF(PQ_Cleansing!L1007="Good", P1007 * 0.05, IF(PQ_Cleansing!L1007="Average", P1007 * 0.02, IF(PQ_Cleansing!L1007="Poor", 0, 0))))</f>
        <v>3374.6365000000001</v>
      </c>
      <c r="R1007">
        <f>IFERROR(VALUE(SUBSTITUTE(SUBSTITUTE(PQ_Cleansing!I1007, "$", ""), ",", "")), "")</f>
        <v>67492.73</v>
      </c>
    </row>
    <row r="1008" spans="1:18" x14ac:dyDescent="0.25">
      <c r="A1008" t="str">
        <f>PROPER(TRIM(CLEAN(RAW_DATA!A1008)))</f>
        <v>Emp2006</v>
      </c>
      <c r="B1008" t="str">
        <f>RAW_DATA!B1008</f>
        <v>Grace</v>
      </c>
      <c r="C1008" t="str">
        <f>RAW_DATA!C1008</f>
        <v>Brown</v>
      </c>
      <c r="D1008">
        <f>RAW_DATA!D1008</f>
        <v>0</v>
      </c>
      <c r="E1008" t="str">
        <f>RAW_DATA!E1008</f>
        <v>HR-Illinois</v>
      </c>
      <c r="F1008" t="str">
        <f t="shared" si="45"/>
        <v>HR</v>
      </c>
      <c r="G1008" t="str">
        <f t="shared" si="46"/>
        <v>Illinois</v>
      </c>
      <c r="P1008">
        <f t="shared" si="47"/>
        <v>77821.789999999994</v>
      </c>
      <c r="Q1008">
        <f>IF(PQ_Cleansing!L1008="Excellent", P1008 * 0.1, IF(PQ_Cleansing!L1008="Good", P1008 * 0.05, IF(PQ_Cleansing!L1008="Average", P1008 * 0.02, IF(PQ_Cleansing!L1008="Poor", 0, 0))))</f>
        <v>1556.4358</v>
      </c>
      <c r="R1008">
        <f>IFERROR(VALUE(SUBSTITUTE(SUBSTITUTE(PQ_Cleansing!I1008, "$", ""), ",", "")), "")</f>
        <v>77821.789999999994</v>
      </c>
    </row>
    <row r="1009" spans="1:18" x14ac:dyDescent="0.25">
      <c r="A1009" t="str">
        <f>PROPER(TRIM(CLEAN(RAW_DATA!A1009)))</f>
        <v>Emp2007</v>
      </c>
      <c r="B1009" t="str">
        <f>RAW_DATA!B1009</f>
        <v>Charlie</v>
      </c>
      <c r="C1009" t="str">
        <f>RAW_DATA!C1009</f>
        <v>Jones</v>
      </c>
      <c r="D1009">
        <f>RAW_DATA!D1009</f>
        <v>35</v>
      </c>
      <c r="E1009" t="str">
        <f>RAW_DATA!E1009</f>
        <v>DevOps-Texas</v>
      </c>
      <c r="F1009" t="str">
        <f t="shared" si="45"/>
        <v>DevOps</v>
      </c>
      <c r="G1009" t="str">
        <f t="shared" si="46"/>
        <v>Texas</v>
      </c>
      <c r="P1009">
        <f t="shared" si="47"/>
        <v>69146.95</v>
      </c>
      <c r="Q1009">
        <f>IF(PQ_Cleansing!L1009="Excellent", P1009 * 0.1, IF(PQ_Cleansing!L1009="Good", P1009 * 0.05, IF(PQ_Cleansing!L1009="Average", P1009 * 0.02, IF(PQ_Cleansing!L1009="Poor", 0, 0))))</f>
        <v>0</v>
      </c>
      <c r="R1009">
        <f>IFERROR(VALUE(SUBSTITUTE(SUBSTITUTE(PQ_Cleansing!I1009, "$", ""), ",", "")), "")</f>
        <v>69146.95</v>
      </c>
    </row>
    <row r="1010" spans="1:18" x14ac:dyDescent="0.25">
      <c r="A1010" t="str">
        <f>PROPER(TRIM(CLEAN(RAW_DATA!A1010)))</f>
        <v>Emp2008</v>
      </c>
      <c r="B1010" t="str">
        <f>RAW_DATA!B1010</f>
        <v>Grace</v>
      </c>
      <c r="C1010" t="str">
        <f>RAW_DATA!C1010</f>
        <v>Brown</v>
      </c>
      <c r="D1010">
        <f>RAW_DATA!D1010</f>
        <v>35</v>
      </c>
      <c r="E1010" t="str">
        <f>RAW_DATA!E1010</f>
        <v>Admin-Nevada</v>
      </c>
      <c r="F1010" t="str">
        <f t="shared" si="45"/>
        <v>Admin</v>
      </c>
      <c r="G1010" t="str">
        <f t="shared" si="46"/>
        <v>Nevada</v>
      </c>
      <c r="P1010">
        <f t="shared" si="47"/>
        <v>90224.82</v>
      </c>
      <c r="Q1010">
        <f>IF(PQ_Cleansing!L1010="Excellent", P1010 * 0.1, IF(PQ_Cleansing!L1010="Good", P1010 * 0.05, IF(PQ_Cleansing!L1010="Average", P1010 * 0.02, IF(PQ_Cleansing!L1010="Poor", 0, 0))))</f>
        <v>4511.2410000000009</v>
      </c>
      <c r="R1010">
        <f>IFERROR(VALUE(SUBSTITUTE(SUBSTITUTE(PQ_Cleansing!I1010, "$", ""), ",", "")), "")</f>
        <v>90224.82</v>
      </c>
    </row>
    <row r="1011" spans="1:18" x14ac:dyDescent="0.25">
      <c r="A1011" t="str">
        <f>PROPER(TRIM(CLEAN(RAW_DATA!A1011)))</f>
        <v>Emp2009</v>
      </c>
      <c r="B1011" t="str">
        <f>RAW_DATA!B1011</f>
        <v>David</v>
      </c>
      <c r="C1011" t="str">
        <f>RAW_DATA!C1011</f>
        <v>Garcia</v>
      </c>
      <c r="D1011">
        <f>RAW_DATA!D1011</f>
        <v>0</v>
      </c>
      <c r="E1011" t="str">
        <f>RAW_DATA!E1011</f>
        <v>Finance-Illinois</v>
      </c>
      <c r="F1011" t="str">
        <f t="shared" si="45"/>
        <v>Finance</v>
      </c>
      <c r="G1011" t="str">
        <f t="shared" si="46"/>
        <v>Illinois</v>
      </c>
      <c r="P1011">
        <f t="shared" si="47"/>
        <v>62603.98</v>
      </c>
      <c r="Q1011">
        <f>IF(PQ_Cleansing!L1011="Excellent", P1011 * 0.1, IF(PQ_Cleansing!L1011="Good", P1011 * 0.05, IF(PQ_Cleansing!L1011="Average", P1011 * 0.02, IF(PQ_Cleansing!L1011="Poor", 0, 0))))</f>
        <v>0</v>
      </c>
      <c r="R1011">
        <f>IFERROR(VALUE(SUBSTITUTE(SUBSTITUTE(PQ_Cleansing!I1011, "$", ""), ",", "")), "")</f>
        <v>62603.98</v>
      </c>
    </row>
    <row r="1012" spans="1:18" x14ac:dyDescent="0.25">
      <c r="A1012" t="str">
        <f>PROPER(TRIM(CLEAN(RAW_DATA!A1012)))</f>
        <v>Emp2010</v>
      </c>
      <c r="B1012" t="str">
        <f>RAW_DATA!B1012</f>
        <v>Bob</v>
      </c>
      <c r="C1012" t="str">
        <f>RAW_DATA!C1012</f>
        <v>Jones</v>
      </c>
      <c r="D1012">
        <f>RAW_DATA!D1012</f>
        <v>35</v>
      </c>
      <c r="E1012" t="str">
        <f>RAW_DATA!E1012</f>
        <v>Sales-Nevada</v>
      </c>
      <c r="F1012" t="str">
        <f t="shared" si="45"/>
        <v>Sales</v>
      </c>
      <c r="G1012" t="str">
        <f t="shared" si="46"/>
        <v>Nevada</v>
      </c>
      <c r="P1012">
        <f t="shared" si="47"/>
        <v>71148.27</v>
      </c>
      <c r="Q1012">
        <f>IF(PQ_Cleansing!L1012="Excellent", P1012 * 0.1, IF(PQ_Cleansing!L1012="Good", P1012 * 0.05, IF(PQ_Cleansing!L1012="Average", P1012 * 0.02, IF(PQ_Cleansing!L1012="Poor", 0, 0))))</f>
        <v>1422.9654</v>
      </c>
      <c r="R1012">
        <f>IFERROR(VALUE(SUBSTITUTE(SUBSTITUTE(PQ_Cleansing!I1012, "$", ""), ",", "")), "")</f>
        <v>71148.27</v>
      </c>
    </row>
    <row r="1013" spans="1:18" x14ac:dyDescent="0.25">
      <c r="A1013" t="str">
        <f>PROPER(TRIM(CLEAN(RAW_DATA!A1013)))</f>
        <v>Emp2011</v>
      </c>
      <c r="B1013" t="str">
        <f>RAW_DATA!B1013</f>
        <v>David</v>
      </c>
      <c r="C1013" t="str">
        <f>RAW_DATA!C1013</f>
        <v>Jones</v>
      </c>
      <c r="D1013">
        <f>RAW_DATA!D1013</f>
        <v>40</v>
      </c>
      <c r="E1013" t="str">
        <f>RAW_DATA!E1013</f>
        <v>Admin-California</v>
      </c>
      <c r="F1013" t="str">
        <f t="shared" si="45"/>
        <v>Admin</v>
      </c>
      <c r="G1013" t="str">
        <f t="shared" si="46"/>
        <v>California</v>
      </c>
      <c r="P1013">
        <f t="shared" si="47"/>
        <v>52031.74</v>
      </c>
      <c r="Q1013">
        <f>IF(PQ_Cleansing!L1013="Excellent", P1013 * 0.1, IF(PQ_Cleansing!L1013="Good", P1013 * 0.05, IF(PQ_Cleansing!L1013="Average", P1013 * 0.02, IF(PQ_Cleansing!L1013="Poor", 0, 0))))</f>
        <v>5203.174</v>
      </c>
      <c r="R1013">
        <f>IFERROR(VALUE(SUBSTITUTE(SUBSTITUTE(PQ_Cleansing!I1013, "$", ""), ",", "")), "")</f>
        <v>52031.74</v>
      </c>
    </row>
    <row r="1014" spans="1:18" x14ac:dyDescent="0.25">
      <c r="A1014" t="str">
        <f>PROPER(TRIM(CLEAN(RAW_DATA!A1014)))</f>
        <v>Emp2012</v>
      </c>
      <c r="B1014" t="str">
        <f>RAW_DATA!B1014</f>
        <v>Grace</v>
      </c>
      <c r="C1014" t="str">
        <f>RAW_DATA!C1014</f>
        <v>Miller</v>
      </c>
      <c r="D1014">
        <f>RAW_DATA!D1014</f>
        <v>35</v>
      </c>
      <c r="E1014" t="str">
        <f>RAW_DATA!E1014</f>
        <v>DevOps-Florida</v>
      </c>
      <c r="F1014" t="str">
        <f t="shared" si="45"/>
        <v>DevOps</v>
      </c>
      <c r="G1014" t="str">
        <f t="shared" si="46"/>
        <v>Florida</v>
      </c>
      <c r="P1014">
        <f t="shared" si="47"/>
        <v>85268.279969293711</v>
      </c>
      <c r="Q1014">
        <f>IF(PQ_Cleansing!L1014="Excellent", P1014 * 0.1, IF(PQ_Cleansing!L1014="Good", P1014 * 0.05, IF(PQ_Cleansing!L1014="Average", P1014 * 0.02, IF(PQ_Cleansing!L1014="Poor", 0, 0))))</f>
        <v>1705.3655993858742</v>
      </c>
      <c r="R1014" t="str">
        <f>IFERROR(VALUE(SUBSTITUTE(SUBSTITUTE(PQ_Cleansing!I1014, "$", ""), ",", "")), "")</f>
        <v/>
      </c>
    </row>
    <row r="1015" spans="1:18" x14ac:dyDescent="0.25">
      <c r="A1015" t="str">
        <f>PROPER(TRIM(CLEAN(RAW_DATA!A1015)))</f>
        <v>Emp2013</v>
      </c>
      <c r="B1015" t="str">
        <f>RAW_DATA!B1015</f>
        <v>Eva</v>
      </c>
      <c r="C1015" t="str">
        <f>RAW_DATA!C1015</f>
        <v>Williams</v>
      </c>
      <c r="D1015">
        <f>RAW_DATA!D1015</f>
        <v>0</v>
      </c>
      <c r="E1015" t="str">
        <f>RAW_DATA!E1015</f>
        <v>HR-Illinois</v>
      </c>
      <c r="F1015" t="str">
        <f t="shared" si="45"/>
        <v>HR</v>
      </c>
      <c r="G1015" t="str">
        <f t="shared" si="46"/>
        <v>Illinois</v>
      </c>
      <c r="P1015">
        <f t="shared" si="47"/>
        <v>116680.63</v>
      </c>
      <c r="Q1015">
        <f>IF(PQ_Cleansing!L1015="Excellent", P1015 * 0.1, IF(PQ_Cleansing!L1015="Good", P1015 * 0.05, IF(PQ_Cleansing!L1015="Average", P1015 * 0.02, IF(PQ_Cleansing!L1015="Poor", 0, 0))))</f>
        <v>5834.031500000001</v>
      </c>
      <c r="R1015">
        <f>IFERROR(VALUE(SUBSTITUTE(SUBSTITUTE(PQ_Cleansing!I1015, "$", ""), ",", "")), "")</f>
        <v>116680.63</v>
      </c>
    </row>
    <row r="1016" spans="1:18" x14ac:dyDescent="0.25">
      <c r="A1016" t="str">
        <f>PROPER(TRIM(CLEAN(RAW_DATA!A1016)))</f>
        <v>Emp2014</v>
      </c>
      <c r="B1016" t="str">
        <f>RAW_DATA!B1016</f>
        <v>Grace</v>
      </c>
      <c r="C1016" t="str">
        <f>RAW_DATA!C1016</f>
        <v>Jones</v>
      </c>
      <c r="D1016">
        <f>RAW_DATA!D1016</f>
        <v>30</v>
      </c>
      <c r="E1016" t="str">
        <f>RAW_DATA!E1016</f>
        <v>Finance-Nevada</v>
      </c>
      <c r="F1016" t="str">
        <f t="shared" si="45"/>
        <v>Finance</v>
      </c>
      <c r="G1016" t="str">
        <f t="shared" si="46"/>
        <v>Nevada</v>
      </c>
      <c r="P1016">
        <f t="shared" si="47"/>
        <v>51990.98</v>
      </c>
      <c r="Q1016">
        <f>IF(PQ_Cleansing!L1016="Excellent", P1016 * 0.1, IF(PQ_Cleansing!L1016="Good", P1016 * 0.05, IF(PQ_Cleansing!L1016="Average", P1016 * 0.02, IF(PQ_Cleansing!L1016="Poor", 0, 0))))</f>
        <v>5199.0980000000009</v>
      </c>
      <c r="R1016">
        <f>IFERROR(VALUE(SUBSTITUTE(SUBSTITUTE(PQ_Cleansing!I1016, "$", ""), ",", "")), "")</f>
        <v>51990.98</v>
      </c>
    </row>
    <row r="1017" spans="1:18" x14ac:dyDescent="0.25">
      <c r="A1017" t="str">
        <f>PROPER(TRIM(CLEAN(RAW_DATA!A1017)))</f>
        <v>Emp2015</v>
      </c>
      <c r="B1017" t="str">
        <f>RAW_DATA!B1017</f>
        <v>David</v>
      </c>
      <c r="C1017" t="str">
        <f>RAW_DATA!C1017</f>
        <v>Miller</v>
      </c>
      <c r="D1017">
        <f>RAW_DATA!D1017</f>
        <v>30</v>
      </c>
      <c r="E1017" t="str">
        <f>RAW_DATA!E1017</f>
        <v>HR-California</v>
      </c>
      <c r="F1017" t="str">
        <f t="shared" si="45"/>
        <v>HR</v>
      </c>
      <c r="G1017" t="str">
        <f t="shared" si="46"/>
        <v>California</v>
      </c>
      <c r="P1017">
        <f t="shared" si="47"/>
        <v>85268.279969293711</v>
      </c>
      <c r="Q1017">
        <f>IF(PQ_Cleansing!L1017="Excellent", P1017 * 0.1, IF(PQ_Cleansing!L1017="Good", P1017 * 0.05, IF(PQ_Cleansing!L1017="Average", P1017 * 0.02, IF(PQ_Cleansing!L1017="Poor", 0, 0))))</f>
        <v>4263.4139984646854</v>
      </c>
      <c r="R1017" t="str">
        <f>IFERROR(VALUE(SUBSTITUTE(SUBSTITUTE(PQ_Cleansing!I1017, "$", ""), ",", "")), "")</f>
        <v/>
      </c>
    </row>
    <row r="1018" spans="1:18" x14ac:dyDescent="0.25">
      <c r="A1018" t="str">
        <f>PROPER(TRIM(CLEAN(RAW_DATA!A1018)))</f>
        <v>Emp2016</v>
      </c>
      <c r="B1018" t="str">
        <f>RAW_DATA!B1018</f>
        <v>David</v>
      </c>
      <c r="C1018" t="str">
        <f>RAW_DATA!C1018</f>
        <v>Johnson</v>
      </c>
      <c r="D1018">
        <f>RAW_DATA!D1018</f>
        <v>30</v>
      </c>
      <c r="E1018" t="str">
        <f>RAW_DATA!E1018</f>
        <v>Cloud Tech-Texas</v>
      </c>
      <c r="F1018" t="str">
        <f t="shared" si="45"/>
        <v>Cloud Tech</v>
      </c>
      <c r="G1018" t="str">
        <f t="shared" si="46"/>
        <v>Texas</v>
      </c>
      <c r="P1018">
        <f t="shared" si="47"/>
        <v>100215.06</v>
      </c>
      <c r="Q1018">
        <f>IF(PQ_Cleansing!L1018="Excellent", P1018 * 0.1, IF(PQ_Cleansing!L1018="Good", P1018 * 0.05, IF(PQ_Cleansing!L1018="Average", P1018 * 0.02, IF(PQ_Cleansing!L1018="Poor", 0, 0))))</f>
        <v>5010.7530000000006</v>
      </c>
      <c r="R1018">
        <f>IFERROR(VALUE(SUBSTITUTE(SUBSTITUTE(PQ_Cleansing!I1018, "$", ""), ",", "")), "")</f>
        <v>100215.06</v>
      </c>
    </row>
    <row r="1019" spans="1:18" x14ac:dyDescent="0.25">
      <c r="A1019" t="str">
        <f>PROPER(TRIM(CLEAN(RAW_DATA!A1019)))</f>
        <v>Emp2017</v>
      </c>
      <c r="B1019" t="str">
        <f>RAW_DATA!B1019</f>
        <v>Charlie</v>
      </c>
      <c r="C1019" t="str">
        <f>RAW_DATA!C1019</f>
        <v>Williams</v>
      </c>
      <c r="D1019">
        <f>RAW_DATA!D1019</f>
        <v>40</v>
      </c>
      <c r="E1019" t="str">
        <f>RAW_DATA!E1019</f>
        <v>Finance-New York</v>
      </c>
      <c r="F1019" t="str">
        <f t="shared" si="45"/>
        <v>Finance</v>
      </c>
      <c r="G1019" t="str">
        <f t="shared" si="46"/>
        <v>New York</v>
      </c>
      <c r="P1019">
        <f t="shared" si="47"/>
        <v>114587.11</v>
      </c>
      <c r="Q1019">
        <f>IF(PQ_Cleansing!L1019="Excellent", P1019 * 0.1, IF(PQ_Cleansing!L1019="Good", P1019 * 0.05, IF(PQ_Cleansing!L1019="Average", P1019 * 0.02, IF(PQ_Cleansing!L1019="Poor", 0, 0))))</f>
        <v>2291.7422000000001</v>
      </c>
      <c r="R1019">
        <f>IFERROR(VALUE(SUBSTITUTE(SUBSTITUTE(PQ_Cleansing!I1019, "$", ""), ",", "")), "")</f>
        <v>114587.11</v>
      </c>
    </row>
    <row r="1020" spans="1:18" x14ac:dyDescent="0.25">
      <c r="A1020" t="str">
        <f>PROPER(TRIM(CLEAN(RAW_DATA!A1020)))</f>
        <v>Emp2018</v>
      </c>
      <c r="B1020" t="str">
        <f>RAW_DATA!B1020</f>
        <v>Alice</v>
      </c>
      <c r="C1020" t="str">
        <f>RAW_DATA!C1020</f>
        <v>Garcia</v>
      </c>
      <c r="D1020">
        <f>RAW_DATA!D1020</f>
        <v>30</v>
      </c>
      <c r="E1020" t="str">
        <f>RAW_DATA!E1020</f>
        <v>HR-Florida</v>
      </c>
      <c r="F1020" t="str">
        <f t="shared" si="45"/>
        <v>HR</v>
      </c>
      <c r="G1020" t="str">
        <f t="shared" si="46"/>
        <v>Florida</v>
      </c>
      <c r="P1020">
        <f t="shared" si="47"/>
        <v>71318.789999999994</v>
      </c>
      <c r="Q1020">
        <f>IF(PQ_Cleansing!L1020="Excellent", P1020 * 0.1, IF(PQ_Cleansing!L1020="Good", P1020 * 0.05, IF(PQ_Cleansing!L1020="Average", P1020 * 0.02, IF(PQ_Cleansing!L1020="Poor", 0, 0))))</f>
        <v>3565.9395</v>
      </c>
      <c r="R1020">
        <f>IFERROR(VALUE(SUBSTITUTE(SUBSTITUTE(PQ_Cleansing!I1020, "$", ""), ",", "")), "")</f>
        <v>71318.789999999994</v>
      </c>
    </row>
    <row r="1021" spans="1:18" x14ac:dyDescent="0.25">
      <c r="A1021" t="str">
        <f>PROPER(TRIM(CLEAN(RAW_DATA!A1021)))</f>
        <v>Emp2019</v>
      </c>
      <c r="B1021" t="str">
        <f>RAW_DATA!B1021</f>
        <v>Heidi</v>
      </c>
      <c r="C1021" t="str">
        <f>RAW_DATA!C1021</f>
        <v>Jones</v>
      </c>
      <c r="D1021">
        <f>RAW_DATA!D1021</f>
        <v>30</v>
      </c>
      <c r="E1021" t="str">
        <f>RAW_DATA!E1021</f>
        <v>DevOps-Illinois</v>
      </c>
      <c r="F1021" t="str">
        <f t="shared" si="45"/>
        <v>DevOps</v>
      </c>
      <c r="G1021" t="str">
        <f t="shared" si="46"/>
        <v>Illinois</v>
      </c>
      <c r="P1021">
        <f t="shared" si="47"/>
        <v>77764.240000000005</v>
      </c>
      <c r="Q1021">
        <f>IF(PQ_Cleansing!L1021="Excellent", P1021 * 0.1, IF(PQ_Cleansing!L1021="Good", P1021 * 0.05, IF(PQ_Cleansing!L1021="Average", P1021 * 0.02, IF(PQ_Cleansing!L1021="Poor", 0, 0))))</f>
        <v>1555.2848000000001</v>
      </c>
      <c r="R1021">
        <f>IFERROR(VALUE(SUBSTITUTE(SUBSTITUTE(PQ_Cleansing!I1021, "$", ""), ",", "")), "")</f>
        <v>77764.240000000005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1B1C-ED63-4763-B726-BC2C9203F033}">
  <dimension ref="A1:N1021"/>
  <sheetViews>
    <sheetView zoomScale="70" zoomScaleNormal="70" workbookViewId="0">
      <selection activeCell="O40" sqref="O40"/>
    </sheetView>
  </sheetViews>
  <sheetFormatPr defaultRowHeight="15" x14ac:dyDescent="0.25"/>
  <cols>
    <col min="1" max="1" width="19.7109375" bestFit="1" customWidth="1"/>
    <col min="2" max="3" width="17.7109375" bestFit="1" customWidth="1"/>
    <col min="4" max="4" width="9.5703125" bestFit="1" customWidth="1"/>
    <col min="5" max="5" width="30" bestFit="1" customWidth="1"/>
    <col min="6" max="6" width="30.28515625" bestFit="1" customWidth="1"/>
    <col min="7" max="7" width="12.42578125" bestFit="1" customWidth="1"/>
    <col min="8" max="8" width="16.42578125" bestFit="1" customWidth="1"/>
    <col min="9" max="9" width="12.42578125" bestFit="1" customWidth="1"/>
    <col min="10" max="10" width="31.140625" bestFit="1" customWidth="1"/>
    <col min="11" max="11" width="14.5703125" bestFit="1" customWidth="1"/>
    <col min="12" max="12" width="28.140625" bestFit="1" customWidth="1"/>
    <col min="13" max="13" width="20.7109375" bestFit="1" customWidth="1"/>
    <col min="14" max="14" width="28.5703125" bestFit="1" customWidth="1"/>
    <col min="15" max="15" width="1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2134</v>
      </c>
      <c r="F1" t="s">
        <v>2135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2136</v>
      </c>
    </row>
    <row r="2" spans="1:14" x14ac:dyDescent="0.25">
      <c r="A2" t="s">
        <v>12</v>
      </c>
      <c r="B2" t="s">
        <v>13</v>
      </c>
      <c r="C2" t="s">
        <v>14</v>
      </c>
      <c r="D2">
        <v>25</v>
      </c>
      <c r="E2" s="4" t="s">
        <v>2137</v>
      </c>
      <c r="F2" s="4" t="s">
        <v>2138</v>
      </c>
      <c r="G2" t="s">
        <v>16</v>
      </c>
      <c r="H2" s="1">
        <v>44288</v>
      </c>
      <c r="I2" s="4">
        <v>59767.65</v>
      </c>
      <c r="J2" t="s">
        <v>18</v>
      </c>
      <c r="K2">
        <v>-1651623197</v>
      </c>
      <c r="L2" t="s">
        <v>19</v>
      </c>
      <c r="M2" t="b">
        <v>1</v>
      </c>
      <c r="N2">
        <v>1195.3530000000001</v>
      </c>
    </row>
    <row r="3" spans="1:14" x14ac:dyDescent="0.25">
      <c r="A3" t="s">
        <v>20</v>
      </c>
      <c r="B3" t="s">
        <v>13</v>
      </c>
      <c r="C3" t="s">
        <v>21</v>
      </c>
      <c r="E3" s="4" t="s">
        <v>2139</v>
      </c>
      <c r="F3" s="4" t="s">
        <v>2140</v>
      </c>
      <c r="G3" t="s">
        <v>16</v>
      </c>
      <c r="H3" s="1">
        <v>44022</v>
      </c>
      <c r="I3" s="4">
        <v>65304.66</v>
      </c>
      <c r="J3" t="s">
        <v>24</v>
      </c>
      <c r="K3">
        <v>-1898471390</v>
      </c>
      <c r="L3" t="s">
        <v>25</v>
      </c>
      <c r="M3" t="b">
        <v>1</v>
      </c>
      <c r="N3">
        <v>6530.4660000000003</v>
      </c>
    </row>
    <row r="4" spans="1:14" x14ac:dyDescent="0.25">
      <c r="A4" t="s">
        <v>26</v>
      </c>
      <c r="B4" t="s">
        <v>27</v>
      </c>
      <c r="C4" t="s">
        <v>28</v>
      </c>
      <c r="E4" s="4" t="s">
        <v>2141</v>
      </c>
      <c r="F4" s="4" t="s">
        <v>2142</v>
      </c>
      <c r="G4" t="s">
        <v>30</v>
      </c>
      <c r="H4" s="1">
        <v>45267</v>
      </c>
      <c r="I4" s="4">
        <v>88145.9</v>
      </c>
      <c r="J4" t="s">
        <v>32</v>
      </c>
      <c r="K4">
        <v>-5596363211</v>
      </c>
      <c r="L4" t="s">
        <v>33</v>
      </c>
      <c r="M4" t="b">
        <v>1</v>
      </c>
      <c r="N4">
        <v>4407.2950000000001</v>
      </c>
    </row>
    <row r="5" spans="1:14" x14ac:dyDescent="0.25">
      <c r="A5" t="s">
        <v>34</v>
      </c>
      <c r="B5" t="s">
        <v>35</v>
      </c>
      <c r="C5" t="s">
        <v>14</v>
      </c>
      <c r="D5">
        <v>25</v>
      </c>
      <c r="E5" s="4" t="s">
        <v>2141</v>
      </c>
      <c r="F5" s="4" t="s">
        <v>2142</v>
      </c>
      <c r="G5" t="s">
        <v>36</v>
      </c>
      <c r="H5" s="1">
        <v>44527</v>
      </c>
      <c r="I5" s="4">
        <v>69450.990000000005</v>
      </c>
      <c r="J5" t="s">
        <v>38</v>
      </c>
      <c r="K5">
        <v>-3476490784</v>
      </c>
      <c r="L5" t="s">
        <v>33</v>
      </c>
      <c r="M5" t="b">
        <v>1</v>
      </c>
      <c r="N5">
        <v>3472.5495000000005</v>
      </c>
    </row>
    <row r="6" spans="1:14" x14ac:dyDescent="0.25">
      <c r="A6" t="s">
        <v>39</v>
      </c>
      <c r="B6" t="s">
        <v>40</v>
      </c>
      <c r="C6" t="s">
        <v>41</v>
      </c>
      <c r="D6">
        <v>25</v>
      </c>
      <c r="E6" s="4" t="s">
        <v>2143</v>
      </c>
      <c r="F6" s="4" t="s">
        <v>2144</v>
      </c>
      <c r="G6" t="s">
        <v>16</v>
      </c>
      <c r="H6" s="1">
        <v>44566</v>
      </c>
      <c r="I6" s="4">
        <v>109324.61</v>
      </c>
      <c r="J6" t="s">
        <v>44</v>
      </c>
      <c r="K6">
        <v>-1586734256</v>
      </c>
      <c r="L6" t="s">
        <v>45</v>
      </c>
      <c r="M6" t="b">
        <v>0</v>
      </c>
      <c r="N6">
        <v>0</v>
      </c>
    </row>
    <row r="7" spans="1:14" x14ac:dyDescent="0.25">
      <c r="A7" t="s">
        <v>46</v>
      </c>
      <c r="B7" t="s">
        <v>27</v>
      </c>
      <c r="C7" t="s">
        <v>47</v>
      </c>
      <c r="D7">
        <v>40</v>
      </c>
      <c r="E7" s="4" t="s">
        <v>2145</v>
      </c>
      <c r="F7" s="4" t="s">
        <v>2140</v>
      </c>
      <c r="G7" t="s">
        <v>36</v>
      </c>
      <c r="H7" s="1">
        <v>43992</v>
      </c>
      <c r="I7" s="4">
        <v>88642.84</v>
      </c>
      <c r="J7" t="s">
        <v>50</v>
      </c>
      <c r="K7">
        <v>-5409003485</v>
      </c>
      <c r="L7" t="s">
        <v>33</v>
      </c>
      <c r="M7" t="b">
        <v>0</v>
      </c>
      <c r="N7">
        <v>4432.1419999999998</v>
      </c>
    </row>
    <row r="8" spans="1:14" x14ac:dyDescent="0.25">
      <c r="A8" t="s">
        <v>51</v>
      </c>
      <c r="B8" t="s">
        <v>40</v>
      </c>
      <c r="C8" t="s">
        <v>28</v>
      </c>
      <c r="E8" s="4" t="s">
        <v>2141</v>
      </c>
      <c r="F8" s="4" t="s">
        <v>2142</v>
      </c>
      <c r="G8" t="s">
        <v>16</v>
      </c>
      <c r="H8" s="1">
        <v>43924</v>
      </c>
      <c r="I8" s="4">
        <v>96288.43</v>
      </c>
      <c r="J8" t="s">
        <v>53</v>
      </c>
      <c r="K8">
        <v>-4518376063</v>
      </c>
      <c r="L8" t="s">
        <v>33</v>
      </c>
      <c r="M8" t="b">
        <v>0</v>
      </c>
      <c r="N8">
        <v>4814.4214999999995</v>
      </c>
    </row>
    <row r="9" spans="1:14" x14ac:dyDescent="0.25">
      <c r="A9" t="s">
        <v>54</v>
      </c>
      <c r="B9" t="s">
        <v>13</v>
      </c>
      <c r="C9" t="s">
        <v>28</v>
      </c>
      <c r="D9">
        <v>30</v>
      </c>
      <c r="E9" s="4" t="s">
        <v>2143</v>
      </c>
      <c r="F9" s="4" t="s">
        <v>2144</v>
      </c>
      <c r="G9" t="s">
        <v>36</v>
      </c>
      <c r="H9" s="1">
        <v>44759</v>
      </c>
      <c r="I9" s="4">
        <v>94497.91</v>
      </c>
      <c r="J9" t="s">
        <v>56</v>
      </c>
      <c r="K9">
        <v>-4134327559</v>
      </c>
      <c r="L9" t="s">
        <v>19</v>
      </c>
      <c r="M9" t="b">
        <v>1</v>
      </c>
      <c r="N9">
        <v>1889.9582</v>
      </c>
    </row>
    <row r="10" spans="1:14" x14ac:dyDescent="0.25">
      <c r="A10" t="s">
        <v>57</v>
      </c>
      <c r="B10" t="s">
        <v>40</v>
      </c>
      <c r="C10" t="s">
        <v>14</v>
      </c>
      <c r="D10">
        <v>35</v>
      </c>
      <c r="E10" s="4" t="s">
        <v>2141</v>
      </c>
      <c r="F10" s="4" t="s">
        <v>2142</v>
      </c>
      <c r="G10" t="s">
        <v>36</v>
      </c>
      <c r="H10" s="1">
        <v>45268</v>
      </c>
      <c r="I10" s="4">
        <v>115565.82</v>
      </c>
      <c r="J10" t="s">
        <v>59</v>
      </c>
      <c r="K10">
        <v>-4177656123</v>
      </c>
      <c r="L10" t="s">
        <v>25</v>
      </c>
      <c r="M10" t="b">
        <v>1</v>
      </c>
      <c r="N10">
        <v>11556.582000000002</v>
      </c>
    </row>
    <row r="11" spans="1:14" x14ac:dyDescent="0.25">
      <c r="A11" t="s">
        <v>60</v>
      </c>
      <c r="B11" t="s">
        <v>61</v>
      </c>
      <c r="C11" t="s">
        <v>62</v>
      </c>
      <c r="E11" s="4" t="s">
        <v>2137</v>
      </c>
      <c r="F11" s="4" t="s">
        <v>2146</v>
      </c>
      <c r="G11" t="s">
        <v>16</v>
      </c>
      <c r="H11" s="1">
        <v>44777</v>
      </c>
      <c r="I11" s="4">
        <v>76561.88</v>
      </c>
      <c r="J11" t="s">
        <v>65</v>
      </c>
      <c r="K11">
        <v>-8156985699</v>
      </c>
      <c r="L11" t="s">
        <v>25</v>
      </c>
      <c r="M11" t="b">
        <v>1</v>
      </c>
      <c r="N11">
        <v>7656.188000000001</v>
      </c>
    </row>
    <row r="12" spans="1:14" x14ac:dyDescent="0.25">
      <c r="A12" t="s">
        <v>66</v>
      </c>
      <c r="B12" t="s">
        <v>67</v>
      </c>
      <c r="C12" t="s">
        <v>41</v>
      </c>
      <c r="D12">
        <v>35</v>
      </c>
      <c r="E12" s="4" t="s">
        <v>2143</v>
      </c>
      <c r="F12" s="4" t="s">
        <v>2146</v>
      </c>
      <c r="G12" t="s">
        <v>16</v>
      </c>
      <c r="H12" s="1">
        <v>45479</v>
      </c>
      <c r="I12" s="4">
        <v>72081.710000000006</v>
      </c>
      <c r="J12" t="s">
        <v>70</v>
      </c>
      <c r="K12">
        <v>-2720634590</v>
      </c>
      <c r="L12" t="s">
        <v>19</v>
      </c>
      <c r="M12" t="b">
        <v>0</v>
      </c>
      <c r="N12">
        <v>1441.6342000000002</v>
      </c>
    </row>
    <row r="13" spans="1:14" x14ac:dyDescent="0.25">
      <c r="A13" t="s">
        <v>71</v>
      </c>
      <c r="B13" t="s">
        <v>67</v>
      </c>
      <c r="C13" t="s">
        <v>14</v>
      </c>
      <c r="E13" s="4" t="s">
        <v>2137</v>
      </c>
      <c r="F13" s="4" t="s">
        <v>2138</v>
      </c>
      <c r="G13" t="s">
        <v>16</v>
      </c>
      <c r="H13" s="1">
        <v>45173</v>
      </c>
      <c r="I13" s="4">
        <v>84946.19</v>
      </c>
      <c r="J13" t="s">
        <v>73</v>
      </c>
      <c r="K13">
        <v>-1238296576</v>
      </c>
      <c r="L13" t="s">
        <v>45</v>
      </c>
      <c r="M13" t="b">
        <v>1</v>
      </c>
      <c r="N13">
        <v>0</v>
      </c>
    </row>
    <row r="14" spans="1:14" x14ac:dyDescent="0.25">
      <c r="A14" t="s">
        <v>74</v>
      </c>
      <c r="B14" t="s">
        <v>75</v>
      </c>
      <c r="C14" t="s">
        <v>41</v>
      </c>
      <c r="D14">
        <v>30</v>
      </c>
      <c r="E14" s="4" t="s">
        <v>2147</v>
      </c>
      <c r="F14" s="4" t="s">
        <v>2146</v>
      </c>
      <c r="G14" t="s">
        <v>16</v>
      </c>
      <c r="H14" s="1">
        <v>45356</v>
      </c>
      <c r="I14" s="4">
        <v>89295.77</v>
      </c>
      <c r="J14" t="s">
        <v>78</v>
      </c>
      <c r="K14">
        <v>-2429543164</v>
      </c>
      <c r="L14" t="s">
        <v>25</v>
      </c>
      <c r="M14" t="b">
        <v>0</v>
      </c>
      <c r="N14">
        <v>8929.5770000000011</v>
      </c>
    </row>
    <row r="15" spans="1:14" x14ac:dyDescent="0.25">
      <c r="A15" t="s">
        <v>79</v>
      </c>
      <c r="B15" t="s">
        <v>80</v>
      </c>
      <c r="C15" t="s">
        <v>41</v>
      </c>
      <c r="E15" s="4" t="s">
        <v>2139</v>
      </c>
      <c r="F15" s="4" t="s">
        <v>2138</v>
      </c>
      <c r="G15" t="s">
        <v>16</v>
      </c>
      <c r="H15" s="1">
        <v>44114</v>
      </c>
      <c r="I15" s="4">
        <v>85666.84</v>
      </c>
      <c r="J15" t="s">
        <v>83</v>
      </c>
      <c r="K15">
        <v>-2669300892</v>
      </c>
      <c r="L15" t="s">
        <v>33</v>
      </c>
      <c r="M15" t="b">
        <v>0</v>
      </c>
      <c r="N15">
        <v>4283.3419999999996</v>
      </c>
    </row>
    <row r="16" spans="1:14" x14ac:dyDescent="0.25">
      <c r="A16" t="s">
        <v>84</v>
      </c>
      <c r="B16" t="s">
        <v>27</v>
      </c>
      <c r="C16" t="s">
        <v>47</v>
      </c>
      <c r="D16">
        <v>25</v>
      </c>
      <c r="E16" s="4" t="s">
        <v>2141</v>
      </c>
      <c r="F16" s="4" t="s">
        <v>2142</v>
      </c>
      <c r="G16" t="s">
        <v>16</v>
      </c>
      <c r="H16" s="1">
        <v>45453</v>
      </c>
      <c r="I16" s="4">
        <v>97633.68</v>
      </c>
      <c r="J16" t="s">
        <v>50</v>
      </c>
      <c r="K16">
        <v>-1734206968</v>
      </c>
      <c r="L16" t="s">
        <v>25</v>
      </c>
      <c r="M16" t="b">
        <v>1</v>
      </c>
      <c r="N16">
        <v>9763.3680000000004</v>
      </c>
    </row>
    <row r="17" spans="1:14" x14ac:dyDescent="0.25">
      <c r="A17" t="s">
        <v>86</v>
      </c>
      <c r="B17" t="s">
        <v>80</v>
      </c>
      <c r="C17" t="s">
        <v>28</v>
      </c>
      <c r="D17">
        <v>40</v>
      </c>
      <c r="E17" s="4" t="s">
        <v>2145</v>
      </c>
      <c r="F17" s="4" t="s">
        <v>2144</v>
      </c>
      <c r="G17" t="s">
        <v>30</v>
      </c>
      <c r="H17" s="1">
        <v>44345</v>
      </c>
      <c r="I17" s="4">
        <v>117975.49</v>
      </c>
      <c r="J17" t="s">
        <v>89</v>
      </c>
      <c r="K17">
        <v>-4215291085</v>
      </c>
      <c r="L17" t="s">
        <v>33</v>
      </c>
      <c r="M17" t="b">
        <v>1</v>
      </c>
      <c r="N17">
        <v>5898.7745000000004</v>
      </c>
    </row>
    <row r="18" spans="1:14" x14ac:dyDescent="0.25">
      <c r="A18" t="s">
        <v>90</v>
      </c>
      <c r="B18" t="s">
        <v>27</v>
      </c>
      <c r="C18" t="s">
        <v>21</v>
      </c>
      <c r="D18">
        <v>25</v>
      </c>
      <c r="E18" s="4" t="s">
        <v>2137</v>
      </c>
      <c r="F18" s="4" t="s">
        <v>2148</v>
      </c>
      <c r="G18" t="s">
        <v>36</v>
      </c>
      <c r="H18" s="1">
        <v>45405</v>
      </c>
      <c r="I18" s="4">
        <v>94867.33</v>
      </c>
      <c r="J18" t="s">
        <v>93</v>
      </c>
      <c r="K18">
        <v>-7713334475</v>
      </c>
      <c r="L18" t="s">
        <v>45</v>
      </c>
      <c r="M18" t="b">
        <v>0</v>
      </c>
      <c r="N18">
        <v>0</v>
      </c>
    </row>
    <row r="19" spans="1:14" x14ac:dyDescent="0.25">
      <c r="A19" t="s">
        <v>94</v>
      </c>
      <c r="B19" t="s">
        <v>80</v>
      </c>
      <c r="C19" t="s">
        <v>47</v>
      </c>
      <c r="D19">
        <v>30</v>
      </c>
      <c r="E19" s="4" t="s">
        <v>2139</v>
      </c>
      <c r="F19" s="4" t="s">
        <v>2140</v>
      </c>
      <c r="G19" t="s">
        <v>30</v>
      </c>
      <c r="H19" s="1">
        <v>45624</v>
      </c>
      <c r="I19" s="4">
        <v>100377.65</v>
      </c>
      <c r="J19" t="s">
        <v>96</v>
      </c>
      <c r="K19">
        <v>-2639343625</v>
      </c>
      <c r="L19" t="s">
        <v>19</v>
      </c>
      <c r="M19" t="b">
        <v>1</v>
      </c>
      <c r="N19">
        <v>2007.5529999999999</v>
      </c>
    </row>
    <row r="20" spans="1:14" x14ac:dyDescent="0.25">
      <c r="A20" t="s">
        <v>97</v>
      </c>
      <c r="B20" t="s">
        <v>61</v>
      </c>
      <c r="C20" t="s">
        <v>47</v>
      </c>
      <c r="E20" s="4" t="s">
        <v>2143</v>
      </c>
      <c r="F20" s="4" t="s">
        <v>2142</v>
      </c>
      <c r="G20" t="s">
        <v>36</v>
      </c>
      <c r="H20" s="1">
        <v>45554</v>
      </c>
      <c r="I20" s="4">
        <v>94726.46</v>
      </c>
      <c r="J20" t="s">
        <v>100</v>
      </c>
      <c r="K20">
        <v>-2044397358</v>
      </c>
      <c r="L20" t="s">
        <v>25</v>
      </c>
      <c r="M20" t="b">
        <v>0</v>
      </c>
      <c r="N20">
        <v>9472.6460000000006</v>
      </c>
    </row>
    <row r="21" spans="1:14" x14ac:dyDescent="0.25">
      <c r="A21" t="s">
        <v>101</v>
      </c>
      <c r="B21" t="s">
        <v>61</v>
      </c>
      <c r="C21" t="s">
        <v>41</v>
      </c>
      <c r="D21">
        <v>35</v>
      </c>
      <c r="E21" s="4" t="s">
        <v>2141</v>
      </c>
      <c r="F21" s="4" t="s">
        <v>2148</v>
      </c>
      <c r="G21" t="s">
        <v>30</v>
      </c>
      <c r="H21" s="1">
        <v>43832</v>
      </c>
      <c r="I21" s="4">
        <v>91926.12</v>
      </c>
      <c r="J21" t="s">
        <v>104</v>
      </c>
      <c r="K21">
        <v>-7107256365</v>
      </c>
      <c r="L21" t="s">
        <v>19</v>
      </c>
      <c r="M21" t="b">
        <v>1</v>
      </c>
      <c r="N21">
        <v>1838.5223999999998</v>
      </c>
    </row>
    <row r="22" spans="1:14" x14ac:dyDescent="0.25">
      <c r="A22" t="s">
        <v>105</v>
      </c>
      <c r="B22" t="s">
        <v>13</v>
      </c>
      <c r="C22" t="s">
        <v>106</v>
      </c>
      <c r="D22">
        <v>35</v>
      </c>
      <c r="E22" s="4" t="s">
        <v>2147</v>
      </c>
      <c r="F22" s="4" t="s">
        <v>2146</v>
      </c>
      <c r="G22" t="s">
        <v>16</v>
      </c>
      <c r="H22" s="1">
        <v>44324</v>
      </c>
      <c r="I22" s="4">
        <v>111460.67</v>
      </c>
      <c r="J22" t="s">
        <v>108</v>
      </c>
      <c r="K22">
        <v>-9411800536</v>
      </c>
      <c r="L22" t="s">
        <v>25</v>
      </c>
      <c r="M22" t="b">
        <v>1</v>
      </c>
      <c r="N22">
        <v>11146.067000000001</v>
      </c>
    </row>
    <row r="23" spans="1:14" x14ac:dyDescent="0.25">
      <c r="A23" t="s">
        <v>109</v>
      </c>
      <c r="B23" t="s">
        <v>13</v>
      </c>
      <c r="C23" t="s">
        <v>28</v>
      </c>
      <c r="D23">
        <v>40</v>
      </c>
      <c r="E23" s="4" t="s">
        <v>2143</v>
      </c>
      <c r="F23" s="4" t="s">
        <v>2148</v>
      </c>
      <c r="G23" t="s">
        <v>16</v>
      </c>
      <c r="H23" s="1">
        <v>44093</v>
      </c>
      <c r="I23" s="4">
        <v>96182.56</v>
      </c>
      <c r="J23" t="s">
        <v>56</v>
      </c>
      <c r="K23">
        <v>-5990048963</v>
      </c>
      <c r="L23" t="s">
        <v>33</v>
      </c>
      <c r="M23" t="b">
        <v>0</v>
      </c>
      <c r="N23">
        <v>4809.1279999999997</v>
      </c>
    </row>
    <row r="24" spans="1:14" x14ac:dyDescent="0.25">
      <c r="A24" t="s">
        <v>112</v>
      </c>
      <c r="B24" t="s">
        <v>61</v>
      </c>
      <c r="C24" t="s">
        <v>62</v>
      </c>
      <c r="D24">
        <v>35</v>
      </c>
      <c r="E24" s="4" t="s">
        <v>2145</v>
      </c>
      <c r="F24" s="4" t="s">
        <v>2148</v>
      </c>
      <c r="G24" t="s">
        <v>36</v>
      </c>
      <c r="H24" s="1">
        <v>44264</v>
      </c>
      <c r="I24" s="4">
        <v>115023.94</v>
      </c>
      <c r="J24" t="s">
        <v>65</v>
      </c>
      <c r="K24">
        <v>-6528092427</v>
      </c>
      <c r="L24" t="s">
        <v>19</v>
      </c>
      <c r="M24" t="b">
        <v>1</v>
      </c>
      <c r="N24">
        <v>2300.4788000000003</v>
      </c>
    </row>
    <row r="25" spans="1:14" x14ac:dyDescent="0.25">
      <c r="A25" t="s">
        <v>115</v>
      </c>
      <c r="B25" t="s">
        <v>67</v>
      </c>
      <c r="C25" t="s">
        <v>47</v>
      </c>
      <c r="D25">
        <v>35</v>
      </c>
      <c r="E25" s="4" t="s">
        <v>2139</v>
      </c>
      <c r="F25" s="4" t="s">
        <v>2142</v>
      </c>
      <c r="G25" t="s">
        <v>30</v>
      </c>
      <c r="H25" s="1">
        <v>44595</v>
      </c>
      <c r="I25" s="4">
        <v>80667.009999999995</v>
      </c>
      <c r="J25" t="s">
        <v>118</v>
      </c>
      <c r="K25">
        <v>-7572158623</v>
      </c>
      <c r="L25" t="s">
        <v>25</v>
      </c>
      <c r="M25" t="b">
        <v>0</v>
      </c>
      <c r="N25">
        <v>8066.701</v>
      </c>
    </row>
    <row r="26" spans="1:14" x14ac:dyDescent="0.25">
      <c r="A26" t="s">
        <v>119</v>
      </c>
      <c r="B26" t="s">
        <v>13</v>
      </c>
      <c r="C26" t="s">
        <v>21</v>
      </c>
      <c r="D26">
        <v>30</v>
      </c>
      <c r="E26" s="4" t="s">
        <v>2141</v>
      </c>
      <c r="F26" s="4" t="s">
        <v>2140</v>
      </c>
      <c r="G26" t="s">
        <v>36</v>
      </c>
      <c r="H26" s="1">
        <v>43874</v>
      </c>
      <c r="I26" s="4">
        <v>91181.61</v>
      </c>
      <c r="J26" t="s">
        <v>24</v>
      </c>
      <c r="K26">
        <v>-1502745643</v>
      </c>
      <c r="L26" t="s">
        <v>33</v>
      </c>
      <c r="M26" t="b">
        <v>1</v>
      </c>
      <c r="N26">
        <v>4559.0805</v>
      </c>
    </row>
    <row r="27" spans="1:14" x14ac:dyDescent="0.25">
      <c r="A27" t="s">
        <v>122</v>
      </c>
      <c r="B27" t="s">
        <v>67</v>
      </c>
      <c r="C27" t="s">
        <v>106</v>
      </c>
      <c r="D27">
        <v>25</v>
      </c>
      <c r="E27" s="4" t="s">
        <v>2143</v>
      </c>
      <c r="F27" s="4" t="s">
        <v>2142</v>
      </c>
      <c r="G27" t="s">
        <v>30</v>
      </c>
      <c r="H27" s="1">
        <v>43951</v>
      </c>
      <c r="I27" s="4">
        <v>66025.919999999998</v>
      </c>
      <c r="J27" t="s">
        <v>124</v>
      </c>
      <c r="K27">
        <v>-9485625727</v>
      </c>
      <c r="L27" t="s">
        <v>19</v>
      </c>
      <c r="M27" t="b">
        <v>0</v>
      </c>
      <c r="N27">
        <v>1320.5183999999999</v>
      </c>
    </row>
    <row r="28" spans="1:14" x14ac:dyDescent="0.25">
      <c r="A28" t="s">
        <v>125</v>
      </c>
      <c r="B28" t="s">
        <v>40</v>
      </c>
      <c r="C28" t="s">
        <v>106</v>
      </c>
      <c r="D28">
        <v>25</v>
      </c>
      <c r="E28" s="4" t="s">
        <v>2145</v>
      </c>
      <c r="F28" s="4" t="s">
        <v>2146</v>
      </c>
      <c r="G28" t="s">
        <v>36</v>
      </c>
      <c r="H28" s="1">
        <v>45201</v>
      </c>
      <c r="I28" s="4">
        <v>83979.01</v>
      </c>
      <c r="J28" t="s">
        <v>128</v>
      </c>
      <c r="K28">
        <v>-7032032073</v>
      </c>
      <c r="L28" t="s">
        <v>19</v>
      </c>
      <c r="M28" t="b">
        <v>0</v>
      </c>
      <c r="N28">
        <v>1679.5801999999999</v>
      </c>
    </row>
    <row r="29" spans="1:14" x14ac:dyDescent="0.25">
      <c r="A29" t="s">
        <v>129</v>
      </c>
      <c r="B29" t="s">
        <v>75</v>
      </c>
      <c r="C29" t="s">
        <v>62</v>
      </c>
      <c r="D29">
        <v>30</v>
      </c>
      <c r="E29" s="4" t="s">
        <v>2139</v>
      </c>
      <c r="F29" s="4" t="s">
        <v>2144</v>
      </c>
      <c r="G29" t="s">
        <v>16</v>
      </c>
      <c r="H29" s="1">
        <v>44024</v>
      </c>
      <c r="I29" s="4">
        <v>56785.16</v>
      </c>
      <c r="J29" t="s">
        <v>132</v>
      </c>
      <c r="K29">
        <v>-2761707586</v>
      </c>
      <c r="L29" t="s">
        <v>25</v>
      </c>
      <c r="M29" t="b">
        <v>1</v>
      </c>
      <c r="N29">
        <v>5678.5160000000005</v>
      </c>
    </row>
    <row r="30" spans="1:14" x14ac:dyDescent="0.25">
      <c r="A30" t="s">
        <v>133</v>
      </c>
      <c r="B30" t="s">
        <v>80</v>
      </c>
      <c r="C30" t="s">
        <v>47</v>
      </c>
      <c r="D30">
        <v>40</v>
      </c>
      <c r="E30" s="4" t="s">
        <v>2139</v>
      </c>
      <c r="F30" s="4" t="s">
        <v>2142</v>
      </c>
      <c r="G30" t="s">
        <v>16</v>
      </c>
      <c r="H30" s="1">
        <v>45210</v>
      </c>
      <c r="I30" s="4">
        <v>95741.88</v>
      </c>
      <c r="J30" t="s">
        <v>96</v>
      </c>
      <c r="K30">
        <v>-7712151341</v>
      </c>
      <c r="L30" t="s">
        <v>25</v>
      </c>
      <c r="M30" t="b">
        <v>0</v>
      </c>
      <c r="N30">
        <v>9574.1880000000001</v>
      </c>
    </row>
    <row r="31" spans="1:14" x14ac:dyDescent="0.25">
      <c r="A31" t="s">
        <v>135</v>
      </c>
      <c r="B31" t="s">
        <v>27</v>
      </c>
      <c r="C31" t="s">
        <v>21</v>
      </c>
      <c r="D31">
        <v>40</v>
      </c>
      <c r="E31" s="4" t="s">
        <v>2137</v>
      </c>
      <c r="F31" s="4" t="s">
        <v>2138</v>
      </c>
      <c r="G31" t="s">
        <v>16</v>
      </c>
      <c r="H31" s="1">
        <v>44340</v>
      </c>
      <c r="I31" s="4">
        <v>63411.31</v>
      </c>
      <c r="J31" t="s">
        <v>93</v>
      </c>
      <c r="K31">
        <v>-2849939088</v>
      </c>
      <c r="L31" t="s">
        <v>25</v>
      </c>
      <c r="M31" t="b">
        <v>1</v>
      </c>
      <c r="N31">
        <v>6341.1310000000003</v>
      </c>
    </row>
    <row r="32" spans="1:14" x14ac:dyDescent="0.25">
      <c r="A32" t="s">
        <v>137</v>
      </c>
      <c r="B32" t="s">
        <v>61</v>
      </c>
      <c r="C32" t="s">
        <v>28</v>
      </c>
      <c r="D32">
        <v>40</v>
      </c>
      <c r="E32" s="4" t="s">
        <v>2141</v>
      </c>
      <c r="F32" s="4" t="s">
        <v>2138</v>
      </c>
      <c r="G32" t="s">
        <v>36</v>
      </c>
      <c r="H32" s="1">
        <v>44342</v>
      </c>
      <c r="I32" s="4">
        <v>111214.02</v>
      </c>
      <c r="J32" t="s">
        <v>140</v>
      </c>
      <c r="K32">
        <v>-2613715040</v>
      </c>
      <c r="L32" t="s">
        <v>33</v>
      </c>
      <c r="M32" t="b">
        <v>1</v>
      </c>
      <c r="N32">
        <v>5560.7010000000009</v>
      </c>
    </row>
    <row r="33" spans="1:14" x14ac:dyDescent="0.25">
      <c r="A33" t="s">
        <v>141</v>
      </c>
      <c r="B33" t="s">
        <v>13</v>
      </c>
      <c r="C33" t="s">
        <v>142</v>
      </c>
      <c r="D33">
        <v>25</v>
      </c>
      <c r="E33" s="4" t="s">
        <v>2137</v>
      </c>
      <c r="F33" s="4" t="s">
        <v>2148</v>
      </c>
      <c r="G33" t="s">
        <v>16</v>
      </c>
      <c r="H33" s="1">
        <v>44022</v>
      </c>
      <c r="I33" s="4">
        <v>114845.69</v>
      </c>
      <c r="J33" t="s">
        <v>144</v>
      </c>
      <c r="K33">
        <v>-6591520176</v>
      </c>
      <c r="L33" t="s">
        <v>25</v>
      </c>
      <c r="M33" t="b">
        <v>1</v>
      </c>
      <c r="N33">
        <v>11484.569000000001</v>
      </c>
    </row>
    <row r="34" spans="1:14" x14ac:dyDescent="0.25">
      <c r="A34" t="s">
        <v>145</v>
      </c>
      <c r="B34" t="s">
        <v>61</v>
      </c>
      <c r="C34" t="s">
        <v>21</v>
      </c>
      <c r="D34">
        <v>40</v>
      </c>
      <c r="E34" s="4" t="s">
        <v>2139</v>
      </c>
      <c r="F34" s="4" t="s">
        <v>2144</v>
      </c>
      <c r="G34" t="s">
        <v>16</v>
      </c>
      <c r="H34" s="1">
        <v>45601</v>
      </c>
      <c r="I34" s="4">
        <v>78072.820000000007</v>
      </c>
      <c r="J34" t="s">
        <v>147</v>
      </c>
      <c r="K34">
        <v>-7490509758</v>
      </c>
      <c r="L34" t="s">
        <v>19</v>
      </c>
      <c r="M34" t="b">
        <v>0</v>
      </c>
      <c r="N34">
        <v>1561.4564000000003</v>
      </c>
    </row>
    <row r="35" spans="1:14" x14ac:dyDescent="0.25">
      <c r="A35" t="s">
        <v>148</v>
      </c>
      <c r="B35" t="s">
        <v>80</v>
      </c>
      <c r="C35" t="s">
        <v>62</v>
      </c>
      <c r="D35">
        <v>25</v>
      </c>
      <c r="E35" s="4" t="s">
        <v>2139</v>
      </c>
      <c r="F35" s="4" t="s">
        <v>2138</v>
      </c>
      <c r="G35" t="s">
        <v>36</v>
      </c>
      <c r="H35" s="1">
        <v>44415</v>
      </c>
      <c r="I35" s="4">
        <v>79610.52</v>
      </c>
      <c r="J35" t="s">
        <v>150</v>
      </c>
      <c r="K35">
        <v>-2304501895</v>
      </c>
      <c r="L35" t="s">
        <v>19</v>
      </c>
      <c r="M35" t="b">
        <v>0</v>
      </c>
      <c r="N35">
        <v>1592.2104000000002</v>
      </c>
    </row>
    <row r="36" spans="1:14" x14ac:dyDescent="0.25">
      <c r="A36" t="s">
        <v>151</v>
      </c>
      <c r="B36" t="s">
        <v>75</v>
      </c>
      <c r="C36" t="s">
        <v>106</v>
      </c>
      <c r="D36">
        <v>30</v>
      </c>
      <c r="E36" s="4" t="s">
        <v>2141</v>
      </c>
      <c r="F36" s="4" t="s">
        <v>2138</v>
      </c>
      <c r="G36" t="s">
        <v>16</v>
      </c>
      <c r="H36" s="1">
        <v>43950</v>
      </c>
      <c r="I36" s="4">
        <v>90542.62</v>
      </c>
      <c r="J36" t="s">
        <v>153</v>
      </c>
      <c r="K36">
        <v>-1642361031</v>
      </c>
      <c r="L36" t="s">
        <v>25</v>
      </c>
      <c r="M36" t="b">
        <v>1</v>
      </c>
      <c r="N36">
        <v>9054.2620000000006</v>
      </c>
    </row>
    <row r="37" spans="1:14" x14ac:dyDescent="0.25">
      <c r="A37" t="s">
        <v>154</v>
      </c>
      <c r="B37" t="s">
        <v>40</v>
      </c>
      <c r="C37" t="s">
        <v>28</v>
      </c>
      <c r="D37">
        <v>25</v>
      </c>
      <c r="E37" s="4" t="s">
        <v>2143</v>
      </c>
      <c r="F37" s="4" t="s">
        <v>2148</v>
      </c>
      <c r="G37" t="s">
        <v>36</v>
      </c>
      <c r="H37" s="1">
        <v>44860</v>
      </c>
      <c r="I37" s="4">
        <v>114357.1</v>
      </c>
      <c r="J37" t="s">
        <v>53</v>
      </c>
      <c r="K37">
        <v>-6642147648</v>
      </c>
      <c r="L37" t="s">
        <v>25</v>
      </c>
      <c r="M37" t="b">
        <v>1</v>
      </c>
      <c r="N37">
        <v>11435.710000000001</v>
      </c>
    </row>
    <row r="38" spans="1:14" x14ac:dyDescent="0.25">
      <c r="A38" t="s">
        <v>156</v>
      </c>
      <c r="B38" t="s">
        <v>27</v>
      </c>
      <c r="C38" t="s">
        <v>21</v>
      </c>
      <c r="E38" s="4" t="s">
        <v>2143</v>
      </c>
      <c r="F38" s="4" t="s">
        <v>2146</v>
      </c>
      <c r="G38" t="s">
        <v>16</v>
      </c>
      <c r="H38" s="1">
        <v>45049</v>
      </c>
      <c r="I38" s="4">
        <v>54757.26</v>
      </c>
      <c r="J38" t="s">
        <v>93</v>
      </c>
      <c r="K38">
        <v>-2515837766</v>
      </c>
      <c r="L38" t="s">
        <v>45</v>
      </c>
      <c r="M38" t="b">
        <v>0</v>
      </c>
      <c r="N38">
        <v>0</v>
      </c>
    </row>
    <row r="39" spans="1:14" x14ac:dyDescent="0.25">
      <c r="A39" t="s">
        <v>158</v>
      </c>
      <c r="B39" t="s">
        <v>80</v>
      </c>
      <c r="C39" t="s">
        <v>142</v>
      </c>
      <c r="D39">
        <v>25</v>
      </c>
      <c r="E39" s="4" t="s">
        <v>2145</v>
      </c>
      <c r="F39" s="4" t="s">
        <v>2146</v>
      </c>
      <c r="G39" t="s">
        <v>30</v>
      </c>
      <c r="H39" s="1">
        <v>45048</v>
      </c>
      <c r="I39" s="4">
        <v>52781.919999999998</v>
      </c>
      <c r="J39" t="s">
        <v>160</v>
      </c>
      <c r="K39">
        <v>-4996165925</v>
      </c>
      <c r="L39" t="s">
        <v>19</v>
      </c>
      <c r="M39" t="b">
        <v>1</v>
      </c>
      <c r="N39">
        <v>1055.6384</v>
      </c>
    </row>
    <row r="40" spans="1:14" x14ac:dyDescent="0.25">
      <c r="A40" t="s">
        <v>161</v>
      </c>
      <c r="B40" t="s">
        <v>40</v>
      </c>
      <c r="C40" t="s">
        <v>142</v>
      </c>
      <c r="D40">
        <v>35</v>
      </c>
      <c r="E40" s="4" t="s">
        <v>2141</v>
      </c>
      <c r="F40" s="4" t="s">
        <v>2142</v>
      </c>
      <c r="G40" t="s">
        <v>30</v>
      </c>
      <c r="H40" s="1">
        <v>44474</v>
      </c>
      <c r="I40" s="4">
        <v>66708.02</v>
      </c>
      <c r="J40" t="s">
        <v>163</v>
      </c>
      <c r="K40">
        <v>-6108573277</v>
      </c>
      <c r="L40" t="s">
        <v>33</v>
      </c>
      <c r="M40" t="b">
        <v>1</v>
      </c>
      <c r="N40">
        <v>3335.4010000000003</v>
      </c>
    </row>
    <row r="41" spans="1:14" x14ac:dyDescent="0.25">
      <c r="A41" t="s">
        <v>164</v>
      </c>
      <c r="B41" t="s">
        <v>35</v>
      </c>
      <c r="C41" t="s">
        <v>41</v>
      </c>
      <c r="D41">
        <v>40</v>
      </c>
      <c r="E41" s="4" t="s">
        <v>2147</v>
      </c>
      <c r="F41" s="4" t="s">
        <v>2140</v>
      </c>
      <c r="G41" t="s">
        <v>16</v>
      </c>
      <c r="H41" s="1">
        <v>44769</v>
      </c>
      <c r="I41" s="4">
        <v>93481.15</v>
      </c>
      <c r="J41" t="s">
        <v>167</v>
      </c>
      <c r="K41">
        <v>-8147617421</v>
      </c>
      <c r="L41" t="s">
        <v>45</v>
      </c>
      <c r="M41" t="b">
        <v>0</v>
      </c>
      <c r="N41">
        <v>0</v>
      </c>
    </row>
    <row r="42" spans="1:14" x14ac:dyDescent="0.25">
      <c r="A42" t="s">
        <v>168</v>
      </c>
      <c r="B42" t="s">
        <v>13</v>
      </c>
      <c r="C42" t="s">
        <v>41</v>
      </c>
      <c r="D42">
        <v>25</v>
      </c>
      <c r="E42" s="4" t="s">
        <v>2145</v>
      </c>
      <c r="F42" s="4" t="s">
        <v>2146</v>
      </c>
      <c r="G42" t="s">
        <v>30</v>
      </c>
      <c r="H42" s="1">
        <v>44374</v>
      </c>
      <c r="I42" s="4">
        <v>59271.96</v>
      </c>
      <c r="J42" t="s">
        <v>170</v>
      </c>
      <c r="K42">
        <v>-4386490809</v>
      </c>
      <c r="L42" t="s">
        <v>25</v>
      </c>
      <c r="M42" t="b">
        <v>1</v>
      </c>
      <c r="N42">
        <v>5927.1959999999999</v>
      </c>
    </row>
    <row r="43" spans="1:14" x14ac:dyDescent="0.25">
      <c r="A43" t="s">
        <v>171</v>
      </c>
      <c r="B43" t="s">
        <v>13</v>
      </c>
      <c r="C43" t="s">
        <v>14</v>
      </c>
      <c r="D43">
        <v>30</v>
      </c>
      <c r="E43" s="4" t="s">
        <v>2147</v>
      </c>
      <c r="F43" s="4" t="s">
        <v>2138</v>
      </c>
      <c r="G43" t="s">
        <v>16</v>
      </c>
      <c r="H43" s="1">
        <v>44728</v>
      </c>
      <c r="I43" s="4">
        <v>108362.15</v>
      </c>
      <c r="J43" t="s">
        <v>18</v>
      </c>
      <c r="K43">
        <v>-8186617944</v>
      </c>
      <c r="L43" t="s">
        <v>25</v>
      </c>
      <c r="M43" t="b">
        <v>0</v>
      </c>
      <c r="N43">
        <v>10836.215</v>
      </c>
    </row>
    <row r="44" spans="1:14" x14ac:dyDescent="0.25">
      <c r="A44" t="s">
        <v>174</v>
      </c>
      <c r="B44" t="s">
        <v>27</v>
      </c>
      <c r="C44" t="s">
        <v>62</v>
      </c>
      <c r="E44" s="4" t="s">
        <v>2147</v>
      </c>
      <c r="F44" s="4" t="s">
        <v>2142</v>
      </c>
      <c r="G44" t="s">
        <v>16</v>
      </c>
      <c r="H44" s="1">
        <v>45629</v>
      </c>
      <c r="I44" s="4">
        <v>59400.38</v>
      </c>
      <c r="J44" t="s">
        <v>177</v>
      </c>
      <c r="K44">
        <v>-4918017225</v>
      </c>
      <c r="L44" t="s">
        <v>19</v>
      </c>
      <c r="M44" t="b">
        <v>1</v>
      </c>
      <c r="N44">
        <v>1188.0075999999999</v>
      </c>
    </row>
    <row r="45" spans="1:14" x14ac:dyDescent="0.25">
      <c r="A45" t="s">
        <v>178</v>
      </c>
      <c r="B45" t="s">
        <v>13</v>
      </c>
      <c r="C45" t="s">
        <v>47</v>
      </c>
      <c r="E45" s="4" t="s">
        <v>2141</v>
      </c>
      <c r="F45" s="4" t="s">
        <v>2138</v>
      </c>
      <c r="G45" t="s">
        <v>36</v>
      </c>
      <c r="H45" s="1">
        <v>45069</v>
      </c>
      <c r="I45" s="4">
        <v>64744.08</v>
      </c>
      <c r="J45" t="s">
        <v>180</v>
      </c>
      <c r="K45">
        <v>-164597793</v>
      </c>
      <c r="L45" t="s">
        <v>25</v>
      </c>
      <c r="M45" t="b">
        <v>0</v>
      </c>
      <c r="N45">
        <v>6474.4080000000004</v>
      </c>
    </row>
    <row r="46" spans="1:14" x14ac:dyDescent="0.25">
      <c r="A46" t="s">
        <v>181</v>
      </c>
      <c r="B46" t="s">
        <v>35</v>
      </c>
      <c r="C46" t="s">
        <v>21</v>
      </c>
      <c r="E46" s="4" t="s">
        <v>2139</v>
      </c>
      <c r="F46" s="4" t="s">
        <v>2138</v>
      </c>
      <c r="G46" t="s">
        <v>16</v>
      </c>
      <c r="H46" s="1">
        <v>44020</v>
      </c>
      <c r="I46" s="4">
        <v>94399.91</v>
      </c>
      <c r="J46" t="s">
        <v>183</v>
      </c>
      <c r="K46">
        <v>-5232194167</v>
      </c>
      <c r="L46" t="s">
        <v>33</v>
      </c>
      <c r="M46" t="b">
        <v>1</v>
      </c>
      <c r="N46">
        <v>4719.9955</v>
      </c>
    </row>
    <row r="47" spans="1:14" x14ac:dyDescent="0.25">
      <c r="A47" t="s">
        <v>184</v>
      </c>
      <c r="B47" t="s">
        <v>27</v>
      </c>
      <c r="C47" t="s">
        <v>21</v>
      </c>
      <c r="D47">
        <v>25</v>
      </c>
      <c r="E47" s="4" t="s">
        <v>2147</v>
      </c>
      <c r="F47" s="4" t="s">
        <v>2146</v>
      </c>
      <c r="G47" t="s">
        <v>30</v>
      </c>
      <c r="H47" s="1">
        <v>44367</v>
      </c>
      <c r="I47" s="4">
        <v>61310.74</v>
      </c>
      <c r="J47" t="s">
        <v>93</v>
      </c>
      <c r="K47">
        <v>-61027768</v>
      </c>
      <c r="L47" t="s">
        <v>19</v>
      </c>
      <c r="M47" t="b">
        <v>1</v>
      </c>
      <c r="N47">
        <v>1226.2148</v>
      </c>
    </row>
    <row r="48" spans="1:14" x14ac:dyDescent="0.25">
      <c r="A48" t="s">
        <v>186</v>
      </c>
      <c r="B48" t="s">
        <v>80</v>
      </c>
      <c r="C48" t="s">
        <v>47</v>
      </c>
      <c r="E48" s="4" t="s">
        <v>2143</v>
      </c>
      <c r="F48" s="4" t="s">
        <v>2140</v>
      </c>
      <c r="G48" t="s">
        <v>16</v>
      </c>
      <c r="H48" s="1">
        <v>45639</v>
      </c>
      <c r="I48" s="4">
        <v>98371.37</v>
      </c>
      <c r="J48" t="s">
        <v>96</v>
      </c>
      <c r="K48">
        <v>-7499564121</v>
      </c>
      <c r="L48" t="s">
        <v>25</v>
      </c>
      <c r="M48" t="b">
        <v>0</v>
      </c>
      <c r="N48">
        <v>9837.1370000000006</v>
      </c>
    </row>
    <row r="49" spans="1:14" x14ac:dyDescent="0.25">
      <c r="A49" t="s">
        <v>189</v>
      </c>
      <c r="B49" t="s">
        <v>27</v>
      </c>
      <c r="C49" t="s">
        <v>14</v>
      </c>
      <c r="D49">
        <v>35</v>
      </c>
      <c r="E49" s="4" t="s">
        <v>2145</v>
      </c>
      <c r="F49" s="4" t="s">
        <v>2148</v>
      </c>
      <c r="G49" t="s">
        <v>16</v>
      </c>
      <c r="H49" s="1">
        <v>44711</v>
      </c>
      <c r="I49" s="4">
        <v>58921.19</v>
      </c>
      <c r="J49" t="s">
        <v>191</v>
      </c>
      <c r="K49">
        <v>-310303722</v>
      </c>
      <c r="L49" t="s">
        <v>19</v>
      </c>
      <c r="M49" t="b">
        <v>1</v>
      </c>
      <c r="N49">
        <v>1178.4238</v>
      </c>
    </row>
    <row r="50" spans="1:14" x14ac:dyDescent="0.25">
      <c r="A50" t="s">
        <v>192</v>
      </c>
      <c r="B50" t="s">
        <v>27</v>
      </c>
      <c r="C50" t="s">
        <v>106</v>
      </c>
      <c r="D50">
        <v>35</v>
      </c>
      <c r="E50" s="4" t="s">
        <v>2141</v>
      </c>
      <c r="F50" s="4" t="s">
        <v>2142</v>
      </c>
      <c r="G50" t="s">
        <v>16</v>
      </c>
      <c r="H50" s="1">
        <v>45196</v>
      </c>
      <c r="I50" s="4">
        <v>57195.55</v>
      </c>
      <c r="J50" t="s">
        <v>194</v>
      </c>
      <c r="K50">
        <v>-6831472759</v>
      </c>
      <c r="L50" t="s">
        <v>25</v>
      </c>
      <c r="M50" t="b">
        <v>0</v>
      </c>
      <c r="N50">
        <v>5719.5550000000003</v>
      </c>
    </row>
    <row r="51" spans="1:14" x14ac:dyDescent="0.25">
      <c r="A51" t="s">
        <v>195</v>
      </c>
      <c r="B51" t="s">
        <v>80</v>
      </c>
      <c r="C51" t="s">
        <v>106</v>
      </c>
      <c r="E51" s="4" t="s">
        <v>2137</v>
      </c>
      <c r="F51" s="4" t="s">
        <v>2146</v>
      </c>
      <c r="G51" t="s">
        <v>16</v>
      </c>
      <c r="H51" s="1">
        <v>45601</v>
      </c>
      <c r="I51" s="4">
        <v>61375.12</v>
      </c>
      <c r="J51" t="s">
        <v>197</v>
      </c>
      <c r="K51">
        <v>-1227770792</v>
      </c>
      <c r="L51" t="s">
        <v>25</v>
      </c>
      <c r="M51" t="b">
        <v>1</v>
      </c>
      <c r="N51">
        <v>6137.5120000000006</v>
      </c>
    </row>
    <row r="52" spans="1:14" x14ac:dyDescent="0.25">
      <c r="A52" t="s">
        <v>198</v>
      </c>
      <c r="B52" t="s">
        <v>61</v>
      </c>
      <c r="C52" t="s">
        <v>14</v>
      </c>
      <c r="D52">
        <v>40</v>
      </c>
      <c r="E52" s="4" t="s">
        <v>2143</v>
      </c>
      <c r="F52" s="4" t="s">
        <v>2146</v>
      </c>
      <c r="G52" t="s">
        <v>30</v>
      </c>
      <c r="H52" s="1">
        <v>44511</v>
      </c>
      <c r="I52" s="4">
        <v>104767.05</v>
      </c>
      <c r="J52" t="s">
        <v>200</v>
      </c>
      <c r="K52">
        <v>-3496050165</v>
      </c>
      <c r="L52" t="s">
        <v>25</v>
      </c>
      <c r="M52" t="b">
        <v>0</v>
      </c>
      <c r="N52">
        <v>10476.705000000002</v>
      </c>
    </row>
    <row r="53" spans="1:14" x14ac:dyDescent="0.25">
      <c r="A53" t="s">
        <v>201</v>
      </c>
      <c r="B53" t="s">
        <v>67</v>
      </c>
      <c r="C53" t="s">
        <v>106</v>
      </c>
      <c r="D53">
        <v>35</v>
      </c>
      <c r="E53" s="4" t="s">
        <v>2141</v>
      </c>
      <c r="F53" s="4" t="s">
        <v>2142</v>
      </c>
      <c r="G53" t="s">
        <v>16</v>
      </c>
      <c r="H53" s="1">
        <v>44614</v>
      </c>
      <c r="I53" s="4">
        <v>111051.67</v>
      </c>
      <c r="J53" t="s">
        <v>124</v>
      </c>
      <c r="K53">
        <v>-7998407677</v>
      </c>
      <c r="L53" t="s">
        <v>33</v>
      </c>
      <c r="M53" t="b">
        <v>0</v>
      </c>
      <c r="N53">
        <v>5552.5835000000006</v>
      </c>
    </row>
    <row r="54" spans="1:14" x14ac:dyDescent="0.25">
      <c r="A54" t="s">
        <v>203</v>
      </c>
      <c r="B54" t="s">
        <v>67</v>
      </c>
      <c r="C54" t="s">
        <v>41</v>
      </c>
      <c r="D54">
        <v>30</v>
      </c>
      <c r="E54" s="4" t="s">
        <v>2139</v>
      </c>
      <c r="F54" s="4" t="s">
        <v>2138</v>
      </c>
      <c r="G54" t="s">
        <v>36</v>
      </c>
      <c r="H54" s="1">
        <v>45511</v>
      </c>
      <c r="I54" s="4">
        <v>105674.18</v>
      </c>
      <c r="J54" t="s">
        <v>70</v>
      </c>
      <c r="K54">
        <v>-9973080694</v>
      </c>
      <c r="L54" t="s">
        <v>33</v>
      </c>
      <c r="M54" t="b">
        <v>0</v>
      </c>
      <c r="N54">
        <v>5283.7089999999998</v>
      </c>
    </row>
    <row r="55" spans="1:14" x14ac:dyDescent="0.25">
      <c r="A55" t="s">
        <v>205</v>
      </c>
      <c r="B55" t="s">
        <v>27</v>
      </c>
      <c r="C55" t="s">
        <v>21</v>
      </c>
      <c r="D55">
        <v>30</v>
      </c>
      <c r="E55" s="4" t="s">
        <v>2139</v>
      </c>
      <c r="F55" s="4" t="s">
        <v>2138</v>
      </c>
      <c r="G55" t="s">
        <v>36</v>
      </c>
      <c r="H55" s="1">
        <v>45601</v>
      </c>
      <c r="I55" s="4">
        <v>54859.45</v>
      </c>
      <c r="J55" t="s">
        <v>93</v>
      </c>
      <c r="K55">
        <v>-8146717956</v>
      </c>
      <c r="L55" t="s">
        <v>19</v>
      </c>
      <c r="M55" t="b">
        <v>0</v>
      </c>
      <c r="N55">
        <v>1097.1890000000001</v>
      </c>
    </row>
    <row r="56" spans="1:14" x14ac:dyDescent="0.25">
      <c r="A56" t="s">
        <v>207</v>
      </c>
      <c r="B56" t="s">
        <v>40</v>
      </c>
      <c r="C56" t="s">
        <v>14</v>
      </c>
      <c r="E56" s="4" t="s">
        <v>2139</v>
      </c>
      <c r="F56" s="4" t="s">
        <v>2142</v>
      </c>
      <c r="G56" t="s">
        <v>30</v>
      </c>
      <c r="H56" s="1">
        <v>44509</v>
      </c>
      <c r="I56" s="4">
        <v>115746.6</v>
      </c>
      <c r="J56" t="s">
        <v>59</v>
      </c>
      <c r="K56">
        <v>-6024375737</v>
      </c>
      <c r="L56" t="s">
        <v>25</v>
      </c>
      <c r="M56" t="b">
        <v>1</v>
      </c>
      <c r="N56">
        <v>11574.660000000002</v>
      </c>
    </row>
    <row r="57" spans="1:14" x14ac:dyDescent="0.25">
      <c r="A57" t="s">
        <v>209</v>
      </c>
      <c r="B57" t="s">
        <v>35</v>
      </c>
      <c r="C57" t="s">
        <v>21</v>
      </c>
      <c r="D57">
        <v>30</v>
      </c>
      <c r="E57" s="4" t="s">
        <v>2145</v>
      </c>
      <c r="F57" s="4" t="s">
        <v>2138</v>
      </c>
      <c r="G57" t="s">
        <v>16</v>
      </c>
      <c r="H57" s="1">
        <v>44053</v>
      </c>
      <c r="I57" s="4">
        <v>91759.99</v>
      </c>
      <c r="J57" t="s">
        <v>183</v>
      </c>
      <c r="K57">
        <v>-3959724664</v>
      </c>
      <c r="L57" t="s">
        <v>25</v>
      </c>
      <c r="M57" t="b">
        <v>1</v>
      </c>
      <c r="N57">
        <v>9175.9990000000016</v>
      </c>
    </row>
    <row r="58" spans="1:14" x14ac:dyDescent="0.25">
      <c r="A58" t="s">
        <v>212</v>
      </c>
      <c r="B58" t="s">
        <v>40</v>
      </c>
      <c r="C58" t="s">
        <v>47</v>
      </c>
      <c r="D58">
        <v>40</v>
      </c>
      <c r="E58" s="4" t="s">
        <v>2145</v>
      </c>
      <c r="F58" s="4" t="s">
        <v>2148</v>
      </c>
      <c r="G58" t="s">
        <v>16</v>
      </c>
      <c r="H58" s="1">
        <v>44619</v>
      </c>
      <c r="I58" s="4">
        <v>112965.33</v>
      </c>
      <c r="J58" t="s">
        <v>214</v>
      </c>
      <c r="K58">
        <v>-7293417222</v>
      </c>
      <c r="L58" t="s">
        <v>33</v>
      </c>
      <c r="M58" t="b">
        <v>0</v>
      </c>
      <c r="N58">
        <v>5648.2665000000006</v>
      </c>
    </row>
    <row r="59" spans="1:14" x14ac:dyDescent="0.25">
      <c r="A59" t="s">
        <v>215</v>
      </c>
      <c r="B59" t="s">
        <v>27</v>
      </c>
      <c r="C59" t="s">
        <v>142</v>
      </c>
      <c r="D59">
        <v>40</v>
      </c>
      <c r="E59" s="4" t="s">
        <v>2143</v>
      </c>
      <c r="F59" s="4" t="s">
        <v>2148</v>
      </c>
      <c r="G59" t="s">
        <v>30</v>
      </c>
      <c r="H59" s="1">
        <v>45237</v>
      </c>
      <c r="I59" s="4">
        <v>100360.1</v>
      </c>
      <c r="J59" t="s">
        <v>217</v>
      </c>
      <c r="K59">
        <v>-2971674337</v>
      </c>
      <c r="L59" t="s">
        <v>25</v>
      </c>
      <c r="M59" t="b">
        <v>0</v>
      </c>
      <c r="N59">
        <v>10036.010000000002</v>
      </c>
    </row>
    <row r="60" spans="1:14" x14ac:dyDescent="0.25">
      <c r="A60" t="s">
        <v>218</v>
      </c>
      <c r="B60" t="s">
        <v>67</v>
      </c>
      <c r="C60" t="s">
        <v>41</v>
      </c>
      <c r="D60">
        <v>35</v>
      </c>
      <c r="E60" s="4" t="s">
        <v>2139</v>
      </c>
      <c r="F60" s="4" t="s">
        <v>2140</v>
      </c>
      <c r="G60" t="s">
        <v>30</v>
      </c>
      <c r="H60" s="1">
        <v>44507</v>
      </c>
      <c r="I60" s="4">
        <v>93620.88</v>
      </c>
      <c r="J60" t="s">
        <v>70</v>
      </c>
      <c r="K60">
        <v>-54522800</v>
      </c>
      <c r="L60" t="s">
        <v>33</v>
      </c>
      <c r="M60" t="b">
        <v>0</v>
      </c>
      <c r="N60">
        <v>4681.0440000000008</v>
      </c>
    </row>
    <row r="61" spans="1:14" x14ac:dyDescent="0.25">
      <c r="A61" t="s">
        <v>220</v>
      </c>
      <c r="B61" t="s">
        <v>13</v>
      </c>
      <c r="C61" t="s">
        <v>28</v>
      </c>
      <c r="D61">
        <v>35</v>
      </c>
      <c r="E61" s="4" t="s">
        <v>2145</v>
      </c>
      <c r="F61" s="4" t="s">
        <v>2138</v>
      </c>
      <c r="G61" t="s">
        <v>30</v>
      </c>
      <c r="H61" s="1">
        <v>44667</v>
      </c>
      <c r="I61" s="4">
        <v>72832.800000000003</v>
      </c>
      <c r="J61" t="s">
        <v>56</v>
      </c>
      <c r="K61">
        <v>-5619318373</v>
      </c>
      <c r="L61" t="s">
        <v>25</v>
      </c>
      <c r="M61" t="b">
        <v>1</v>
      </c>
      <c r="N61">
        <v>7283.2800000000007</v>
      </c>
    </row>
    <row r="62" spans="1:14" x14ac:dyDescent="0.25">
      <c r="A62" t="s">
        <v>222</v>
      </c>
      <c r="B62" t="s">
        <v>61</v>
      </c>
      <c r="C62" t="s">
        <v>41</v>
      </c>
      <c r="D62">
        <v>30</v>
      </c>
      <c r="E62" s="4" t="s">
        <v>2139</v>
      </c>
      <c r="F62" s="4" t="s">
        <v>2142</v>
      </c>
      <c r="G62" t="s">
        <v>36</v>
      </c>
      <c r="H62" s="1">
        <v>45218</v>
      </c>
      <c r="I62" s="4">
        <v>102369.42</v>
      </c>
      <c r="J62" t="s">
        <v>104</v>
      </c>
      <c r="K62">
        <v>-5508428909</v>
      </c>
      <c r="L62" t="s">
        <v>19</v>
      </c>
      <c r="M62" t="b">
        <v>1</v>
      </c>
      <c r="N62">
        <v>2047.3884</v>
      </c>
    </row>
    <row r="63" spans="1:14" x14ac:dyDescent="0.25">
      <c r="A63" t="s">
        <v>224</v>
      </c>
      <c r="B63" t="s">
        <v>35</v>
      </c>
      <c r="C63" t="s">
        <v>14</v>
      </c>
      <c r="D63">
        <v>40</v>
      </c>
      <c r="E63" s="4" t="s">
        <v>2145</v>
      </c>
      <c r="F63" s="4" t="s">
        <v>2140</v>
      </c>
      <c r="G63" t="s">
        <v>36</v>
      </c>
      <c r="H63" s="1">
        <v>44418</v>
      </c>
      <c r="I63" s="4">
        <v>64712.79</v>
      </c>
      <c r="J63" t="s">
        <v>38</v>
      </c>
      <c r="K63">
        <v>-7711991807</v>
      </c>
      <c r="L63" t="s">
        <v>25</v>
      </c>
      <c r="M63" t="b">
        <v>1</v>
      </c>
      <c r="N63">
        <v>6471.2790000000005</v>
      </c>
    </row>
    <row r="64" spans="1:14" x14ac:dyDescent="0.25">
      <c r="A64" t="s">
        <v>226</v>
      </c>
      <c r="B64" t="s">
        <v>40</v>
      </c>
      <c r="C64" t="s">
        <v>28</v>
      </c>
      <c r="D64">
        <v>40</v>
      </c>
      <c r="E64" s="4" t="s">
        <v>2139</v>
      </c>
      <c r="F64" s="4" t="s">
        <v>2144</v>
      </c>
      <c r="G64" t="s">
        <v>30</v>
      </c>
      <c r="H64" s="1">
        <v>44268</v>
      </c>
      <c r="I64" s="4">
        <v>85782.18</v>
      </c>
      <c r="J64" t="s">
        <v>53</v>
      </c>
      <c r="K64">
        <v>-1213524786</v>
      </c>
      <c r="L64" t="s">
        <v>25</v>
      </c>
      <c r="M64" t="b">
        <v>1</v>
      </c>
      <c r="N64">
        <v>8578.2179999999989</v>
      </c>
    </row>
    <row r="65" spans="1:14" x14ac:dyDescent="0.25">
      <c r="A65" t="s">
        <v>228</v>
      </c>
      <c r="B65" t="s">
        <v>61</v>
      </c>
      <c r="C65" t="s">
        <v>142</v>
      </c>
      <c r="D65">
        <v>25</v>
      </c>
      <c r="E65" s="4" t="s">
        <v>2147</v>
      </c>
      <c r="F65" s="4" t="s">
        <v>2148</v>
      </c>
      <c r="G65" t="s">
        <v>30</v>
      </c>
      <c r="H65" s="1">
        <v>45127</v>
      </c>
      <c r="I65" s="4">
        <v>93348.26</v>
      </c>
      <c r="J65" t="s">
        <v>231</v>
      </c>
      <c r="K65">
        <v>-1255213759</v>
      </c>
      <c r="L65" t="s">
        <v>45</v>
      </c>
      <c r="M65" t="b">
        <v>0</v>
      </c>
      <c r="N65">
        <v>0</v>
      </c>
    </row>
    <row r="66" spans="1:14" x14ac:dyDescent="0.25">
      <c r="A66" t="s">
        <v>232</v>
      </c>
      <c r="B66" t="s">
        <v>67</v>
      </c>
      <c r="C66" t="s">
        <v>14</v>
      </c>
      <c r="D66">
        <v>35</v>
      </c>
      <c r="E66" s="4" t="s">
        <v>2141</v>
      </c>
      <c r="F66" s="4" t="s">
        <v>2146</v>
      </c>
      <c r="G66" t="s">
        <v>16</v>
      </c>
      <c r="H66" s="1">
        <v>43881</v>
      </c>
      <c r="I66" s="4">
        <v>53234.96</v>
      </c>
      <c r="J66" t="s">
        <v>73</v>
      </c>
      <c r="K66">
        <v>-3754821455</v>
      </c>
      <c r="L66" t="s">
        <v>33</v>
      </c>
      <c r="M66" t="b">
        <v>0</v>
      </c>
      <c r="N66">
        <v>2661.748</v>
      </c>
    </row>
    <row r="67" spans="1:14" x14ac:dyDescent="0.25">
      <c r="A67" t="s">
        <v>235</v>
      </c>
      <c r="B67" t="s">
        <v>13</v>
      </c>
      <c r="C67" t="s">
        <v>62</v>
      </c>
      <c r="D67">
        <v>40</v>
      </c>
      <c r="E67" s="4" t="s">
        <v>2139</v>
      </c>
      <c r="F67" s="4" t="s">
        <v>2142</v>
      </c>
      <c r="G67" t="s">
        <v>30</v>
      </c>
      <c r="H67" s="1">
        <v>44229</v>
      </c>
      <c r="I67" s="4">
        <v>100284.21</v>
      </c>
      <c r="J67" t="s">
        <v>237</v>
      </c>
      <c r="K67">
        <v>-5328632665</v>
      </c>
      <c r="L67" t="s">
        <v>25</v>
      </c>
      <c r="M67" t="b">
        <v>0</v>
      </c>
      <c r="N67">
        <v>10028.421000000002</v>
      </c>
    </row>
    <row r="68" spans="1:14" x14ac:dyDescent="0.25">
      <c r="A68" t="s">
        <v>238</v>
      </c>
      <c r="B68" t="s">
        <v>80</v>
      </c>
      <c r="C68" t="s">
        <v>21</v>
      </c>
      <c r="D68">
        <v>30</v>
      </c>
      <c r="E68" s="4" t="s">
        <v>2141</v>
      </c>
      <c r="F68" s="4" t="s">
        <v>2142</v>
      </c>
      <c r="G68" t="s">
        <v>30</v>
      </c>
      <c r="H68" s="1">
        <v>43842</v>
      </c>
      <c r="I68" s="4">
        <v>112486.19</v>
      </c>
      <c r="J68" t="s">
        <v>240</v>
      </c>
      <c r="K68">
        <v>-7850720810</v>
      </c>
      <c r="L68" t="s">
        <v>25</v>
      </c>
      <c r="M68" t="b">
        <v>1</v>
      </c>
      <c r="N68">
        <v>11248.619000000001</v>
      </c>
    </row>
    <row r="69" spans="1:14" x14ac:dyDescent="0.25">
      <c r="A69" t="s">
        <v>241</v>
      </c>
      <c r="B69" t="s">
        <v>13</v>
      </c>
      <c r="C69" t="s">
        <v>142</v>
      </c>
      <c r="D69">
        <v>40</v>
      </c>
      <c r="E69" s="4" t="s">
        <v>2141</v>
      </c>
      <c r="F69" s="4" t="s">
        <v>2146</v>
      </c>
      <c r="G69" t="s">
        <v>30</v>
      </c>
      <c r="H69" s="1">
        <v>44891</v>
      </c>
      <c r="I69" s="4">
        <v>82518.490000000005</v>
      </c>
      <c r="J69" t="s">
        <v>144</v>
      </c>
      <c r="K69">
        <v>-5562606028</v>
      </c>
      <c r="L69" t="s">
        <v>45</v>
      </c>
      <c r="M69" t="b">
        <v>1</v>
      </c>
      <c r="N69">
        <v>0</v>
      </c>
    </row>
    <row r="70" spans="1:14" x14ac:dyDescent="0.25">
      <c r="A70" t="s">
        <v>243</v>
      </c>
      <c r="B70" t="s">
        <v>13</v>
      </c>
      <c r="C70" t="s">
        <v>21</v>
      </c>
      <c r="D70">
        <v>40</v>
      </c>
      <c r="E70" s="4" t="s">
        <v>2141</v>
      </c>
      <c r="F70" s="4" t="s">
        <v>2144</v>
      </c>
      <c r="G70" t="s">
        <v>30</v>
      </c>
      <c r="H70" s="1">
        <v>44918</v>
      </c>
      <c r="I70" s="4">
        <v>119152.47</v>
      </c>
      <c r="J70" t="s">
        <v>24</v>
      </c>
      <c r="K70">
        <v>-846684549</v>
      </c>
      <c r="L70" t="s">
        <v>45</v>
      </c>
      <c r="M70" t="b">
        <v>1</v>
      </c>
      <c r="N70">
        <v>0</v>
      </c>
    </row>
    <row r="71" spans="1:14" x14ac:dyDescent="0.25">
      <c r="A71" t="s">
        <v>246</v>
      </c>
      <c r="B71" t="s">
        <v>75</v>
      </c>
      <c r="C71" t="s">
        <v>106</v>
      </c>
      <c r="E71" s="4" t="s">
        <v>2137</v>
      </c>
      <c r="F71" s="4" t="s">
        <v>2148</v>
      </c>
      <c r="G71" t="s">
        <v>36</v>
      </c>
      <c r="H71" s="1">
        <v>45532</v>
      </c>
      <c r="I71" s="4">
        <v>113479.83</v>
      </c>
      <c r="J71" t="s">
        <v>153</v>
      </c>
      <c r="K71">
        <v>-4892673898</v>
      </c>
      <c r="L71" t="s">
        <v>33</v>
      </c>
      <c r="M71" t="b">
        <v>0</v>
      </c>
      <c r="N71">
        <v>5673.9915000000001</v>
      </c>
    </row>
    <row r="72" spans="1:14" x14ac:dyDescent="0.25">
      <c r="A72" t="s">
        <v>248</v>
      </c>
      <c r="B72" t="s">
        <v>61</v>
      </c>
      <c r="C72" t="s">
        <v>62</v>
      </c>
      <c r="D72">
        <v>40</v>
      </c>
      <c r="E72" s="4" t="s">
        <v>2139</v>
      </c>
      <c r="F72" s="4" t="s">
        <v>2138</v>
      </c>
      <c r="G72" t="s">
        <v>16</v>
      </c>
      <c r="H72" s="1">
        <v>45551</v>
      </c>
      <c r="I72" s="4">
        <v>94636.3</v>
      </c>
      <c r="J72" t="s">
        <v>65</v>
      </c>
      <c r="K72">
        <v>-7563410855</v>
      </c>
      <c r="L72" t="s">
        <v>45</v>
      </c>
      <c r="M72" t="b">
        <v>0</v>
      </c>
      <c r="N72">
        <v>0</v>
      </c>
    </row>
    <row r="73" spans="1:14" x14ac:dyDescent="0.25">
      <c r="A73" t="s">
        <v>250</v>
      </c>
      <c r="B73" t="s">
        <v>75</v>
      </c>
      <c r="C73" t="s">
        <v>62</v>
      </c>
      <c r="D73">
        <v>30</v>
      </c>
      <c r="E73" s="4" t="s">
        <v>2147</v>
      </c>
      <c r="F73" s="4" t="s">
        <v>2144</v>
      </c>
      <c r="G73" t="s">
        <v>16</v>
      </c>
      <c r="H73" s="1">
        <v>45292</v>
      </c>
      <c r="I73" s="4">
        <v>70000.97</v>
      </c>
      <c r="J73" t="s">
        <v>132</v>
      </c>
      <c r="K73">
        <v>-2884318847</v>
      </c>
      <c r="L73" t="s">
        <v>19</v>
      </c>
      <c r="M73" t="b">
        <v>1</v>
      </c>
      <c r="N73">
        <v>1400.0194000000001</v>
      </c>
    </row>
    <row r="74" spans="1:14" x14ac:dyDescent="0.25">
      <c r="A74" t="s">
        <v>253</v>
      </c>
      <c r="B74" t="s">
        <v>40</v>
      </c>
      <c r="C74" t="s">
        <v>142</v>
      </c>
      <c r="E74" s="4" t="s">
        <v>2143</v>
      </c>
      <c r="F74" s="4" t="s">
        <v>2146</v>
      </c>
      <c r="G74" t="s">
        <v>16</v>
      </c>
      <c r="H74" s="1">
        <v>44304</v>
      </c>
      <c r="I74" s="4">
        <v>76812.47</v>
      </c>
      <c r="J74" t="s">
        <v>163</v>
      </c>
      <c r="K74">
        <v>-5200894345</v>
      </c>
      <c r="L74" t="s">
        <v>45</v>
      </c>
      <c r="M74" t="b">
        <v>0</v>
      </c>
      <c r="N74">
        <v>0</v>
      </c>
    </row>
    <row r="75" spans="1:14" x14ac:dyDescent="0.25">
      <c r="A75" t="s">
        <v>255</v>
      </c>
      <c r="B75" t="s">
        <v>67</v>
      </c>
      <c r="C75" t="s">
        <v>62</v>
      </c>
      <c r="D75">
        <v>25</v>
      </c>
      <c r="E75" s="4" t="s">
        <v>2139</v>
      </c>
      <c r="F75" s="4" t="s">
        <v>2144</v>
      </c>
      <c r="G75" t="s">
        <v>36</v>
      </c>
      <c r="H75" s="1">
        <v>44942</v>
      </c>
      <c r="I75" s="4">
        <v>82614.7</v>
      </c>
      <c r="J75" t="s">
        <v>257</v>
      </c>
      <c r="K75">
        <v>-8105485100</v>
      </c>
      <c r="L75" t="s">
        <v>19</v>
      </c>
      <c r="M75" t="b">
        <v>1</v>
      </c>
      <c r="N75">
        <v>1652.2939999999999</v>
      </c>
    </row>
    <row r="76" spans="1:14" x14ac:dyDescent="0.25">
      <c r="A76" t="s">
        <v>258</v>
      </c>
      <c r="B76" t="s">
        <v>80</v>
      </c>
      <c r="C76" t="s">
        <v>28</v>
      </c>
      <c r="D76">
        <v>40</v>
      </c>
      <c r="E76" s="4" t="s">
        <v>2145</v>
      </c>
      <c r="F76" s="4" t="s">
        <v>2142</v>
      </c>
      <c r="G76" t="s">
        <v>16</v>
      </c>
      <c r="H76" s="1">
        <v>45585</v>
      </c>
      <c r="I76" s="4">
        <v>111645.97</v>
      </c>
      <c r="J76" t="s">
        <v>89</v>
      </c>
      <c r="K76">
        <v>-7490753997</v>
      </c>
      <c r="L76" t="s">
        <v>33</v>
      </c>
      <c r="M76" t="b">
        <v>1</v>
      </c>
      <c r="N76">
        <v>5582.2985000000008</v>
      </c>
    </row>
    <row r="77" spans="1:14" x14ac:dyDescent="0.25">
      <c r="A77" t="s">
        <v>261</v>
      </c>
      <c r="B77" t="s">
        <v>75</v>
      </c>
      <c r="C77" t="s">
        <v>62</v>
      </c>
      <c r="D77">
        <v>25</v>
      </c>
      <c r="E77" s="4" t="s">
        <v>2147</v>
      </c>
      <c r="F77" s="4" t="s">
        <v>2138</v>
      </c>
      <c r="G77" t="s">
        <v>36</v>
      </c>
      <c r="H77" s="1">
        <v>45578</v>
      </c>
      <c r="I77" s="4">
        <v>112414.91</v>
      </c>
      <c r="J77" t="s">
        <v>132</v>
      </c>
      <c r="K77">
        <v>-9354492682</v>
      </c>
      <c r="L77" t="s">
        <v>33</v>
      </c>
      <c r="M77" t="b">
        <v>0</v>
      </c>
      <c r="N77">
        <v>5620.7455000000009</v>
      </c>
    </row>
    <row r="78" spans="1:14" x14ac:dyDescent="0.25">
      <c r="A78" t="s">
        <v>263</v>
      </c>
      <c r="B78" t="s">
        <v>67</v>
      </c>
      <c r="C78" t="s">
        <v>21</v>
      </c>
      <c r="D78">
        <v>40</v>
      </c>
      <c r="E78" s="4" t="s">
        <v>2141</v>
      </c>
      <c r="F78" s="4" t="s">
        <v>2138</v>
      </c>
      <c r="G78" t="s">
        <v>36</v>
      </c>
      <c r="H78" s="1">
        <v>44825</v>
      </c>
      <c r="I78" s="4">
        <v>52031.74</v>
      </c>
      <c r="J78" t="s">
        <v>265</v>
      </c>
      <c r="K78">
        <v>-1589357125</v>
      </c>
      <c r="L78" t="s">
        <v>33</v>
      </c>
      <c r="M78" t="b">
        <v>1</v>
      </c>
      <c r="N78">
        <v>2601.587</v>
      </c>
    </row>
    <row r="79" spans="1:14" x14ac:dyDescent="0.25">
      <c r="A79" t="s">
        <v>266</v>
      </c>
      <c r="B79" t="s">
        <v>80</v>
      </c>
      <c r="C79" t="s">
        <v>21</v>
      </c>
      <c r="D79">
        <v>30</v>
      </c>
      <c r="E79" s="4" t="s">
        <v>2139</v>
      </c>
      <c r="F79" s="4" t="s">
        <v>2146</v>
      </c>
      <c r="G79" t="s">
        <v>30</v>
      </c>
      <c r="H79" s="1">
        <v>44924</v>
      </c>
      <c r="I79" s="4">
        <v>51887.65</v>
      </c>
      <c r="J79" t="s">
        <v>240</v>
      </c>
      <c r="K79">
        <v>-6110627370</v>
      </c>
      <c r="L79" t="s">
        <v>33</v>
      </c>
      <c r="M79" t="b">
        <v>0</v>
      </c>
      <c r="N79">
        <v>2594.3825000000002</v>
      </c>
    </row>
    <row r="80" spans="1:14" x14ac:dyDescent="0.25">
      <c r="A80" t="s">
        <v>269</v>
      </c>
      <c r="B80" t="s">
        <v>27</v>
      </c>
      <c r="C80" t="s">
        <v>14</v>
      </c>
      <c r="D80">
        <v>25</v>
      </c>
      <c r="E80" s="4" t="s">
        <v>2137</v>
      </c>
      <c r="F80" s="4" t="s">
        <v>2144</v>
      </c>
      <c r="G80" t="s">
        <v>16</v>
      </c>
      <c r="H80" s="1">
        <v>45606</v>
      </c>
      <c r="I80" s="4">
        <v>82318.89</v>
      </c>
      <c r="J80" t="s">
        <v>191</v>
      </c>
      <c r="K80">
        <v>-5869886496</v>
      </c>
      <c r="L80" t="s">
        <v>33</v>
      </c>
      <c r="M80" t="b">
        <v>1</v>
      </c>
      <c r="N80">
        <v>4115.9445000000005</v>
      </c>
    </row>
    <row r="81" spans="1:14" x14ac:dyDescent="0.25">
      <c r="A81" t="s">
        <v>272</v>
      </c>
      <c r="B81" t="s">
        <v>80</v>
      </c>
      <c r="C81" t="s">
        <v>21</v>
      </c>
      <c r="D81">
        <v>35</v>
      </c>
      <c r="E81" s="4" t="s">
        <v>2141</v>
      </c>
      <c r="F81" s="4" t="s">
        <v>2144</v>
      </c>
      <c r="G81" t="s">
        <v>36</v>
      </c>
      <c r="H81" s="1">
        <v>44522</v>
      </c>
      <c r="I81" s="4">
        <v>103286.08</v>
      </c>
      <c r="J81" t="s">
        <v>240</v>
      </c>
      <c r="K81">
        <v>-6776228276</v>
      </c>
      <c r="L81" t="s">
        <v>19</v>
      </c>
      <c r="M81" t="b">
        <v>0</v>
      </c>
      <c r="N81">
        <v>2065.7215999999999</v>
      </c>
    </row>
    <row r="82" spans="1:14" x14ac:dyDescent="0.25">
      <c r="A82" t="s">
        <v>274</v>
      </c>
      <c r="B82" t="s">
        <v>80</v>
      </c>
      <c r="C82" t="s">
        <v>14</v>
      </c>
      <c r="D82">
        <v>35</v>
      </c>
      <c r="E82" s="4" t="s">
        <v>2143</v>
      </c>
      <c r="F82" s="4" t="s">
        <v>2144</v>
      </c>
      <c r="G82" t="s">
        <v>16</v>
      </c>
      <c r="H82" s="1">
        <v>45365</v>
      </c>
      <c r="I82" s="4">
        <v>87759.33</v>
      </c>
      <c r="J82" t="s">
        <v>276</v>
      </c>
      <c r="K82">
        <v>-2881377027</v>
      </c>
      <c r="L82" t="s">
        <v>19</v>
      </c>
      <c r="M82" t="b">
        <v>0</v>
      </c>
      <c r="N82">
        <v>1755.1866</v>
      </c>
    </row>
    <row r="83" spans="1:14" x14ac:dyDescent="0.25">
      <c r="A83" t="s">
        <v>277</v>
      </c>
      <c r="B83" t="s">
        <v>40</v>
      </c>
      <c r="C83" t="s">
        <v>21</v>
      </c>
      <c r="D83">
        <v>30</v>
      </c>
      <c r="E83" s="4" t="s">
        <v>2137</v>
      </c>
      <c r="F83" s="4" t="s">
        <v>2140</v>
      </c>
      <c r="G83" t="s">
        <v>30</v>
      </c>
      <c r="H83" s="1">
        <v>43913</v>
      </c>
      <c r="I83" s="4">
        <v>102796.32</v>
      </c>
      <c r="J83" t="s">
        <v>280</v>
      </c>
      <c r="K83">
        <v>-5196115939</v>
      </c>
      <c r="L83" t="s">
        <v>33</v>
      </c>
      <c r="M83" t="b">
        <v>0</v>
      </c>
      <c r="N83">
        <v>5139.8160000000007</v>
      </c>
    </row>
    <row r="84" spans="1:14" x14ac:dyDescent="0.25">
      <c r="A84" t="s">
        <v>281</v>
      </c>
      <c r="B84" t="s">
        <v>67</v>
      </c>
      <c r="C84" t="s">
        <v>28</v>
      </c>
      <c r="D84">
        <v>25</v>
      </c>
      <c r="E84" s="4" t="s">
        <v>2145</v>
      </c>
      <c r="F84" s="4" t="s">
        <v>2146</v>
      </c>
      <c r="G84" t="s">
        <v>16</v>
      </c>
      <c r="H84" s="1">
        <v>44089</v>
      </c>
      <c r="I84" s="4">
        <v>83149.27</v>
      </c>
      <c r="J84" t="s">
        <v>283</v>
      </c>
      <c r="K84">
        <v>-8215454469</v>
      </c>
      <c r="L84" t="s">
        <v>45</v>
      </c>
      <c r="M84" t="b">
        <v>1</v>
      </c>
      <c r="N84">
        <v>0</v>
      </c>
    </row>
    <row r="85" spans="1:14" x14ac:dyDescent="0.25">
      <c r="A85" t="s">
        <v>284</v>
      </c>
      <c r="B85" t="s">
        <v>67</v>
      </c>
      <c r="C85" t="s">
        <v>47</v>
      </c>
      <c r="D85">
        <v>40</v>
      </c>
      <c r="E85" s="4" t="s">
        <v>2137</v>
      </c>
      <c r="F85" s="4" t="s">
        <v>2138</v>
      </c>
      <c r="G85" t="s">
        <v>36</v>
      </c>
      <c r="H85" s="1">
        <v>44174</v>
      </c>
      <c r="I85" s="4">
        <v>92412.49</v>
      </c>
      <c r="J85" t="s">
        <v>118</v>
      </c>
      <c r="K85">
        <v>-2296044326</v>
      </c>
      <c r="L85" t="s">
        <v>25</v>
      </c>
      <c r="M85" t="b">
        <v>1</v>
      </c>
      <c r="N85">
        <v>9241.2490000000016</v>
      </c>
    </row>
    <row r="86" spans="1:14" x14ac:dyDescent="0.25">
      <c r="A86" t="s">
        <v>286</v>
      </c>
      <c r="B86" t="s">
        <v>13</v>
      </c>
      <c r="C86" t="s">
        <v>14</v>
      </c>
      <c r="D86">
        <v>30</v>
      </c>
      <c r="E86" s="4" t="s">
        <v>2147</v>
      </c>
      <c r="F86" s="4" t="s">
        <v>2140</v>
      </c>
      <c r="G86" t="s">
        <v>30</v>
      </c>
      <c r="H86" s="1">
        <v>43883</v>
      </c>
      <c r="I86" s="4">
        <v>115022.1</v>
      </c>
      <c r="J86" t="s">
        <v>18</v>
      </c>
      <c r="K86">
        <v>-185106793</v>
      </c>
      <c r="L86" t="s">
        <v>33</v>
      </c>
      <c r="M86" t="b">
        <v>0</v>
      </c>
      <c r="N86">
        <v>5751.1050000000005</v>
      </c>
    </row>
    <row r="87" spans="1:14" x14ac:dyDescent="0.25">
      <c r="A87" t="s">
        <v>288</v>
      </c>
      <c r="B87" t="s">
        <v>80</v>
      </c>
      <c r="C87" t="s">
        <v>41</v>
      </c>
      <c r="D87">
        <v>40</v>
      </c>
      <c r="E87" s="4" t="s">
        <v>2137</v>
      </c>
      <c r="F87" s="4" t="s">
        <v>2146</v>
      </c>
      <c r="G87" t="s">
        <v>16</v>
      </c>
      <c r="H87" s="1">
        <v>45043</v>
      </c>
      <c r="I87" s="4">
        <v>98343.01</v>
      </c>
      <c r="J87" t="s">
        <v>83</v>
      </c>
      <c r="K87">
        <v>-9756792286</v>
      </c>
      <c r="L87" t="s">
        <v>45</v>
      </c>
      <c r="M87" t="b">
        <v>0</v>
      </c>
      <c r="N87">
        <v>0</v>
      </c>
    </row>
    <row r="88" spans="1:14" x14ac:dyDescent="0.25">
      <c r="A88" t="s">
        <v>290</v>
      </c>
      <c r="B88" t="s">
        <v>13</v>
      </c>
      <c r="C88" t="s">
        <v>106</v>
      </c>
      <c r="D88">
        <v>35</v>
      </c>
      <c r="E88" s="4" t="s">
        <v>2137</v>
      </c>
      <c r="F88" s="4" t="s">
        <v>2148</v>
      </c>
      <c r="G88" t="s">
        <v>16</v>
      </c>
      <c r="H88" s="1">
        <v>45461</v>
      </c>
      <c r="I88" s="4">
        <v>118869.1</v>
      </c>
      <c r="J88" t="s">
        <v>108</v>
      </c>
      <c r="K88">
        <v>-7725199662</v>
      </c>
      <c r="L88" t="s">
        <v>25</v>
      </c>
      <c r="M88" t="b">
        <v>1</v>
      </c>
      <c r="N88">
        <v>11886.910000000002</v>
      </c>
    </row>
    <row r="89" spans="1:14" x14ac:dyDescent="0.25">
      <c r="A89" t="s">
        <v>292</v>
      </c>
      <c r="B89" t="s">
        <v>40</v>
      </c>
      <c r="C89" t="s">
        <v>142</v>
      </c>
      <c r="E89" s="4" t="s">
        <v>2139</v>
      </c>
      <c r="F89" s="4" t="s">
        <v>2142</v>
      </c>
      <c r="G89" t="s">
        <v>36</v>
      </c>
      <c r="H89" s="1">
        <v>43972</v>
      </c>
      <c r="I89" s="4">
        <v>85417.26</v>
      </c>
      <c r="J89" t="s">
        <v>163</v>
      </c>
      <c r="K89">
        <v>-6580741208</v>
      </c>
      <c r="L89" t="s">
        <v>33</v>
      </c>
      <c r="M89" t="b">
        <v>1</v>
      </c>
      <c r="N89">
        <v>4270.8630000000003</v>
      </c>
    </row>
    <row r="90" spans="1:14" x14ac:dyDescent="0.25">
      <c r="A90" t="s">
        <v>294</v>
      </c>
      <c r="B90" t="s">
        <v>80</v>
      </c>
      <c r="C90" t="s">
        <v>21</v>
      </c>
      <c r="D90">
        <v>40</v>
      </c>
      <c r="E90" s="4" t="s">
        <v>2143</v>
      </c>
      <c r="F90" s="4" t="s">
        <v>2144</v>
      </c>
      <c r="G90" t="s">
        <v>36</v>
      </c>
      <c r="H90" s="1">
        <v>45132</v>
      </c>
      <c r="I90" s="4">
        <v>112410.25</v>
      </c>
      <c r="J90" t="s">
        <v>240</v>
      </c>
      <c r="K90">
        <v>-4818139889</v>
      </c>
      <c r="L90" t="s">
        <v>33</v>
      </c>
      <c r="M90" t="b">
        <v>1</v>
      </c>
      <c r="N90">
        <v>5620.5125000000007</v>
      </c>
    </row>
    <row r="91" spans="1:14" x14ac:dyDescent="0.25">
      <c r="A91" t="s">
        <v>296</v>
      </c>
      <c r="B91" t="s">
        <v>61</v>
      </c>
      <c r="C91" t="s">
        <v>62</v>
      </c>
      <c r="D91">
        <v>40</v>
      </c>
      <c r="E91" s="4" t="s">
        <v>2141</v>
      </c>
      <c r="F91" s="4" t="s">
        <v>2142</v>
      </c>
      <c r="G91" t="s">
        <v>30</v>
      </c>
      <c r="H91" s="1">
        <v>45163</v>
      </c>
      <c r="I91" s="4">
        <v>68905.77</v>
      </c>
      <c r="J91" t="s">
        <v>65</v>
      </c>
      <c r="K91">
        <v>-9837801819</v>
      </c>
      <c r="L91" t="s">
        <v>19</v>
      </c>
      <c r="M91" t="b">
        <v>0</v>
      </c>
      <c r="N91">
        <v>1378.1154000000001</v>
      </c>
    </row>
    <row r="92" spans="1:14" x14ac:dyDescent="0.25">
      <c r="A92" t="s">
        <v>298</v>
      </c>
      <c r="B92" t="s">
        <v>75</v>
      </c>
      <c r="C92" t="s">
        <v>47</v>
      </c>
      <c r="D92">
        <v>40</v>
      </c>
      <c r="E92" s="4" t="s">
        <v>2139</v>
      </c>
      <c r="F92" s="4" t="s">
        <v>2142</v>
      </c>
      <c r="G92" t="s">
        <v>30</v>
      </c>
      <c r="H92" s="1">
        <v>44380</v>
      </c>
      <c r="I92" s="4">
        <v>72561.320000000007</v>
      </c>
      <c r="J92" t="s">
        <v>300</v>
      </c>
      <c r="K92">
        <v>-4339718955</v>
      </c>
      <c r="L92" t="s">
        <v>25</v>
      </c>
      <c r="M92" t="b">
        <v>1</v>
      </c>
      <c r="N92">
        <v>7256.1320000000014</v>
      </c>
    </row>
    <row r="93" spans="1:14" x14ac:dyDescent="0.25">
      <c r="A93" t="s">
        <v>301</v>
      </c>
      <c r="B93" t="s">
        <v>13</v>
      </c>
      <c r="C93" t="s">
        <v>21</v>
      </c>
      <c r="D93">
        <v>35</v>
      </c>
      <c r="E93" s="4" t="s">
        <v>2139</v>
      </c>
      <c r="F93" s="4" t="s">
        <v>2146</v>
      </c>
      <c r="G93" t="s">
        <v>36</v>
      </c>
      <c r="H93" s="1">
        <v>44998</v>
      </c>
      <c r="I93" s="4">
        <v>92723.22</v>
      </c>
      <c r="J93" t="s">
        <v>24</v>
      </c>
      <c r="K93">
        <v>-9070562607</v>
      </c>
      <c r="L93" t="s">
        <v>25</v>
      </c>
      <c r="M93" t="b">
        <v>1</v>
      </c>
      <c r="N93">
        <v>9272.3220000000001</v>
      </c>
    </row>
    <row r="94" spans="1:14" x14ac:dyDescent="0.25">
      <c r="A94" t="s">
        <v>303</v>
      </c>
      <c r="B94" t="s">
        <v>27</v>
      </c>
      <c r="C94" t="s">
        <v>62</v>
      </c>
      <c r="D94">
        <v>40</v>
      </c>
      <c r="E94" s="4" t="s">
        <v>2147</v>
      </c>
      <c r="F94" s="4" t="s">
        <v>2146</v>
      </c>
      <c r="G94" t="s">
        <v>36</v>
      </c>
      <c r="H94" s="1">
        <v>44265</v>
      </c>
      <c r="I94" s="4">
        <v>74837.75</v>
      </c>
      <c r="J94" t="s">
        <v>177</v>
      </c>
      <c r="K94">
        <v>-5641118241</v>
      </c>
      <c r="L94" t="s">
        <v>45</v>
      </c>
      <c r="M94" t="b">
        <v>0</v>
      </c>
      <c r="N94">
        <v>0</v>
      </c>
    </row>
    <row r="95" spans="1:14" x14ac:dyDescent="0.25">
      <c r="A95" t="s">
        <v>305</v>
      </c>
      <c r="B95" t="s">
        <v>35</v>
      </c>
      <c r="C95" t="s">
        <v>106</v>
      </c>
      <c r="E95" s="4" t="s">
        <v>2137</v>
      </c>
      <c r="F95" s="4" t="s">
        <v>2138</v>
      </c>
      <c r="G95" t="s">
        <v>30</v>
      </c>
      <c r="H95" s="1">
        <v>43851</v>
      </c>
      <c r="I95" s="4">
        <v>86163.91</v>
      </c>
      <c r="J95" t="s">
        <v>307</v>
      </c>
      <c r="K95">
        <v>-2412462094</v>
      </c>
      <c r="L95" t="s">
        <v>19</v>
      </c>
      <c r="M95" t="b">
        <v>1</v>
      </c>
      <c r="N95">
        <v>1723.2782000000002</v>
      </c>
    </row>
    <row r="96" spans="1:14" x14ac:dyDescent="0.25">
      <c r="A96" t="s">
        <v>308</v>
      </c>
      <c r="B96" t="s">
        <v>67</v>
      </c>
      <c r="C96" t="s">
        <v>106</v>
      </c>
      <c r="D96">
        <v>40</v>
      </c>
      <c r="E96" s="4" t="s">
        <v>2139</v>
      </c>
      <c r="F96" s="4" t="s">
        <v>2148</v>
      </c>
      <c r="G96" t="s">
        <v>16</v>
      </c>
      <c r="H96" s="1">
        <v>45245</v>
      </c>
      <c r="I96" s="4">
        <v>83326.52</v>
      </c>
      <c r="J96" t="s">
        <v>124</v>
      </c>
      <c r="K96">
        <v>-2004615264</v>
      </c>
      <c r="L96" t="s">
        <v>19</v>
      </c>
      <c r="M96" t="b">
        <v>1</v>
      </c>
      <c r="N96">
        <v>1666.5304000000001</v>
      </c>
    </row>
    <row r="97" spans="1:14" x14ac:dyDescent="0.25">
      <c r="A97" t="s">
        <v>311</v>
      </c>
      <c r="B97" t="s">
        <v>75</v>
      </c>
      <c r="C97" t="s">
        <v>106</v>
      </c>
      <c r="D97">
        <v>25</v>
      </c>
      <c r="E97" s="4" t="s">
        <v>2143</v>
      </c>
      <c r="F97" s="4" t="s">
        <v>2138</v>
      </c>
      <c r="G97" t="s">
        <v>16</v>
      </c>
      <c r="H97" s="1">
        <v>44659</v>
      </c>
      <c r="I97" s="4">
        <v>98425.1</v>
      </c>
      <c r="J97" t="s">
        <v>153</v>
      </c>
      <c r="K97">
        <v>-4610339936</v>
      </c>
      <c r="L97" t="s">
        <v>19</v>
      </c>
      <c r="M97" t="b">
        <v>1</v>
      </c>
      <c r="N97">
        <v>1968.5020000000002</v>
      </c>
    </row>
    <row r="98" spans="1:14" x14ac:dyDescent="0.25">
      <c r="A98" t="s">
        <v>314</v>
      </c>
      <c r="B98" t="s">
        <v>40</v>
      </c>
      <c r="C98" t="s">
        <v>62</v>
      </c>
      <c r="D98">
        <v>40</v>
      </c>
      <c r="E98" s="4" t="s">
        <v>2145</v>
      </c>
      <c r="F98" s="4" t="s">
        <v>2148</v>
      </c>
      <c r="G98" t="s">
        <v>36</v>
      </c>
      <c r="H98" s="1">
        <v>44702</v>
      </c>
      <c r="I98" s="4">
        <v>119764.2</v>
      </c>
      <c r="J98" t="s">
        <v>316</v>
      </c>
      <c r="K98">
        <v>-8861405785</v>
      </c>
      <c r="L98" t="s">
        <v>19</v>
      </c>
      <c r="M98" t="b">
        <v>0</v>
      </c>
      <c r="N98">
        <v>2395.2840000000001</v>
      </c>
    </row>
    <row r="99" spans="1:14" x14ac:dyDescent="0.25">
      <c r="A99" t="s">
        <v>317</v>
      </c>
      <c r="B99" t="s">
        <v>40</v>
      </c>
      <c r="C99" t="s">
        <v>21</v>
      </c>
      <c r="D99">
        <v>40</v>
      </c>
      <c r="E99" s="4" t="s">
        <v>2147</v>
      </c>
      <c r="F99" s="4" t="s">
        <v>2138</v>
      </c>
      <c r="G99" t="s">
        <v>36</v>
      </c>
      <c r="H99" s="1">
        <v>44303</v>
      </c>
      <c r="I99" s="4">
        <v>58445.91</v>
      </c>
      <c r="J99" t="s">
        <v>280</v>
      </c>
      <c r="K99">
        <v>-1706304890</v>
      </c>
      <c r="L99" t="s">
        <v>25</v>
      </c>
      <c r="M99" t="b">
        <v>0</v>
      </c>
      <c r="N99">
        <v>5844.5910000000003</v>
      </c>
    </row>
    <row r="100" spans="1:14" x14ac:dyDescent="0.25">
      <c r="A100" t="s">
        <v>319</v>
      </c>
      <c r="B100" t="s">
        <v>13</v>
      </c>
      <c r="C100" t="s">
        <v>106</v>
      </c>
      <c r="E100" s="4" t="s">
        <v>2137</v>
      </c>
      <c r="F100" s="4" t="s">
        <v>2146</v>
      </c>
      <c r="G100" t="s">
        <v>16</v>
      </c>
      <c r="H100" s="1">
        <v>44274</v>
      </c>
      <c r="I100" s="4">
        <v>101702.33</v>
      </c>
      <c r="J100" t="s">
        <v>108</v>
      </c>
      <c r="K100">
        <v>-3824967182</v>
      </c>
      <c r="L100" t="s">
        <v>25</v>
      </c>
      <c r="M100" t="b">
        <v>0</v>
      </c>
      <c r="N100">
        <v>10170.233</v>
      </c>
    </row>
    <row r="101" spans="1:14" x14ac:dyDescent="0.25">
      <c r="A101" t="s">
        <v>321</v>
      </c>
      <c r="B101" t="s">
        <v>35</v>
      </c>
      <c r="C101" t="s">
        <v>28</v>
      </c>
      <c r="D101">
        <v>25</v>
      </c>
      <c r="E101" s="4" t="s">
        <v>2141</v>
      </c>
      <c r="F101" s="4" t="s">
        <v>2138</v>
      </c>
      <c r="G101" t="s">
        <v>16</v>
      </c>
      <c r="H101" s="1">
        <v>44570</v>
      </c>
      <c r="I101" s="4"/>
      <c r="J101" t="s">
        <v>323</v>
      </c>
      <c r="K101">
        <v>-2582386869</v>
      </c>
      <c r="L101" t="s">
        <v>33</v>
      </c>
      <c r="M101" t="b">
        <v>0</v>
      </c>
    </row>
    <row r="102" spans="1:14" x14ac:dyDescent="0.25">
      <c r="A102" t="s">
        <v>324</v>
      </c>
      <c r="B102" t="s">
        <v>61</v>
      </c>
      <c r="C102" t="s">
        <v>14</v>
      </c>
      <c r="D102">
        <v>35</v>
      </c>
      <c r="E102" s="4" t="s">
        <v>2143</v>
      </c>
      <c r="F102" s="4" t="s">
        <v>2140</v>
      </c>
      <c r="G102" t="s">
        <v>30</v>
      </c>
      <c r="H102" s="1">
        <v>44429</v>
      </c>
      <c r="I102" s="4">
        <v>98819.22</v>
      </c>
      <c r="J102" t="s">
        <v>200</v>
      </c>
      <c r="K102">
        <v>-794200748</v>
      </c>
      <c r="L102" t="s">
        <v>33</v>
      </c>
      <c r="M102" t="b">
        <v>0</v>
      </c>
      <c r="N102">
        <v>4940.9610000000002</v>
      </c>
    </row>
    <row r="103" spans="1:14" x14ac:dyDescent="0.25">
      <c r="A103" t="s">
        <v>326</v>
      </c>
      <c r="B103" t="s">
        <v>75</v>
      </c>
      <c r="C103" t="s">
        <v>62</v>
      </c>
      <c r="D103">
        <v>25</v>
      </c>
      <c r="E103" s="4" t="s">
        <v>2143</v>
      </c>
      <c r="F103" s="4" t="s">
        <v>2148</v>
      </c>
      <c r="G103" t="s">
        <v>36</v>
      </c>
      <c r="H103" s="1">
        <v>44792</v>
      </c>
      <c r="I103" s="4">
        <v>83509.990000000005</v>
      </c>
      <c r="J103" t="s">
        <v>132</v>
      </c>
      <c r="K103">
        <v>-4653984027</v>
      </c>
      <c r="L103" t="s">
        <v>19</v>
      </c>
      <c r="M103" t="b">
        <v>0</v>
      </c>
      <c r="N103">
        <v>1670.1998000000001</v>
      </c>
    </row>
    <row r="104" spans="1:14" x14ac:dyDescent="0.25">
      <c r="A104" t="s">
        <v>328</v>
      </c>
      <c r="B104" t="s">
        <v>27</v>
      </c>
      <c r="C104" t="s">
        <v>62</v>
      </c>
      <c r="D104">
        <v>35</v>
      </c>
      <c r="E104" s="4" t="s">
        <v>2139</v>
      </c>
      <c r="F104" s="4" t="s">
        <v>2140</v>
      </c>
      <c r="G104" t="s">
        <v>16</v>
      </c>
      <c r="H104" s="1">
        <v>44651</v>
      </c>
      <c r="I104" s="4">
        <v>84422.26</v>
      </c>
      <c r="J104" t="s">
        <v>177</v>
      </c>
      <c r="K104">
        <v>-9141612845</v>
      </c>
      <c r="L104" t="s">
        <v>19</v>
      </c>
      <c r="M104" t="b">
        <v>0</v>
      </c>
      <c r="N104">
        <v>1688.4451999999999</v>
      </c>
    </row>
    <row r="105" spans="1:14" x14ac:dyDescent="0.25">
      <c r="A105" t="s">
        <v>330</v>
      </c>
      <c r="B105" t="s">
        <v>27</v>
      </c>
      <c r="C105" t="s">
        <v>21</v>
      </c>
      <c r="D105">
        <v>30</v>
      </c>
      <c r="E105" s="4" t="s">
        <v>2141</v>
      </c>
      <c r="F105" s="4" t="s">
        <v>2148</v>
      </c>
      <c r="G105" t="s">
        <v>36</v>
      </c>
      <c r="H105" s="1">
        <v>44005</v>
      </c>
      <c r="I105" s="4">
        <v>119574.27</v>
      </c>
      <c r="J105" t="s">
        <v>93</v>
      </c>
      <c r="K105">
        <v>-3985547434</v>
      </c>
      <c r="L105" t="s">
        <v>19</v>
      </c>
      <c r="M105" t="b">
        <v>1</v>
      </c>
      <c r="N105">
        <v>2391.4854</v>
      </c>
    </row>
    <row r="106" spans="1:14" x14ac:dyDescent="0.25">
      <c r="A106" t="s">
        <v>332</v>
      </c>
      <c r="B106" t="s">
        <v>80</v>
      </c>
      <c r="C106" t="s">
        <v>62</v>
      </c>
      <c r="E106" s="4" t="s">
        <v>2145</v>
      </c>
      <c r="F106" s="4" t="s">
        <v>2148</v>
      </c>
      <c r="G106" t="s">
        <v>16</v>
      </c>
      <c r="H106" s="1">
        <v>45419</v>
      </c>
      <c r="I106" s="4">
        <v>86580.08</v>
      </c>
      <c r="J106" t="s">
        <v>150</v>
      </c>
      <c r="K106">
        <v>-5379502096</v>
      </c>
      <c r="L106" t="s">
        <v>33</v>
      </c>
      <c r="M106" t="b">
        <v>1</v>
      </c>
      <c r="N106">
        <v>4329.0039999999999</v>
      </c>
    </row>
    <row r="107" spans="1:14" x14ac:dyDescent="0.25">
      <c r="A107" t="s">
        <v>334</v>
      </c>
      <c r="B107" t="s">
        <v>75</v>
      </c>
      <c r="C107" t="s">
        <v>62</v>
      </c>
      <c r="D107">
        <v>35</v>
      </c>
      <c r="E107" s="4" t="s">
        <v>2145</v>
      </c>
      <c r="F107" s="4" t="s">
        <v>2144</v>
      </c>
      <c r="G107" t="s">
        <v>36</v>
      </c>
      <c r="H107" s="1">
        <v>44995</v>
      </c>
      <c r="I107" s="4">
        <v>93471.91</v>
      </c>
      <c r="J107" t="s">
        <v>132</v>
      </c>
      <c r="K107">
        <v>-26876810</v>
      </c>
      <c r="L107" t="s">
        <v>45</v>
      </c>
      <c r="M107" t="b">
        <v>0</v>
      </c>
      <c r="N107">
        <v>0</v>
      </c>
    </row>
    <row r="108" spans="1:14" x14ac:dyDescent="0.25">
      <c r="A108" t="s">
        <v>336</v>
      </c>
      <c r="B108" t="s">
        <v>13</v>
      </c>
      <c r="C108" t="s">
        <v>106</v>
      </c>
      <c r="D108">
        <v>30</v>
      </c>
      <c r="E108" s="4" t="s">
        <v>2137</v>
      </c>
      <c r="F108" s="4" t="s">
        <v>2146</v>
      </c>
      <c r="G108" t="s">
        <v>36</v>
      </c>
      <c r="H108" s="1">
        <v>45183</v>
      </c>
      <c r="I108" s="4">
        <v>55683.12</v>
      </c>
      <c r="J108" t="s">
        <v>108</v>
      </c>
      <c r="K108">
        <v>-8071569561</v>
      </c>
      <c r="L108" t="s">
        <v>45</v>
      </c>
      <c r="M108" t="b">
        <v>1</v>
      </c>
      <c r="N108">
        <v>0</v>
      </c>
    </row>
    <row r="109" spans="1:14" x14ac:dyDescent="0.25">
      <c r="A109" t="s">
        <v>338</v>
      </c>
      <c r="B109" t="s">
        <v>13</v>
      </c>
      <c r="C109" t="s">
        <v>21</v>
      </c>
      <c r="D109">
        <v>30</v>
      </c>
      <c r="E109" s="4" t="s">
        <v>2143</v>
      </c>
      <c r="F109" s="4" t="s">
        <v>2144</v>
      </c>
      <c r="G109" t="s">
        <v>36</v>
      </c>
      <c r="H109" s="1">
        <v>45242</v>
      </c>
      <c r="I109" s="4">
        <v>91566.78</v>
      </c>
      <c r="J109" t="s">
        <v>24</v>
      </c>
      <c r="K109">
        <v>-175370303</v>
      </c>
      <c r="L109" t="s">
        <v>33</v>
      </c>
      <c r="M109" t="b">
        <v>1</v>
      </c>
      <c r="N109">
        <v>4578.3389999999999</v>
      </c>
    </row>
    <row r="110" spans="1:14" x14ac:dyDescent="0.25">
      <c r="A110" t="s">
        <v>340</v>
      </c>
      <c r="B110" t="s">
        <v>67</v>
      </c>
      <c r="C110" t="s">
        <v>106</v>
      </c>
      <c r="D110">
        <v>35</v>
      </c>
      <c r="E110" s="4" t="s">
        <v>2137</v>
      </c>
      <c r="F110" s="4" t="s">
        <v>2138</v>
      </c>
      <c r="G110" t="s">
        <v>30</v>
      </c>
      <c r="H110" s="1">
        <v>45591</v>
      </c>
      <c r="I110" s="4">
        <v>81782.19</v>
      </c>
      <c r="J110" t="s">
        <v>124</v>
      </c>
      <c r="K110">
        <v>-5319433749</v>
      </c>
      <c r="L110" t="s">
        <v>33</v>
      </c>
      <c r="M110" t="b">
        <v>0</v>
      </c>
      <c r="N110">
        <v>4089.1095000000005</v>
      </c>
    </row>
    <row r="111" spans="1:14" x14ac:dyDescent="0.25">
      <c r="A111" t="s">
        <v>342</v>
      </c>
      <c r="B111" t="s">
        <v>35</v>
      </c>
      <c r="C111" t="s">
        <v>14</v>
      </c>
      <c r="E111" s="4" t="s">
        <v>2137</v>
      </c>
      <c r="F111" s="4" t="s">
        <v>2146</v>
      </c>
      <c r="G111" t="s">
        <v>36</v>
      </c>
      <c r="H111" s="1">
        <v>44066</v>
      </c>
      <c r="I111" s="4">
        <v>88119.37</v>
      </c>
      <c r="J111" t="s">
        <v>38</v>
      </c>
      <c r="K111">
        <v>-4793036148</v>
      </c>
      <c r="L111" t="s">
        <v>33</v>
      </c>
      <c r="M111" t="b">
        <v>1</v>
      </c>
      <c r="N111">
        <v>4405.9684999999999</v>
      </c>
    </row>
    <row r="112" spans="1:14" x14ac:dyDescent="0.25">
      <c r="A112" t="s">
        <v>344</v>
      </c>
      <c r="B112" t="s">
        <v>35</v>
      </c>
      <c r="C112" t="s">
        <v>47</v>
      </c>
      <c r="D112">
        <v>30</v>
      </c>
      <c r="E112" s="4" t="s">
        <v>2143</v>
      </c>
      <c r="F112" s="4" t="s">
        <v>2140</v>
      </c>
      <c r="G112" t="s">
        <v>16</v>
      </c>
      <c r="H112" s="1">
        <v>45454</v>
      </c>
      <c r="I112" s="4">
        <v>71532.83</v>
      </c>
      <c r="J112" t="s">
        <v>346</v>
      </c>
      <c r="K112">
        <v>-8728399920</v>
      </c>
      <c r="L112" t="s">
        <v>33</v>
      </c>
      <c r="M112" t="b">
        <v>1</v>
      </c>
      <c r="N112">
        <v>3576.6415000000002</v>
      </c>
    </row>
    <row r="113" spans="1:14" x14ac:dyDescent="0.25">
      <c r="A113" t="s">
        <v>347</v>
      </c>
      <c r="B113" t="s">
        <v>35</v>
      </c>
      <c r="C113" t="s">
        <v>14</v>
      </c>
      <c r="D113">
        <v>40</v>
      </c>
      <c r="E113" s="4" t="s">
        <v>2143</v>
      </c>
      <c r="F113" s="4" t="s">
        <v>2144</v>
      </c>
      <c r="G113" t="s">
        <v>30</v>
      </c>
      <c r="H113" s="1">
        <v>44453</v>
      </c>
      <c r="I113" s="4">
        <v>98981.36</v>
      </c>
      <c r="J113" t="s">
        <v>38</v>
      </c>
      <c r="K113">
        <v>-9212493842</v>
      </c>
      <c r="L113" t="s">
        <v>33</v>
      </c>
      <c r="M113" t="b">
        <v>1</v>
      </c>
      <c r="N113">
        <v>4949.0680000000002</v>
      </c>
    </row>
    <row r="114" spans="1:14" x14ac:dyDescent="0.25">
      <c r="A114" t="s">
        <v>349</v>
      </c>
      <c r="B114" t="s">
        <v>75</v>
      </c>
      <c r="C114" t="s">
        <v>47</v>
      </c>
      <c r="D114">
        <v>40</v>
      </c>
      <c r="E114" s="4" t="s">
        <v>2143</v>
      </c>
      <c r="F114" s="4" t="s">
        <v>2148</v>
      </c>
      <c r="G114" t="s">
        <v>16</v>
      </c>
      <c r="H114" s="1">
        <v>45652</v>
      </c>
      <c r="I114" s="4">
        <v>80242.009999999995</v>
      </c>
      <c r="J114" t="s">
        <v>300</v>
      </c>
      <c r="K114">
        <v>-894870604</v>
      </c>
      <c r="L114" t="s">
        <v>33</v>
      </c>
      <c r="M114" t="b">
        <v>1</v>
      </c>
      <c r="N114">
        <v>4012.1005</v>
      </c>
    </row>
    <row r="115" spans="1:14" x14ac:dyDescent="0.25">
      <c r="A115" t="s">
        <v>351</v>
      </c>
      <c r="B115" t="s">
        <v>35</v>
      </c>
      <c r="C115" t="s">
        <v>106</v>
      </c>
      <c r="D115">
        <v>25</v>
      </c>
      <c r="E115" s="4" t="s">
        <v>2143</v>
      </c>
      <c r="F115" s="4" t="s">
        <v>2146</v>
      </c>
      <c r="G115" t="s">
        <v>30</v>
      </c>
      <c r="H115" s="1">
        <v>45543</v>
      </c>
      <c r="I115" s="4">
        <v>110236.18</v>
      </c>
      <c r="J115" t="s">
        <v>307</v>
      </c>
      <c r="K115">
        <v>-6641877579</v>
      </c>
      <c r="L115" t="s">
        <v>19</v>
      </c>
      <c r="M115" t="b">
        <v>1</v>
      </c>
      <c r="N115">
        <v>2204.7235999999998</v>
      </c>
    </row>
    <row r="116" spans="1:14" x14ac:dyDescent="0.25">
      <c r="A116" t="s">
        <v>353</v>
      </c>
      <c r="B116" t="s">
        <v>27</v>
      </c>
      <c r="C116" t="s">
        <v>14</v>
      </c>
      <c r="D116">
        <v>35</v>
      </c>
      <c r="E116" s="4" t="s">
        <v>2145</v>
      </c>
      <c r="F116" s="4" t="s">
        <v>2140</v>
      </c>
      <c r="G116" t="s">
        <v>16</v>
      </c>
      <c r="H116" s="1">
        <v>44794</v>
      </c>
      <c r="I116" s="4">
        <v>86327.47</v>
      </c>
      <c r="J116" t="s">
        <v>191</v>
      </c>
      <c r="K116">
        <v>-3046875062</v>
      </c>
      <c r="L116" t="s">
        <v>19</v>
      </c>
      <c r="M116" t="b">
        <v>0</v>
      </c>
      <c r="N116">
        <v>1726.5494000000001</v>
      </c>
    </row>
    <row r="117" spans="1:14" x14ac:dyDescent="0.25">
      <c r="A117" t="s">
        <v>355</v>
      </c>
      <c r="B117" t="s">
        <v>35</v>
      </c>
      <c r="C117" t="s">
        <v>21</v>
      </c>
      <c r="D117">
        <v>30</v>
      </c>
      <c r="E117" s="4" t="s">
        <v>2145</v>
      </c>
      <c r="F117" s="4" t="s">
        <v>2144</v>
      </c>
      <c r="G117" t="s">
        <v>30</v>
      </c>
      <c r="H117" s="1">
        <v>45498</v>
      </c>
      <c r="I117" s="4">
        <v>84420.81</v>
      </c>
      <c r="J117" t="s">
        <v>183</v>
      </c>
      <c r="K117">
        <v>-5190361331</v>
      </c>
      <c r="L117" t="s">
        <v>19</v>
      </c>
      <c r="M117" t="b">
        <v>0</v>
      </c>
      <c r="N117">
        <v>1688.4161999999999</v>
      </c>
    </row>
    <row r="118" spans="1:14" x14ac:dyDescent="0.25">
      <c r="A118" t="s">
        <v>357</v>
      </c>
      <c r="B118" t="s">
        <v>40</v>
      </c>
      <c r="C118" t="s">
        <v>142</v>
      </c>
      <c r="D118">
        <v>40</v>
      </c>
      <c r="E118" s="4" t="s">
        <v>2147</v>
      </c>
      <c r="F118" s="4" t="s">
        <v>2138</v>
      </c>
      <c r="G118" t="s">
        <v>30</v>
      </c>
      <c r="H118" s="1">
        <v>44045</v>
      </c>
      <c r="I118" s="4">
        <v>110041.32</v>
      </c>
      <c r="J118" t="s">
        <v>163</v>
      </c>
      <c r="K118">
        <v>-5411076094</v>
      </c>
      <c r="L118" t="s">
        <v>19</v>
      </c>
      <c r="M118" t="b">
        <v>0</v>
      </c>
      <c r="N118">
        <v>2200.8264000000004</v>
      </c>
    </row>
    <row r="119" spans="1:14" x14ac:dyDescent="0.25">
      <c r="A119" t="s">
        <v>359</v>
      </c>
      <c r="B119" t="s">
        <v>75</v>
      </c>
      <c r="C119" t="s">
        <v>106</v>
      </c>
      <c r="D119">
        <v>35</v>
      </c>
      <c r="E119" s="4" t="s">
        <v>2137</v>
      </c>
      <c r="F119" s="4" t="s">
        <v>2144</v>
      </c>
      <c r="G119" t="s">
        <v>30</v>
      </c>
      <c r="H119" s="1">
        <v>43906</v>
      </c>
      <c r="I119" s="4">
        <v>81837.81</v>
      </c>
      <c r="J119" t="s">
        <v>153</v>
      </c>
      <c r="K119">
        <v>-4317350582</v>
      </c>
      <c r="L119" t="s">
        <v>33</v>
      </c>
      <c r="M119" t="b">
        <v>1</v>
      </c>
      <c r="N119">
        <v>4091.8905</v>
      </c>
    </row>
    <row r="120" spans="1:14" x14ac:dyDescent="0.25">
      <c r="A120" t="s">
        <v>361</v>
      </c>
      <c r="B120" t="s">
        <v>40</v>
      </c>
      <c r="C120" t="s">
        <v>47</v>
      </c>
      <c r="D120">
        <v>25</v>
      </c>
      <c r="E120" s="4" t="s">
        <v>2139</v>
      </c>
      <c r="F120" s="4" t="s">
        <v>2148</v>
      </c>
      <c r="G120" t="s">
        <v>16</v>
      </c>
      <c r="H120" s="1">
        <v>45177</v>
      </c>
      <c r="I120" s="4">
        <v>110855.72</v>
      </c>
      <c r="J120" t="s">
        <v>214</v>
      </c>
      <c r="K120">
        <v>-1997179109</v>
      </c>
      <c r="L120" t="s">
        <v>45</v>
      </c>
      <c r="M120" t="b">
        <v>0</v>
      </c>
      <c r="N120">
        <v>0</v>
      </c>
    </row>
    <row r="121" spans="1:14" x14ac:dyDescent="0.25">
      <c r="A121" t="s">
        <v>363</v>
      </c>
      <c r="B121" t="s">
        <v>27</v>
      </c>
      <c r="C121" t="s">
        <v>28</v>
      </c>
      <c r="D121">
        <v>30</v>
      </c>
      <c r="E121" s="4" t="s">
        <v>2145</v>
      </c>
      <c r="F121" s="4" t="s">
        <v>2138</v>
      </c>
      <c r="G121" t="s">
        <v>30</v>
      </c>
      <c r="H121" s="1">
        <v>45380</v>
      </c>
      <c r="I121" s="4">
        <v>84894.52</v>
      </c>
      <c r="J121" t="s">
        <v>32</v>
      </c>
      <c r="K121">
        <v>-651207048</v>
      </c>
      <c r="L121" t="s">
        <v>25</v>
      </c>
      <c r="M121" t="b">
        <v>1</v>
      </c>
      <c r="N121">
        <v>8489.4520000000011</v>
      </c>
    </row>
    <row r="122" spans="1:14" x14ac:dyDescent="0.25">
      <c r="A122" t="s">
        <v>365</v>
      </c>
      <c r="B122" t="s">
        <v>27</v>
      </c>
      <c r="C122" t="s">
        <v>47</v>
      </c>
      <c r="D122">
        <v>30</v>
      </c>
      <c r="E122" s="4" t="s">
        <v>2147</v>
      </c>
      <c r="F122" s="4" t="s">
        <v>2148</v>
      </c>
      <c r="G122" t="s">
        <v>16</v>
      </c>
      <c r="H122" s="1">
        <v>44420</v>
      </c>
      <c r="I122" s="4">
        <v>80668.13</v>
      </c>
      <c r="J122" t="s">
        <v>50</v>
      </c>
      <c r="K122">
        <v>-6110804660</v>
      </c>
      <c r="L122" t="s">
        <v>33</v>
      </c>
      <c r="M122" t="b">
        <v>1</v>
      </c>
      <c r="N122">
        <v>4033.4065000000005</v>
      </c>
    </row>
    <row r="123" spans="1:14" x14ac:dyDescent="0.25">
      <c r="A123" t="s">
        <v>367</v>
      </c>
      <c r="B123" t="s">
        <v>13</v>
      </c>
      <c r="C123" t="s">
        <v>28</v>
      </c>
      <c r="D123">
        <v>25</v>
      </c>
      <c r="E123" s="4" t="s">
        <v>2137</v>
      </c>
      <c r="F123" s="4" t="s">
        <v>2148</v>
      </c>
      <c r="G123" t="s">
        <v>16</v>
      </c>
      <c r="H123" s="1">
        <v>45284</v>
      </c>
      <c r="I123" s="4">
        <v>61086.47</v>
      </c>
      <c r="J123" t="s">
        <v>56</v>
      </c>
      <c r="K123">
        <v>-9639907675</v>
      </c>
      <c r="L123" t="s">
        <v>25</v>
      </c>
      <c r="M123" t="b">
        <v>1</v>
      </c>
      <c r="N123">
        <v>6108.6470000000008</v>
      </c>
    </row>
    <row r="124" spans="1:14" x14ac:dyDescent="0.25">
      <c r="A124" t="s">
        <v>369</v>
      </c>
      <c r="B124" t="s">
        <v>80</v>
      </c>
      <c r="C124" t="s">
        <v>62</v>
      </c>
      <c r="D124">
        <v>25</v>
      </c>
      <c r="E124" s="4" t="s">
        <v>2141</v>
      </c>
      <c r="F124" s="4" t="s">
        <v>2140</v>
      </c>
      <c r="G124" t="s">
        <v>36</v>
      </c>
      <c r="H124" s="1">
        <v>44071</v>
      </c>
      <c r="I124" s="4">
        <v>95339.68</v>
      </c>
      <c r="J124" t="s">
        <v>150</v>
      </c>
      <c r="K124">
        <v>-9915078592</v>
      </c>
      <c r="L124" t="s">
        <v>45</v>
      </c>
      <c r="M124" t="b">
        <v>1</v>
      </c>
      <c r="N124">
        <v>0</v>
      </c>
    </row>
    <row r="125" spans="1:14" x14ac:dyDescent="0.25">
      <c r="A125" t="s">
        <v>371</v>
      </c>
      <c r="B125" t="s">
        <v>35</v>
      </c>
      <c r="C125" t="s">
        <v>14</v>
      </c>
      <c r="E125" s="4" t="s">
        <v>2137</v>
      </c>
      <c r="F125" s="4" t="s">
        <v>2138</v>
      </c>
      <c r="G125" t="s">
        <v>36</v>
      </c>
      <c r="H125" s="1">
        <v>45540</v>
      </c>
      <c r="I125" s="4">
        <v>83774.97</v>
      </c>
      <c r="J125" t="s">
        <v>38</v>
      </c>
      <c r="K125">
        <v>-1109193927</v>
      </c>
      <c r="L125" t="s">
        <v>19</v>
      </c>
      <c r="M125" t="b">
        <v>0</v>
      </c>
      <c r="N125">
        <v>1675.4994000000002</v>
      </c>
    </row>
    <row r="126" spans="1:14" x14ac:dyDescent="0.25">
      <c r="A126" t="s">
        <v>373</v>
      </c>
      <c r="B126" t="s">
        <v>75</v>
      </c>
      <c r="C126" t="s">
        <v>28</v>
      </c>
      <c r="E126" s="4" t="s">
        <v>2141</v>
      </c>
      <c r="F126" s="4" t="s">
        <v>2144</v>
      </c>
      <c r="G126" t="s">
        <v>16</v>
      </c>
      <c r="H126" s="1">
        <v>45058</v>
      </c>
      <c r="I126" s="4">
        <v>85576.86</v>
      </c>
      <c r="J126" t="s">
        <v>375</v>
      </c>
      <c r="K126">
        <v>-4567972319</v>
      </c>
      <c r="L126" t="s">
        <v>45</v>
      </c>
      <c r="M126" t="b">
        <v>0</v>
      </c>
      <c r="N126">
        <v>0</v>
      </c>
    </row>
    <row r="127" spans="1:14" x14ac:dyDescent="0.25">
      <c r="A127" t="s">
        <v>376</v>
      </c>
      <c r="B127" t="s">
        <v>13</v>
      </c>
      <c r="C127" t="s">
        <v>47</v>
      </c>
      <c r="D127">
        <v>35</v>
      </c>
      <c r="E127" s="4" t="s">
        <v>2139</v>
      </c>
      <c r="F127" s="4" t="s">
        <v>2138</v>
      </c>
      <c r="G127" t="s">
        <v>30</v>
      </c>
      <c r="H127" s="1">
        <v>44378</v>
      </c>
      <c r="I127" s="4">
        <v>107438.46</v>
      </c>
      <c r="J127" t="s">
        <v>180</v>
      </c>
      <c r="K127">
        <v>-249685497</v>
      </c>
      <c r="L127" t="s">
        <v>33</v>
      </c>
      <c r="M127" t="b">
        <v>1</v>
      </c>
      <c r="N127">
        <v>5371.9230000000007</v>
      </c>
    </row>
    <row r="128" spans="1:14" x14ac:dyDescent="0.25">
      <c r="A128" t="s">
        <v>378</v>
      </c>
      <c r="B128" t="s">
        <v>35</v>
      </c>
      <c r="C128" t="s">
        <v>62</v>
      </c>
      <c r="E128" s="4" t="s">
        <v>2145</v>
      </c>
      <c r="F128" s="4" t="s">
        <v>2142</v>
      </c>
      <c r="G128" t="s">
        <v>36</v>
      </c>
      <c r="H128" s="1">
        <v>45603</v>
      </c>
      <c r="I128" s="4">
        <v>60401.68</v>
      </c>
      <c r="J128" t="s">
        <v>380</v>
      </c>
      <c r="K128">
        <v>-2274954507</v>
      </c>
      <c r="L128" t="s">
        <v>19</v>
      </c>
      <c r="M128" t="b">
        <v>0</v>
      </c>
      <c r="N128">
        <v>1208.0336</v>
      </c>
    </row>
    <row r="129" spans="1:14" x14ac:dyDescent="0.25">
      <c r="A129" t="s">
        <v>381</v>
      </c>
      <c r="B129" t="s">
        <v>40</v>
      </c>
      <c r="C129" t="s">
        <v>142</v>
      </c>
      <c r="D129">
        <v>35</v>
      </c>
      <c r="E129" s="4" t="s">
        <v>2145</v>
      </c>
      <c r="F129" s="4" t="s">
        <v>2148</v>
      </c>
      <c r="G129" t="s">
        <v>36</v>
      </c>
      <c r="H129" s="1">
        <v>44763</v>
      </c>
      <c r="I129" s="4">
        <v>115299.66</v>
      </c>
      <c r="J129" t="s">
        <v>163</v>
      </c>
      <c r="K129">
        <v>-9203880652</v>
      </c>
      <c r="L129" t="s">
        <v>33</v>
      </c>
      <c r="M129" t="b">
        <v>1</v>
      </c>
      <c r="N129">
        <v>5764.9830000000002</v>
      </c>
    </row>
    <row r="130" spans="1:14" x14ac:dyDescent="0.25">
      <c r="A130" t="s">
        <v>383</v>
      </c>
      <c r="B130" t="s">
        <v>67</v>
      </c>
      <c r="C130" t="s">
        <v>21</v>
      </c>
      <c r="E130" s="4" t="s">
        <v>2139</v>
      </c>
      <c r="F130" s="4" t="s">
        <v>2146</v>
      </c>
      <c r="G130" t="s">
        <v>36</v>
      </c>
      <c r="H130" s="1">
        <v>43920</v>
      </c>
      <c r="I130" s="4">
        <v>72272.34</v>
      </c>
      <c r="J130" t="s">
        <v>265</v>
      </c>
      <c r="K130">
        <v>-3315377958</v>
      </c>
      <c r="L130" t="s">
        <v>19</v>
      </c>
      <c r="M130" t="b">
        <v>0</v>
      </c>
      <c r="N130">
        <v>1445.4467999999999</v>
      </c>
    </row>
    <row r="131" spans="1:14" x14ac:dyDescent="0.25">
      <c r="A131" t="s">
        <v>385</v>
      </c>
      <c r="B131" t="s">
        <v>80</v>
      </c>
      <c r="C131" t="s">
        <v>21</v>
      </c>
      <c r="D131">
        <v>40</v>
      </c>
      <c r="E131" s="4" t="s">
        <v>2137</v>
      </c>
      <c r="F131" s="4" t="s">
        <v>2142</v>
      </c>
      <c r="G131" t="s">
        <v>16</v>
      </c>
      <c r="H131" s="1">
        <v>44845</v>
      </c>
      <c r="I131" s="4">
        <v>117537.71</v>
      </c>
      <c r="J131" t="s">
        <v>240</v>
      </c>
      <c r="K131">
        <v>-9594652169</v>
      </c>
      <c r="L131" t="s">
        <v>25</v>
      </c>
      <c r="M131" t="b">
        <v>0</v>
      </c>
      <c r="N131">
        <v>11753.771000000001</v>
      </c>
    </row>
    <row r="132" spans="1:14" x14ac:dyDescent="0.25">
      <c r="A132" t="s">
        <v>388</v>
      </c>
      <c r="B132" t="s">
        <v>40</v>
      </c>
      <c r="C132" t="s">
        <v>21</v>
      </c>
      <c r="D132">
        <v>25</v>
      </c>
      <c r="E132" s="4" t="s">
        <v>2139</v>
      </c>
      <c r="F132" s="4" t="s">
        <v>2140</v>
      </c>
      <c r="G132" t="s">
        <v>30</v>
      </c>
      <c r="H132" s="1">
        <v>44766</v>
      </c>
      <c r="I132" s="4">
        <v>51074.33</v>
      </c>
      <c r="J132" t="s">
        <v>280</v>
      </c>
      <c r="K132">
        <v>-7303379336</v>
      </c>
      <c r="L132" t="s">
        <v>25</v>
      </c>
      <c r="M132" t="b">
        <v>1</v>
      </c>
      <c r="N132">
        <v>5107.4330000000009</v>
      </c>
    </row>
    <row r="133" spans="1:14" x14ac:dyDescent="0.25">
      <c r="A133" t="s">
        <v>390</v>
      </c>
      <c r="B133" t="s">
        <v>61</v>
      </c>
      <c r="C133" t="s">
        <v>28</v>
      </c>
      <c r="D133">
        <v>25</v>
      </c>
      <c r="E133" s="4" t="s">
        <v>2139</v>
      </c>
      <c r="F133" s="4" t="s">
        <v>2138</v>
      </c>
      <c r="G133" t="s">
        <v>36</v>
      </c>
      <c r="H133" s="1">
        <v>45107</v>
      </c>
      <c r="I133" s="4">
        <v>98489.32</v>
      </c>
      <c r="J133" t="s">
        <v>140</v>
      </c>
      <c r="K133">
        <v>-5636205014</v>
      </c>
      <c r="L133" t="s">
        <v>25</v>
      </c>
      <c r="M133" t="b">
        <v>0</v>
      </c>
      <c r="N133">
        <v>9848.9320000000007</v>
      </c>
    </row>
    <row r="134" spans="1:14" x14ac:dyDescent="0.25">
      <c r="A134" t="s">
        <v>392</v>
      </c>
      <c r="B134" t="s">
        <v>40</v>
      </c>
      <c r="C134" t="s">
        <v>142</v>
      </c>
      <c r="E134" s="4" t="s">
        <v>2139</v>
      </c>
      <c r="F134" s="4" t="s">
        <v>2138</v>
      </c>
      <c r="G134" t="s">
        <v>30</v>
      </c>
      <c r="H134" s="1">
        <v>45302</v>
      </c>
      <c r="I134" s="4">
        <v>112120.71</v>
      </c>
      <c r="J134" t="s">
        <v>163</v>
      </c>
      <c r="K134">
        <v>-812473949</v>
      </c>
      <c r="L134" t="s">
        <v>45</v>
      </c>
      <c r="M134" t="b">
        <v>1</v>
      </c>
      <c r="N134">
        <v>0</v>
      </c>
    </row>
    <row r="135" spans="1:14" x14ac:dyDescent="0.25">
      <c r="A135" t="s">
        <v>394</v>
      </c>
      <c r="B135" t="s">
        <v>27</v>
      </c>
      <c r="C135" t="s">
        <v>28</v>
      </c>
      <c r="E135" s="4" t="s">
        <v>2143</v>
      </c>
      <c r="F135" s="4" t="s">
        <v>2146</v>
      </c>
      <c r="G135" t="s">
        <v>30</v>
      </c>
      <c r="H135" s="1">
        <v>45232</v>
      </c>
      <c r="I135" s="4">
        <v>114465.04</v>
      </c>
      <c r="J135" t="s">
        <v>32</v>
      </c>
      <c r="K135">
        <v>-334234257</v>
      </c>
      <c r="L135" t="s">
        <v>33</v>
      </c>
      <c r="M135" t="b">
        <v>0</v>
      </c>
      <c r="N135">
        <v>5723.2520000000004</v>
      </c>
    </row>
    <row r="136" spans="1:14" x14ac:dyDescent="0.25">
      <c r="A136" t="s">
        <v>396</v>
      </c>
      <c r="B136" t="s">
        <v>13</v>
      </c>
      <c r="C136" t="s">
        <v>14</v>
      </c>
      <c r="D136">
        <v>40</v>
      </c>
      <c r="E136" s="4" t="s">
        <v>2143</v>
      </c>
      <c r="F136" s="4" t="s">
        <v>2142</v>
      </c>
      <c r="G136" t="s">
        <v>30</v>
      </c>
      <c r="H136" s="1">
        <v>45618</v>
      </c>
      <c r="I136" s="4">
        <v>57035.51</v>
      </c>
      <c r="J136" t="s">
        <v>18</v>
      </c>
      <c r="K136">
        <v>-3230241025</v>
      </c>
      <c r="L136" t="s">
        <v>45</v>
      </c>
      <c r="M136" t="b">
        <v>1</v>
      </c>
      <c r="N136">
        <v>0</v>
      </c>
    </row>
    <row r="137" spans="1:14" x14ac:dyDescent="0.25">
      <c r="A137" t="s">
        <v>398</v>
      </c>
      <c r="B137" t="s">
        <v>35</v>
      </c>
      <c r="C137" t="s">
        <v>28</v>
      </c>
      <c r="D137">
        <v>25</v>
      </c>
      <c r="E137" s="4" t="s">
        <v>2143</v>
      </c>
      <c r="F137" s="4" t="s">
        <v>2138</v>
      </c>
      <c r="G137" t="s">
        <v>16</v>
      </c>
      <c r="H137" s="1">
        <v>44431</v>
      </c>
      <c r="I137" s="4">
        <v>75092.429999999993</v>
      </c>
      <c r="J137" t="s">
        <v>323</v>
      </c>
      <c r="K137">
        <v>-1534735527</v>
      </c>
      <c r="L137" t="s">
        <v>25</v>
      </c>
      <c r="M137" t="b">
        <v>1</v>
      </c>
      <c r="N137">
        <v>7509.2429999999995</v>
      </c>
    </row>
    <row r="138" spans="1:14" x14ac:dyDescent="0.25">
      <c r="A138" t="s">
        <v>400</v>
      </c>
      <c r="B138" t="s">
        <v>67</v>
      </c>
      <c r="C138" t="s">
        <v>142</v>
      </c>
      <c r="E138" s="4" t="s">
        <v>2139</v>
      </c>
      <c r="F138" s="4" t="s">
        <v>2148</v>
      </c>
      <c r="G138" t="s">
        <v>30</v>
      </c>
      <c r="H138" s="1">
        <v>45454</v>
      </c>
      <c r="I138" s="4">
        <v>62603.98</v>
      </c>
      <c r="J138" t="s">
        <v>402</v>
      </c>
      <c r="K138">
        <v>-9611223385</v>
      </c>
      <c r="L138" t="s">
        <v>33</v>
      </c>
      <c r="M138" t="b">
        <v>0</v>
      </c>
      <c r="N138">
        <v>3130.1990000000005</v>
      </c>
    </row>
    <row r="139" spans="1:14" x14ac:dyDescent="0.25">
      <c r="A139" t="s">
        <v>403</v>
      </c>
      <c r="B139" t="s">
        <v>80</v>
      </c>
      <c r="C139" t="s">
        <v>142</v>
      </c>
      <c r="E139" s="4" t="s">
        <v>2137</v>
      </c>
      <c r="F139" s="4" t="s">
        <v>2146</v>
      </c>
      <c r="G139" t="s">
        <v>36</v>
      </c>
      <c r="H139" s="1">
        <v>45025</v>
      </c>
      <c r="I139" s="4">
        <v>60018.239999999998</v>
      </c>
      <c r="J139" t="s">
        <v>160</v>
      </c>
      <c r="K139">
        <v>-5596309937</v>
      </c>
      <c r="L139" t="s">
        <v>25</v>
      </c>
      <c r="M139" t="b">
        <v>0</v>
      </c>
      <c r="N139">
        <v>6001.8240000000005</v>
      </c>
    </row>
    <row r="140" spans="1:14" x14ac:dyDescent="0.25">
      <c r="A140" t="s">
        <v>405</v>
      </c>
      <c r="B140" t="s">
        <v>35</v>
      </c>
      <c r="C140" t="s">
        <v>14</v>
      </c>
      <c r="D140">
        <v>40</v>
      </c>
      <c r="E140" s="4" t="s">
        <v>2147</v>
      </c>
      <c r="F140" s="4" t="s">
        <v>2142</v>
      </c>
      <c r="G140" t="s">
        <v>16</v>
      </c>
      <c r="H140" s="1">
        <v>45478</v>
      </c>
      <c r="I140" s="4">
        <v>82567.73</v>
      </c>
      <c r="J140" t="s">
        <v>38</v>
      </c>
      <c r="K140">
        <v>-4253042896</v>
      </c>
      <c r="L140" t="s">
        <v>45</v>
      </c>
      <c r="M140" t="b">
        <v>1</v>
      </c>
      <c r="N140">
        <v>0</v>
      </c>
    </row>
    <row r="141" spans="1:14" x14ac:dyDescent="0.25">
      <c r="A141" t="s">
        <v>407</v>
      </c>
      <c r="B141" t="s">
        <v>61</v>
      </c>
      <c r="C141" t="s">
        <v>142</v>
      </c>
      <c r="D141">
        <v>25</v>
      </c>
      <c r="E141" s="4" t="s">
        <v>2139</v>
      </c>
      <c r="F141" s="4" t="s">
        <v>2138</v>
      </c>
      <c r="G141" t="s">
        <v>30</v>
      </c>
      <c r="H141" s="1">
        <v>44443</v>
      </c>
      <c r="I141" s="4">
        <v>94725.71</v>
      </c>
      <c r="J141" t="s">
        <v>231</v>
      </c>
      <c r="K141">
        <v>-3179128684</v>
      </c>
      <c r="L141" t="s">
        <v>45</v>
      </c>
      <c r="M141" t="b">
        <v>0</v>
      </c>
      <c r="N141">
        <v>0</v>
      </c>
    </row>
    <row r="142" spans="1:14" x14ac:dyDescent="0.25">
      <c r="A142" t="s">
        <v>409</v>
      </c>
      <c r="B142" t="s">
        <v>35</v>
      </c>
      <c r="C142" t="s">
        <v>47</v>
      </c>
      <c r="D142">
        <v>40</v>
      </c>
      <c r="E142" s="4" t="s">
        <v>2147</v>
      </c>
      <c r="F142" s="4" t="s">
        <v>2146</v>
      </c>
      <c r="G142" t="s">
        <v>36</v>
      </c>
      <c r="H142" s="1">
        <v>45578</v>
      </c>
      <c r="I142" s="4">
        <v>83824.56</v>
      </c>
      <c r="J142" t="s">
        <v>346</v>
      </c>
      <c r="K142">
        <v>-7872558776</v>
      </c>
      <c r="L142" t="s">
        <v>45</v>
      </c>
      <c r="M142" t="b">
        <v>0</v>
      </c>
      <c r="N142">
        <v>0</v>
      </c>
    </row>
    <row r="143" spans="1:14" x14ac:dyDescent="0.25">
      <c r="A143" t="s">
        <v>411</v>
      </c>
      <c r="B143" t="s">
        <v>40</v>
      </c>
      <c r="C143" t="s">
        <v>142</v>
      </c>
      <c r="E143" s="4" t="s">
        <v>2147</v>
      </c>
      <c r="F143" s="4" t="s">
        <v>2142</v>
      </c>
      <c r="G143" t="s">
        <v>36</v>
      </c>
      <c r="H143" s="1">
        <v>43875</v>
      </c>
      <c r="I143" s="4">
        <v>118456.11</v>
      </c>
      <c r="J143" t="s">
        <v>163</v>
      </c>
      <c r="K143">
        <v>-4969033372</v>
      </c>
      <c r="L143" t="s">
        <v>25</v>
      </c>
      <c r="M143" t="b">
        <v>1</v>
      </c>
      <c r="N143">
        <v>11845.611000000001</v>
      </c>
    </row>
    <row r="144" spans="1:14" x14ac:dyDescent="0.25">
      <c r="A144" t="s">
        <v>413</v>
      </c>
      <c r="B144" t="s">
        <v>35</v>
      </c>
      <c r="C144" t="s">
        <v>21</v>
      </c>
      <c r="D144">
        <v>25</v>
      </c>
      <c r="E144" s="4" t="s">
        <v>2145</v>
      </c>
      <c r="F144" s="4" t="s">
        <v>2142</v>
      </c>
      <c r="G144" t="s">
        <v>30</v>
      </c>
      <c r="H144" s="1">
        <v>43931</v>
      </c>
      <c r="I144" s="4">
        <v>113743.19</v>
      </c>
      <c r="J144" t="s">
        <v>183</v>
      </c>
      <c r="K144">
        <v>-6346692547</v>
      </c>
      <c r="L144" t="s">
        <v>33</v>
      </c>
      <c r="M144" t="b">
        <v>1</v>
      </c>
      <c r="N144">
        <v>5687.1595000000007</v>
      </c>
    </row>
    <row r="145" spans="1:14" x14ac:dyDescent="0.25">
      <c r="A145" t="s">
        <v>415</v>
      </c>
      <c r="B145" t="s">
        <v>35</v>
      </c>
      <c r="C145" t="s">
        <v>47</v>
      </c>
      <c r="D145">
        <v>30</v>
      </c>
      <c r="E145" s="4" t="s">
        <v>2145</v>
      </c>
      <c r="F145" s="4" t="s">
        <v>2138</v>
      </c>
      <c r="G145" t="s">
        <v>16</v>
      </c>
      <c r="H145" s="1">
        <v>45134</v>
      </c>
      <c r="I145" s="4">
        <v>63309.24</v>
      </c>
      <c r="J145" t="s">
        <v>346</v>
      </c>
      <c r="K145">
        <v>-1214785389</v>
      </c>
      <c r="L145" t="s">
        <v>33</v>
      </c>
      <c r="M145" t="b">
        <v>0</v>
      </c>
      <c r="N145">
        <v>3165.462</v>
      </c>
    </row>
    <row r="146" spans="1:14" x14ac:dyDescent="0.25">
      <c r="A146" t="s">
        <v>417</v>
      </c>
      <c r="B146" t="s">
        <v>61</v>
      </c>
      <c r="C146" t="s">
        <v>47</v>
      </c>
      <c r="D146">
        <v>25</v>
      </c>
      <c r="E146" s="4" t="s">
        <v>2137</v>
      </c>
      <c r="F146" s="4" t="s">
        <v>2142</v>
      </c>
      <c r="G146" t="s">
        <v>16</v>
      </c>
      <c r="H146" s="1">
        <v>44463</v>
      </c>
      <c r="I146" s="4">
        <v>105202.73</v>
      </c>
      <c r="J146" t="s">
        <v>100</v>
      </c>
      <c r="K146">
        <v>-7895677664</v>
      </c>
      <c r="L146" t="s">
        <v>25</v>
      </c>
      <c r="M146" t="b">
        <v>1</v>
      </c>
      <c r="N146">
        <v>10520.273000000001</v>
      </c>
    </row>
    <row r="147" spans="1:14" x14ac:dyDescent="0.25">
      <c r="A147" t="s">
        <v>419</v>
      </c>
      <c r="B147" t="s">
        <v>40</v>
      </c>
      <c r="C147" t="s">
        <v>14</v>
      </c>
      <c r="D147">
        <v>30</v>
      </c>
      <c r="E147" s="4" t="s">
        <v>2143</v>
      </c>
      <c r="F147" s="4" t="s">
        <v>2138</v>
      </c>
      <c r="G147" t="s">
        <v>36</v>
      </c>
      <c r="H147" s="1">
        <v>45361</v>
      </c>
      <c r="I147" s="4">
        <v>79085.22</v>
      </c>
      <c r="J147" t="s">
        <v>59</v>
      </c>
      <c r="K147">
        <v>-7546027340</v>
      </c>
      <c r="L147" t="s">
        <v>33</v>
      </c>
      <c r="M147" t="b">
        <v>1</v>
      </c>
      <c r="N147">
        <v>3954.2610000000004</v>
      </c>
    </row>
    <row r="148" spans="1:14" x14ac:dyDescent="0.25">
      <c r="A148" t="s">
        <v>421</v>
      </c>
      <c r="B148" t="s">
        <v>40</v>
      </c>
      <c r="C148" t="s">
        <v>41</v>
      </c>
      <c r="E148" s="4" t="s">
        <v>2145</v>
      </c>
      <c r="F148" s="4" t="s">
        <v>2138</v>
      </c>
      <c r="G148" t="s">
        <v>16</v>
      </c>
      <c r="H148" s="1">
        <v>44357</v>
      </c>
      <c r="I148" s="4">
        <v>113983.43</v>
      </c>
      <c r="J148" t="s">
        <v>44</v>
      </c>
      <c r="K148">
        <v>-5148881430</v>
      </c>
      <c r="L148" t="s">
        <v>25</v>
      </c>
      <c r="M148" t="b">
        <v>1</v>
      </c>
      <c r="N148">
        <v>11398.343000000001</v>
      </c>
    </row>
    <row r="149" spans="1:14" x14ac:dyDescent="0.25">
      <c r="A149" t="s">
        <v>423</v>
      </c>
      <c r="B149" t="s">
        <v>35</v>
      </c>
      <c r="C149" t="s">
        <v>41</v>
      </c>
      <c r="D149">
        <v>35</v>
      </c>
      <c r="E149" s="4" t="s">
        <v>2143</v>
      </c>
      <c r="F149" s="4" t="s">
        <v>2144</v>
      </c>
      <c r="G149" t="s">
        <v>16</v>
      </c>
      <c r="H149" s="1">
        <v>44119</v>
      </c>
      <c r="I149" s="4">
        <v>102790.6</v>
      </c>
      <c r="J149" t="s">
        <v>167</v>
      </c>
      <c r="K149">
        <v>-1150835353</v>
      </c>
      <c r="L149" t="s">
        <v>33</v>
      </c>
      <c r="M149" t="b">
        <v>0</v>
      </c>
      <c r="N149">
        <v>5139.5300000000007</v>
      </c>
    </row>
    <row r="150" spans="1:14" x14ac:dyDescent="0.25">
      <c r="A150" t="s">
        <v>425</v>
      </c>
      <c r="B150" t="s">
        <v>80</v>
      </c>
      <c r="C150" t="s">
        <v>142</v>
      </c>
      <c r="E150" s="4" t="s">
        <v>2147</v>
      </c>
      <c r="F150" s="4" t="s">
        <v>2140</v>
      </c>
      <c r="G150" t="s">
        <v>36</v>
      </c>
      <c r="H150" s="1">
        <v>43859</v>
      </c>
      <c r="I150" s="4">
        <v>68512.100000000006</v>
      </c>
      <c r="J150" t="s">
        <v>160</v>
      </c>
      <c r="K150">
        <v>-4439284043</v>
      </c>
      <c r="L150" t="s">
        <v>19</v>
      </c>
      <c r="M150" t="b">
        <v>0</v>
      </c>
      <c r="N150">
        <v>1370.2420000000002</v>
      </c>
    </row>
    <row r="151" spans="1:14" x14ac:dyDescent="0.25">
      <c r="A151" t="s">
        <v>427</v>
      </c>
      <c r="B151" t="s">
        <v>40</v>
      </c>
      <c r="C151" t="s">
        <v>47</v>
      </c>
      <c r="D151">
        <v>35</v>
      </c>
      <c r="E151" s="4" t="s">
        <v>2145</v>
      </c>
      <c r="F151" s="4" t="s">
        <v>2144</v>
      </c>
      <c r="G151" t="s">
        <v>30</v>
      </c>
      <c r="H151" s="1">
        <v>44591</v>
      </c>
      <c r="I151" s="4">
        <v>57584.23</v>
      </c>
      <c r="J151" t="s">
        <v>214</v>
      </c>
      <c r="K151">
        <v>-5669078262</v>
      </c>
      <c r="L151" t="s">
        <v>19</v>
      </c>
      <c r="M151" t="b">
        <v>1</v>
      </c>
      <c r="N151">
        <v>1151.6846</v>
      </c>
    </row>
    <row r="152" spans="1:14" x14ac:dyDescent="0.25">
      <c r="A152" t="s">
        <v>429</v>
      </c>
      <c r="B152" t="s">
        <v>27</v>
      </c>
      <c r="C152" t="s">
        <v>41</v>
      </c>
      <c r="E152" s="4" t="s">
        <v>2145</v>
      </c>
      <c r="F152" s="4" t="s">
        <v>2138</v>
      </c>
      <c r="G152" t="s">
        <v>30</v>
      </c>
      <c r="H152" s="1">
        <v>44284</v>
      </c>
      <c r="I152" s="4">
        <v>95335.67</v>
      </c>
      <c r="J152" t="s">
        <v>431</v>
      </c>
      <c r="K152">
        <v>-3373898774</v>
      </c>
      <c r="L152" t="s">
        <v>45</v>
      </c>
      <c r="M152" t="b">
        <v>0</v>
      </c>
      <c r="N152">
        <v>0</v>
      </c>
    </row>
    <row r="153" spans="1:14" x14ac:dyDescent="0.25">
      <c r="A153" t="s">
        <v>432</v>
      </c>
      <c r="B153" t="s">
        <v>75</v>
      </c>
      <c r="C153" t="s">
        <v>41</v>
      </c>
      <c r="D153">
        <v>35</v>
      </c>
      <c r="E153" s="4" t="s">
        <v>2137</v>
      </c>
      <c r="F153" s="4" t="s">
        <v>2144</v>
      </c>
      <c r="G153" t="s">
        <v>16</v>
      </c>
      <c r="H153" s="1">
        <v>44117</v>
      </c>
      <c r="I153" s="4">
        <v>53174.28</v>
      </c>
      <c r="J153" t="s">
        <v>78</v>
      </c>
      <c r="K153">
        <v>-1536637779</v>
      </c>
      <c r="L153" t="s">
        <v>19</v>
      </c>
      <c r="M153" t="b">
        <v>1</v>
      </c>
      <c r="N153">
        <v>1063.4856</v>
      </c>
    </row>
    <row r="154" spans="1:14" x14ac:dyDescent="0.25">
      <c r="A154" t="s">
        <v>434</v>
      </c>
      <c r="B154" t="s">
        <v>75</v>
      </c>
      <c r="C154" t="s">
        <v>142</v>
      </c>
      <c r="D154">
        <v>25</v>
      </c>
      <c r="E154" s="4" t="s">
        <v>2143</v>
      </c>
      <c r="F154" s="4" t="s">
        <v>2146</v>
      </c>
      <c r="G154" t="s">
        <v>30</v>
      </c>
      <c r="H154" s="1">
        <v>44108</v>
      </c>
      <c r="I154" s="4">
        <v>77205.210000000006</v>
      </c>
      <c r="J154" t="s">
        <v>436</v>
      </c>
      <c r="K154">
        <v>-5292407552</v>
      </c>
      <c r="L154" t="s">
        <v>19</v>
      </c>
      <c r="M154" t="b">
        <v>0</v>
      </c>
      <c r="N154">
        <v>1544.1042000000002</v>
      </c>
    </row>
    <row r="155" spans="1:14" x14ac:dyDescent="0.25">
      <c r="A155" t="s">
        <v>437</v>
      </c>
      <c r="B155" t="s">
        <v>80</v>
      </c>
      <c r="C155" t="s">
        <v>41</v>
      </c>
      <c r="E155" s="4" t="s">
        <v>2137</v>
      </c>
      <c r="F155" s="4" t="s">
        <v>2142</v>
      </c>
      <c r="G155" t="s">
        <v>16</v>
      </c>
      <c r="H155" s="1">
        <v>45644</v>
      </c>
      <c r="I155" s="4">
        <v>79041.919999999998</v>
      </c>
      <c r="J155" t="s">
        <v>83</v>
      </c>
      <c r="K155">
        <v>-6668459089</v>
      </c>
      <c r="L155" t="s">
        <v>19</v>
      </c>
      <c r="M155" t="b">
        <v>1</v>
      </c>
      <c r="N155">
        <v>1580.8384000000001</v>
      </c>
    </row>
    <row r="156" spans="1:14" x14ac:dyDescent="0.25">
      <c r="A156" t="s">
        <v>439</v>
      </c>
      <c r="B156" t="s">
        <v>75</v>
      </c>
      <c r="C156" t="s">
        <v>28</v>
      </c>
      <c r="E156" s="4" t="s">
        <v>2139</v>
      </c>
      <c r="F156" s="4" t="s">
        <v>2138</v>
      </c>
      <c r="G156" t="s">
        <v>16</v>
      </c>
      <c r="H156" s="1">
        <v>45244</v>
      </c>
      <c r="I156" s="4">
        <v>75937.100000000006</v>
      </c>
      <c r="J156" t="s">
        <v>375</v>
      </c>
      <c r="K156">
        <v>-2259999662</v>
      </c>
      <c r="L156" t="s">
        <v>25</v>
      </c>
      <c r="M156" t="b">
        <v>1</v>
      </c>
      <c r="N156">
        <v>7593.7100000000009</v>
      </c>
    </row>
    <row r="157" spans="1:14" x14ac:dyDescent="0.25">
      <c r="A157" t="s">
        <v>441</v>
      </c>
      <c r="B157" t="s">
        <v>67</v>
      </c>
      <c r="C157" t="s">
        <v>62</v>
      </c>
      <c r="D157">
        <v>35</v>
      </c>
      <c r="E157" s="4" t="s">
        <v>2143</v>
      </c>
      <c r="F157" s="4" t="s">
        <v>2142</v>
      </c>
      <c r="G157" t="s">
        <v>36</v>
      </c>
      <c r="H157" s="1">
        <v>44946</v>
      </c>
      <c r="I157" s="4">
        <v>113118.73</v>
      </c>
      <c r="J157" t="s">
        <v>257</v>
      </c>
      <c r="K157">
        <v>-6186371596</v>
      </c>
      <c r="L157" t="s">
        <v>19</v>
      </c>
      <c r="M157" t="b">
        <v>0</v>
      </c>
      <c r="N157">
        <v>2262.3746000000001</v>
      </c>
    </row>
    <row r="158" spans="1:14" x14ac:dyDescent="0.25">
      <c r="A158" t="s">
        <v>443</v>
      </c>
      <c r="B158" t="s">
        <v>27</v>
      </c>
      <c r="C158" t="s">
        <v>14</v>
      </c>
      <c r="D158">
        <v>40</v>
      </c>
      <c r="E158" s="4" t="s">
        <v>2147</v>
      </c>
      <c r="F158" s="4" t="s">
        <v>2146</v>
      </c>
      <c r="G158" t="s">
        <v>16</v>
      </c>
      <c r="H158" s="1">
        <v>45567</v>
      </c>
      <c r="I158" s="4">
        <v>107693.38</v>
      </c>
      <c r="J158" t="s">
        <v>191</v>
      </c>
      <c r="K158">
        <v>-4121820969</v>
      </c>
      <c r="L158" t="s">
        <v>19</v>
      </c>
      <c r="M158" t="b">
        <v>1</v>
      </c>
      <c r="N158">
        <v>2153.8676</v>
      </c>
    </row>
    <row r="159" spans="1:14" x14ac:dyDescent="0.25">
      <c r="A159" t="s">
        <v>445</v>
      </c>
      <c r="B159" t="s">
        <v>67</v>
      </c>
      <c r="C159" t="s">
        <v>62</v>
      </c>
      <c r="E159" s="4" t="s">
        <v>2143</v>
      </c>
      <c r="F159" s="4" t="s">
        <v>2140</v>
      </c>
      <c r="G159" t="s">
        <v>36</v>
      </c>
      <c r="H159" s="1">
        <v>44329</v>
      </c>
      <c r="I159" s="4">
        <v>119217.46</v>
      </c>
      <c r="J159" t="s">
        <v>257</v>
      </c>
      <c r="K159">
        <v>-2316433480</v>
      </c>
      <c r="L159" t="s">
        <v>45</v>
      </c>
      <c r="M159" t="b">
        <v>0</v>
      </c>
      <c r="N159">
        <v>0</v>
      </c>
    </row>
    <row r="160" spans="1:14" x14ac:dyDescent="0.25">
      <c r="A160" t="s">
        <v>447</v>
      </c>
      <c r="B160" t="s">
        <v>67</v>
      </c>
      <c r="C160" t="s">
        <v>142</v>
      </c>
      <c r="D160">
        <v>25</v>
      </c>
      <c r="E160" s="4" t="s">
        <v>2145</v>
      </c>
      <c r="F160" s="4" t="s">
        <v>2146</v>
      </c>
      <c r="G160" t="s">
        <v>30</v>
      </c>
      <c r="H160" s="1">
        <v>44273</v>
      </c>
      <c r="I160" s="4">
        <v>106913.71</v>
      </c>
      <c r="J160" t="s">
        <v>402</v>
      </c>
      <c r="K160">
        <v>-7058025661</v>
      </c>
      <c r="L160" t="s">
        <v>19</v>
      </c>
      <c r="M160" t="b">
        <v>0</v>
      </c>
      <c r="N160">
        <v>2138.2742000000003</v>
      </c>
    </row>
    <row r="161" spans="1:14" x14ac:dyDescent="0.25">
      <c r="A161" t="s">
        <v>449</v>
      </c>
      <c r="B161" t="s">
        <v>61</v>
      </c>
      <c r="C161" t="s">
        <v>21</v>
      </c>
      <c r="E161" s="4" t="s">
        <v>2143</v>
      </c>
      <c r="F161" s="4" t="s">
        <v>2138</v>
      </c>
      <c r="G161" t="s">
        <v>16</v>
      </c>
      <c r="H161" s="1">
        <v>44097</v>
      </c>
      <c r="I161" s="4">
        <v>87815.08</v>
      </c>
      <c r="J161" t="s">
        <v>147</v>
      </c>
      <c r="K161">
        <v>-1286716322</v>
      </c>
      <c r="L161" t="s">
        <v>19</v>
      </c>
      <c r="M161" t="b">
        <v>1</v>
      </c>
      <c r="N161">
        <v>1756.3016</v>
      </c>
    </row>
    <row r="162" spans="1:14" x14ac:dyDescent="0.25">
      <c r="A162" t="s">
        <v>451</v>
      </c>
      <c r="B162" t="s">
        <v>13</v>
      </c>
      <c r="C162" t="s">
        <v>14</v>
      </c>
      <c r="D162">
        <v>25</v>
      </c>
      <c r="E162" s="4" t="s">
        <v>2141</v>
      </c>
      <c r="F162" s="4" t="s">
        <v>2140</v>
      </c>
      <c r="G162" t="s">
        <v>36</v>
      </c>
      <c r="H162" s="1">
        <v>45448</v>
      </c>
      <c r="I162" s="4">
        <v>105190.21</v>
      </c>
      <c r="J162" t="s">
        <v>18</v>
      </c>
      <c r="K162">
        <v>-4672994937</v>
      </c>
      <c r="L162" t="s">
        <v>33</v>
      </c>
      <c r="M162" t="b">
        <v>1</v>
      </c>
      <c r="N162">
        <v>5259.5105000000003</v>
      </c>
    </row>
    <row r="163" spans="1:14" x14ac:dyDescent="0.25">
      <c r="A163" t="s">
        <v>453</v>
      </c>
      <c r="B163" t="s">
        <v>27</v>
      </c>
      <c r="C163" t="s">
        <v>142</v>
      </c>
      <c r="D163">
        <v>30</v>
      </c>
      <c r="E163" s="4" t="s">
        <v>2147</v>
      </c>
      <c r="F163" s="4" t="s">
        <v>2140</v>
      </c>
      <c r="G163" t="s">
        <v>16</v>
      </c>
      <c r="H163" s="1">
        <v>45350</v>
      </c>
      <c r="I163" s="4">
        <v>79467.240000000005</v>
      </c>
      <c r="J163" t="s">
        <v>217</v>
      </c>
      <c r="K163">
        <v>-7430271692</v>
      </c>
      <c r="L163" t="s">
        <v>45</v>
      </c>
      <c r="M163" t="b">
        <v>0</v>
      </c>
      <c r="N163">
        <v>0</v>
      </c>
    </row>
    <row r="164" spans="1:14" x14ac:dyDescent="0.25">
      <c r="A164" t="s">
        <v>455</v>
      </c>
      <c r="B164" t="s">
        <v>13</v>
      </c>
      <c r="C164" t="s">
        <v>47</v>
      </c>
      <c r="D164">
        <v>40</v>
      </c>
      <c r="E164" s="4" t="s">
        <v>2139</v>
      </c>
      <c r="F164" s="4" t="s">
        <v>2138</v>
      </c>
      <c r="G164" t="s">
        <v>30</v>
      </c>
      <c r="H164" s="1">
        <v>45046</v>
      </c>
      <c r="I164" s="4">
        <v>57633.78</v>
      </c>
      <c r="J164" t="s">
        <v>180</v>
      </c>
      <c r="K164">
        <v>-8597779013</v>
      </c>
      <c r="L164" t="s">
        <v>45</v>
      </c>
      <c r="M164" t="b">
        <v>1</v>
      </c>
      <c r="N164">
        <v>0</v>
      </c>
    </row>
    <row r="165" spans="1:14" x14ac:dyDescent="0.25">
      <c r="A165" t="s">
        <v>457</v>
      </c>
      <c r="B165" t="s">
        <v>27</v>
      </c>
      <c r="C165" t="s">
        <v>21</v>
      </c>
      <c r="E165" s="4" t="s">
        <v>2147</v>
      </c>
      <c r="F165" s="4" t="s">
        <v>2144</v>
      </c>
      <c r="G165" t="s">
        <v>30</v>
      </c>
      <c r="H165" s="1">
        <v>43894</v>
      </c>
      <c r="I165" s="4">
        <v>54257.78</v>
      </c>
      <c r="J165" t="s">
        <v>93</v>
      </c>
      <c r="K165">
        <v>-7546926328</v>
      </c>
      <c r="L165" t="s">
        <v>45</v>
      </c>
      <c r="M165" t="b">
        <v>1</v>
      </c>
      <c r="N165">
        <v>0</v>
      </c>
    </row>
    <row r="166" spans="1:14" x14ac:dyDescent="0.25">
      <c r="A166" t="s">
        <v>459</v>
      </c>
      <c r="B166" t="s">
        <v>80</v>
      </c>
      <c r="C166" t="s">
        <v>62</v>
      </c>
      <c r="D166">
        <v>40</v>
      </c>
      <c r="E166" s="4" t="s">
        <v>2137</v>
      </c>
      <c r="F166" s="4" t="s">
        <v>2140</v>
      </c>
      <c r="G166" t="s">
        <v>36</v>
      </c>
      <c r="H166" s="1">
        <v>45289</v>
      </c>
      <c r="I166" s="4">
        <v>113679.06</v>
      </c>
      <c r="J166" t="s">
        <v>150</v>
      </c>
      <c r="K166">
        <v>-6762916031</v>
      </c>
      <c r="L166" t="s">
        <v>45</v>
      </c>
      <c r="M166" t="b">
        <v>1</v>
      </c>
      <c r="N166">
        <v>0</v>
      </c>
    </row>
    <row r="167" spans="1:14" x14ac:dyDescent="0.25">
      <c r="A167" t="s">
        <v>461</v>
      </c>
      <c r="B167" t="s">
        <v>13</v>
      </c>
      <c r="C167" t="s">
        <v>142</v>
      </c>
      <c r="D167">
        <v>35</v>
      </c>
      <c r="E167" s="4" t="s">
        <v>2145</v>
      </c>
      <c r="F167" s="4" t="s">
        <v>2146</v>
      </c>
      <c r="G167" t="s">
        <v>16</v>
      </c>
      <c r="H167" s="1">
        <v>44089</v>
      </c>
      <c r="I167" s="4">
        <v>69251.12</v>
      </c>
      <c r="J167" t="s">
        <v>144</v>
      </c>
      <c r="K167">
        <v>-4841376814</v>
      </c>
      <c r="L167" t="s">
        <v>45</v>
      </c>
      <c r="M167" t="b">
        <v>1</v>
      </c>
      <c r="N167">
        <v>0</v>
      </c>
    </row>
    <row r="168" spans="1:14" x14ac:dyDescent="0.25">
      <c r="A168" t="s">
        <v>463</v>
      </c>
      <c r="B168" t="s">
        <v>40</v>
      </c>
      <c r="C168" t="s">
        <v>47</v>
      </c>
      <c r="D168">
        <v>40</v>
      </c>
      <c r="E168" s="4" t="s">
        <v>2145</v>
      </c>
      <c r="F168" s="4" t="s">
        <v>2148</v>
      </c>
      <c r="G168" t="s">
        <v>36</v>
      </c>
      <c r="H168" s="1">
        <v>44760</v>
      </c>
      <c r="I168" s="4">
        <v>85388.58</v>
      </c>
      <c r="J168" t="s">
        <v>214</v>
      </c>
      <c r="K168">
        <v>-1185672437</v>
      </c>
      <c r="L168" t="s">
        <v>45</v>
      </c>
      <c r="M168" t="b">
        <v>1</v>
      </c>
      <c r="N168">
        <v>0</v>
      </c>
    </row>
    <row r="169" spans="1:14" x14ac:dyDescent="0.25">
      <c r="A169" t="s">
        <v>465</v>
      </c>
      <c r="B169" t="s">
        <v>13</v>
      </c>
      <c r="C169" t="s">
        <v>14</v>
      </c>
      <c r="E169" s="4" t="s">
        <v>2137</v>
      </c>
      <c r="F169" s="4" t="s">
        <v>2146</v>
      </c>
      <c r="G169" t="s">
        <v>36</v>
      </c>
      <c r="H169" s="1">
        <v>44755</v>
      </c>
      <c r="I169" s="4">
        <v>112166.37</v>
      </c>
      <c r="J169" t="s">
        <v>18</v>
      </c>
      <c r="K169">
        <v>-701765635</v>
      </c>
      <c r="L169" t="s">
        <v>25</v>
      </c>
      <c r="M169" t="b">
        <v>0</v>
      </c>
      <c r="N169">
        <v>11216.637000000001</v>
      </c>
    </row>
    <row r="170" spans="1:14" x14ac:dyDescent="0.25">
      <c r="A170" t="s">
        <v>467</v>
      </c>
      <c r="B170" t="s">
        <v>75</v>
      </c>
      <c r="C170" t="s">
        <v>14</v>
      </c>
      <c r="D170">
        <v>40</v>
      </c>
      <c r="E170" s="4" t="s">
        <v>2139</v>
      </c>
      <c r="F170" s="4" t="s">
        <v>2142</v>
      </c>
      <c r="G170" t="s">
        <v>16</v>
      </c>
      <c r="H170" s="1">
        <v>44471</v>
      </c>
      <c r="I170" s="4">
        <v>79873.48</v>
      </c>
      <c r="J170" t="s">
        <v>469</v>
      </c>
      <c r="K170">
        <v>-41257770</v>
      </c>
      <c r="L170" t="s">
        <v>19</v>
      </c>
      <c r="M170" t="b">
        <v>0</v>
      </c>
      <c r="N170">
        <v>1597.4695999999999</v>
      </c>
    </row>
    <row r="171" spans="1:14" x14ac:dyDescent="0.25">
      <c r="A171" t="s">
        <v>470</v>
      </c>
      <c r="B171" t="s">
        <v>40</v>
      </c>
      <c r="C171" t="s">
        <v>106</v>
      </c>
      <c r="D171">
        <v>30</v>
      </c>
      <c r="E171" s="4" t="s">
        <v>2137</v>
      </c>
      <c r="F171" s="4" t="s">
        <v>2144</v>
      </c>
      <c r="G171" t="s">
        <v>16</v>
      </c>
      <c r="H171" s="1">
        <v>44017</v>
      </c>
      <c r="I171" s="4">
        <v>108224.03</v>
      </c>
      <c r="J171" t="s">
        <v>128</v>
      </c>
      <c r="K171">
        <v>-1837274219</v>
      </c>
      <c r="L171" t="s">
        <v>45</v>
      </c>
      <c r="M171" t="b">
        <v>1</v>
      </c>
      <c r="N171">
        <v>0</v>
      </c>
    </row>
    <row r="172" spans="1:14" x14ac:dyDescent="0.25">
      <c r="A172" t="s">
        <v>472</v>
      </c>
      <c r="B172" t="s">
        <v>13</v>
      </c>
      <c r="C172" t="s">
        <v>47</v>
      </c>
      <c r="D172">
        <v>35</v>
      </c>
      <c r="E172" s="4" t="s">
        <v>2141</v>
      </c>
      <c r="F172" s="4" t="s">
        <v>2148</v>
      </c>
      <c r="G172" t="s">
        <v>16</v>
      </c>
      <c r="H172" s="1">
        <v>45032</v>
      </c>
      <c r="I172" s="4">
        <v>116963.72</v>
      </c>
      <c r="J172" t="s">
        <v>180</v>
      </c>
      <c r="K172">
        <v>-9124186209</v>
      </c>
      <c r="L172" t="s">
        <v>19</v>
      </c>
      <c r="M172" t="b">
        <v>1</v>
      </c>
      <c r="N172">
        <v>2339.2744000000002</v>
      </c>
    </row>
    <row r="173" spans="1:14" x14ac:dyDescent="0.25">
      <c r="A173" t="s">
        <v>474</v>
      </c>
      <c r="B173" t="s">
        <v>13</v>
      </c>
      <c r="C173" t="s">
        <v>28</v>
      </c>
      <c r="D173">
        <v>40</v>
      </c>
      <c r="E173" s="4" t="s">
        <v>2147</v>
      </c>
      <c r="F173" s="4" t="s">
        <v>2142</v>
      </c>
      <c r="G173" t="s">
        <v>36</v>
      </c>
      <c r="H173" s="1">
        <v>45608</v>
      </c>
      <c r="I173" s="4">
        <v>114109.06</v>
      </c>
      <c r="J173" t="s">
        <v>56</v>
      </c>
      <c r="K173">
        <v>-4275230836</v>
      </c>
      <c r="L173" t="s">
        <v>19</v>
      </c>
      <c r="M173" t="b">
        <v>1</v>
      </c>
      <c r="N173">
        <v>2282.1812</v>
      </c>
    </row>
    <row r="174" spans="1:14" x14ac:dyDescent="0.25">
      <c r="A174" t="s">
        <v>476</v>
      </c>
      <c r="B174" t="s">
        <v>35</v>
      </c>
      <c r="C174" t="s">
        <v>41</v>
      </c>
      <c r="E174" s="4" t="s">
        <v>2147</v>
      </c>
      <c r="F174" s="4" t="s">
        <v>2138</v>
      </c>
      <c r="G174" t="s">
        <v>16</v>
      </c>
      <c r="H174" s="1">
        <v>45014</v>
      </c>
      <c r="I174" s="4">
        <v>85518.88</v>
      </c>
      <c r="J174" t="s">
        <v>167</v>
      </c>
      <c r="K174">
        <v>-816470899</v>
      </c>
      <c r="L174" t="s">
        <v>25</v>
      </c>
      <c r="M174" t="b">
        <v>0</v>
      </c>
      <c r="N174">
        <v>8551.8880000000008</v>
      </c>
    </row>
    <row r="175" spans="1:14" x14ac:dyDescent="0.25">
      <c r="A175" t="s">
        <v>478</v>
      </c>
      <c r="B175" t="s">
        <v>75</v>
      </c>
      <c r="C175" t="s">
        <v>21</v>
      </c>
      <c r="D175">
        <v>30</v>
      </c>
      <c r="E175" s="4" t="s">
        <v>2143</v>
      </c>
      <c r="F175" s="4" t="s">
        <v>2138</v>
      </c>
      <c r="G175" t="s">
        <v>30</v>
      </c>
      <c r="H175" s="1">
        <v>44583</v>
      </c>
      <c r="I175" s="4">
        <v>58041.97</v>
      </c>
      <c r="J175" t="s">
        <v>480</v>
      </c>
      <c r="K175">
        <v>-6335331059</v>
      </c>
      <c r="L175" t="s">
        <v>45</v>
      </c>
      <c r="M175" t="b">
        <v>1</v>
      </c>
      <c r="N175">
        <v>0</v>
      </c>
    </row>
    <row r="176" spans="1:14" x14ac:dyDescent="0.25">
      <c r="A176" t="s">
        <v>481</v>
      </c>
      <c r="B176" t="s">
        <v>67</v>
      </c>
      <c r="C176" t="s">
        <v>47</v>
      </c>
      <c r="D176">
        <v>40</v>
      </c>
      <c r="E176" s="4" t="s">
        <v>2145</v>
      </c>
      <c r="F176" s="4" t="s">
        <v>2148</v>
      </c>
      <c r="G176" t="s">
        <v>30</v>
      </c>
      <c r="H176" s="1">
        <v>45213</v>
      </c>
      <c r="I176" s="4">
        <v>94988.94</v>
      </c>
      <c r="J176" t="s">
        <v>118</v>
      </c>
      <c r="K176">
        <v>-531312205</v>
      </c>
      <c r="L176" t="s">
        <v>33</v>
      </c>
      <c r="M176" t="b">
        <v>0</v>
      </c>
      <c r="N176">
        <v>4749.4470000000001</v>
      </c>
    </row>
    <row r="177" spans="1:14" x14ac:dyDescent="0.25">
      <c r="A177" t="s">
        <v>483</v>
      </c>
      <c r="B177" t="s">
        <v>35</v>
      </c>
      <c r="C177" t="s">
        <v>106</v>
      </c>
      <c r="D177">
        <v>25</v>
      </c>
      <c r="E177" s="4" t="s">
        <v>2141</v>
      </c>
      <c r="F177" s="4" t="s">
        <v>2138</v>
      </c>
      <c r="G177" t="s">
        <v>30</v>
      </c>
      <c r="H177" s="1">
        <v>45392</v>
      </c>
      <c r="I177" s="4">
        <v>71628.929999999993</v>
      </c>
      <c r="J177" t="s">
        <v>307</v>
      </c>
      <c r="K177">
        <v>-8155839385</v>
      </c>
      <c r="L177" t="s">
        <v>25</v>
      </c>
      <c r="M177" t="b">
        <v>0</v>
      </c>
      <c r="N177">
        <v>7162.893</v>
      </c>
    </row>
    <row r="178" spans="1:14" x14ac:dyDescent="0.25">
      <c r="A178" t="s">
        <v>485</v>
      </c>
      <c r="B178" t="s">
        <v>27</v>
      </c>
      <c r="C178" t="s">
        <v>41</v>
      </c>
      <c r="D178">
        <v>30</v>
      </c>
      <c r="E178" s="4" t="s">
        <v>2141</v>
      </c>
      <c r="F178" s="4" t="s">
        <v>2148</v>
      </c>
      <c r="G178" t="s">
        <v>30</v>
      </c>
      <c r="H178" s="1">
        <v>44651</v>
      </c>
      <c r="I178" s="4">
        <v>54870.98</v>
      </c>
      <c r="J178" t="s">
        <v>431</v>
      </c>
      <c r="K178">
        <v>-6133155205</v>
      </c>
      <c r="L178" t="s">
        <v>33</v>
      </c>
      <c r="M178" t="b">
        <v>0</v>
      </c>
      <c r="N178">
        <v>2743.5490000000004</v>
      </c>
    </row>
    <row r="179" spans="1:14" x14ac:dyDescent="0.25">
      <c r="A179" t="s">
        <v>487</v>
      </c>
      <c r="B179" t="s">
        <v>27</v>
      </c>
      <c r="C179" t="s">
        <v>41</v>
      </c>
      <c r="D179">
        <v>25</v>
      </c>
      <c r="E179" s="4" t="s">
        <v>2137</v>
      </c>
      <c r="F179" s="4" t="s">
        <v>2148</v>
      </c>
      <c r="G179" t="s">
        <v>16</v>
      </c>
      <c r="H179" s="1">
        <v>44601</v>
      </c>
      <c r="I179" s="4">
        <v>79388.27</v>
      </c>
      <c r="J179" t="s">
        <v>431</v>
      </c>
      <c r="K179">
        <v>-5063731494</v>
      </c>
      <c r="L179" t="s">
        <v>19</v>
      </c>
      <c r="M179" t="b">
        <v>1</v>
      </c>
      <c r="N179">
        <v>1587.7654000000002</v>
      </c>
    </row>
    <row r="180" spans="1:14" x14ac:dyDescent="0.25">
      <c r="A180" t="s">
        <v>489</v>
      </c>
      <c r="B180" t="s">
        <v>40</v>
      </c>
      <c r="C180" t="s">
        <v>142</v>
      </c>
      <c r="D180">
        <v>35</v>
      </c>
      <c r="E180" s="4" t="s">
        <v>2137</v>
      </c>
      <c r="F180" s="4" t="s">
        <v>2138</v>
      </c>
      <c r="G180" t="s">
        <v>30</v>
      </c>
      <c r="H180" s="1">
        <v>45052</v>
      </c>
      <c r="I180" s="4">
        <v>55946.99</v>
      </c>
      <c r="J180" t="s">
        <v>163</v>
      </c>
      <c r="K180">
        <v>-136497188</v>
      </c>
      <c r="L180" t="s">
        <v>19</v>
      </c>
      <c r="M180" t="b">
        <v>0</v>
      </c>
      <c r="N180">
        <v>1118.9397999999999</v>
      </c>
    </row>
    <row r="181" spans="1:14" x14ac:dyDescent="0.25">
      <c r="A181" t="s">
        <v>491</v>
      </c>
      <c r="B181" t="s">
        <v>61</v>
      </c>
      <c r="C181" t="s">
        <v>41</v>
      </c>
      <c r="E181" s="4" t="s">
        <v>2143</v>
      </c>
      <c r="F181" s="4" t="s">
        <v>2142</v>
      </c>
      <c r="G181" t="s">
        <v>16</v>
      </c>
      <c r="H181" s="1">
        <v>44388</v>
      </c>
      <c r="I181" s="4">
        <v>81017.91</v>
      </c>
      <c r="J181" t="s">
        <v>104</v>
      </c>
      <c r="K181">
        <v>-2419562524</v>
      </c>
      <c r="L181" t="s">
        <v>25</v>
      </c>
      <c r="M181" t="b">
        <v>1</v>
      </c>
      <c r="N181">
        <v>8101.7910000000011</v>
      </c>
    </row>
    <row r="182" spans="1:14" x14ac:dyDescent="0.25">
      <c r="A182" t="s">
        <v>493</v>
      </c>
      <c r="B182" t="s">
        <v>75</v>
      </c>
      <c r="C182" t="s">
        <v>28</v>
      </c>
      <c r="D182">
        <v>40</v>
      </c>
      <c r="E182" s="4" t="s">
        <v>2147</v>
      </c>
      <c r="F182" s="4" t="s">
        <v>2146</v>
      </c>
      <c r="G182" t="s">
        <v>30</v>
      </c>
      <c r="H182" s="1">
        <v>44064</v>
      </c>
      <c r="I182" s="4">
        <v>74162.100000000006</v>
      </c>
      <c r="J182" t="s">
        <v>375</v>
      </c>
      <c r="K182">
        <v>-7150997682</v>
      </c>
      <c r="L182" t="s">
        <v>25</v>
      </c>
      <c r="M182" t="b">
        <v>0</v>
      </c>
      <c r="N182">
        <v>7416.2100000000009</v>
      </c>
    </row>
    <row r="183" spans="1:14" x14ac:dyDescent="0.25">
      <c r="A183" t="s">
        <v>495</v>
      </c>
      <c r="B183" t="s">
        <v>75</v>
      </c>
      <c r="C183" t="s">
        <v>14</v>
      </c>
      <c r="E183" s="4" t="s">
        <v>2137</v>
      </c>
      <c r="F183" s="4" t="s">
        <v>2138</v>
      </c>
      <c r="G183" t="s">
        <v>16</v>
      </c>
      <c r="H183" s="1">
        <v>44282</v>
      </c>
      <c r="I183" s="4">
        <v>77668.44</v>
      </c>
      <c r="J183" t="s">
        <v>469</v>
      </c>
      <c r="K183">
        <v>-8903091435</v>
      </c>
      <c r="L183" t="s">
        <v>33</v>
      </c>
      <c r="M183" t="b">
        <v>1</v>
      </c>
      <c r="N183">
        <v>3883.4220000000005</v>
      </c>
    </row>
    <row r="184" spans="1:14" x14ac:dyDescent="0.25">
      <c r="A184" t="s">
        <v>497</v>
      </c>
      <c r="B184" t="s">
        <v>27</v>
      </c>
      <c r="C184" t="s">
        <v>106</v>
      </c>
      <c r="D184">
        <v>30</v>
      </c>
      <c r="E184" s="4" t="s">
        <v>2147</v>
      </c>
      <c r="F184" s="4" t="s">
        <v>2146</v>
      </c>
      <c r="G184" t="s">
        <v>16</v>
      </c>
      <c r="H184" s="1">
        <v>45396</v>
      </c>
      <c r="I184" s="4">
        <v>67886.37</v>
      </c>
      <c r="J184" t="s">
        <v>194</v>
      </c>
      <c r="K184">
        <v>-3910257431</v>
      </c>
      <c r="L184" t="s">
        <v>45</v>
      </c>
      <c r="M184" t="b">
        <v>0</v>
      </c>
      <c r="N184">
        <v>0</v>
      </c>
    </row>
    <row r="185" spans="1:14" x14ac:dyDescent="0.25">
      <c r="A185" t="s">
        <v>499</v>
      </c>
      <c r="B185" t="s">
        <v>27</v>
      </c>
      <c r="C185" t="s">
        <v>41</v>
      </c>
      <c r="D185">
        <v>40</v>
      </c>
      <c r="E185" s="4" t="s">
        <v>2137</v>
      </c>
      <c r="F185" s="4" t="s">
        <v>2144</v>
      </c>
      <c r="G185" t="s">
        <v>16</v>
      </c>
      <c r="H185" s="1">
        <v>44095</v>
      </c>
      <c r="I185" s="4">
        <v>76614.52</v>
      </c>
      <c r="J185" t="s">
        <v>431</v>
      </c>
      <c r="K185">
        <v>-6303975244</v>
      </c>
      <c r="L185" t="s">
        <v>33</v>
      </c>
      <c r="M185" t="b">
        <v>1</v>
      </c>
      <c r="N185">
        <v>3830.7260000000006</v>
      </c>
    </row>
    <row r="186" spans="1:14" x14ac:dyDescent="0.25">
      <c r="A186" t="s">
        <v>501</v>
      </c>
      <c r="B186" t="s">
        <v>40</v>
      </c>
      <c r="C186" t="s">
        <v>142</v>
      </c>
      <c r="D186">
        <v>25</v>
      </c>
      <c r="E186" s="4" t="s">
        <v>2139</v>
      </c>
      <c r="F186" s="4" t="s">
        <v>2142</v>
      </c>
      <c r="G186" t="s">
        <v>16</v>
      </c>
      <c r="H186" s="1">
        <v>44724</v>
      </c>
      <c r="I186" s="4">
        <v>51311.91</v>
      </c>
      <c r="J186" t="s">
        <v>163</v>
      </c>
      <c r="K186">
        <v>-864035532</v>
      </c>
      <c r="L186" t="s">
        <v>25</v>
      </c>
      <c r="M186" t="b">
        <v>0</v>
      </c>
      <c r="N186">
        <v>5131.1910000000007</v>
      </c>
    </row>
    <row r="187" spans="1:14" x14ac:dyDescent="0.25">
      <c r="A187" t="s">
        <v>503</v>
      </c>
      <c r="B187" t="s">
        <v>40</v>
      </c>
      <c r="C187" t="s">
        <v>28</v>
      </c>
      <c r="E187" s="4" t="s">
        <v>2139</v>
      </c>
      <c r="F187" s="4" t="s">
        <v>2148</v>
      </c>
      <c r="G187" t="s">
        <v>36</v>
      </c>
      <c r="H187" s="1">
        <v>45284</v>
      </c>
      <c r="I187" s="4">
        <v>94809.919999999998</v>
      </c>
      <c r="J187" t="s">
        <v>53</v>
      </c>
      <c r="K187">
        <v>-8033968526</v>
      </c>
      <c r="L187" t="s">
        <v>33</v>
      </c>
      <c r="M187" t="b">
        <v>1</v>
      </c>
      <c r="N187">
        <v>4740.4960000000001</v>
      </c>
    </row>
    <row r="188" spans="1:14" x14ac:dyDescent="0.25">
      <c r="A188" t="s">
        <v>505</v>
      </c>
      <c r="B188" t="s">
        <v>80</v>
      </c>
      <c r="C188" t="s">
        <v>62</v>
      </c>
      <c r="D188">
        <v>25</v>
      </c>
      <c r="E188" s="4" t="s">
        <v>2147</v>
      </c>
      <c r="F188" s="4" t="s">
        <v>2146</v>
      </c>
      <c r="G188" t="s">
        <v>30</v>
      </c>
      <c r="H188" s="1">
        <v>44773</v>
      </c>
      <c r="I188" s="4">
        <v>108241.81</v>
      </c>
      <c r="J188" t="s">
        <v>150</v>
      </c>
      <c r="K188">
        <v>-171302320</v>
      </c>
      <c r="L188" t="s">
        <v>25</v>
      </c>
      <c r="M188" t="b">
        <v>1</v>
      </c>
      <c r="N188">
        <v>10824.181</v>
      </c>
    </row>
    <row r="189" spans="1:14" x14ac:dyDescent="0.25">
      <c r="A189" t="s">
        <v>507</v>
      </c>
      <c r="B189" t="s">
        <v>13</v>
      </c>
      <c r="C189" t="s">
        <v>14</v>
      </c>
      <c r="D189">
        <v>40</v>
      </c>
      <c r="E189" s="4" t="s">
        <v>2143</v>
      </c>
      <c r="F189" s="4" t="s">
        <v>2146</v>
      </c>
      <c r="G189" t="s">
        <v>36</v>
      </c>
      <c r="H189" s="1">
        <v>45037</v>
      </c>
      <c r="I189" s="4">
        <v>78031.490000000005</v>
      </c>
      <c r="J189" t="s">
        <v>18</v>
      </c>
      <c r="K189">
        <v>-2983381673</v>
      </c>
      <c r="L189" t="s">
        <v>33</v>
      </c>
      <c r="M189" t="b">
        <v>1</v>
      </c>
      <c r="N189">
        <v>3901.5745000000006</v>
      </c>
    </row>
    <row r="190" spans="1:14" x14ac:dyDescent="0.25">
      <c r="A190" t="s">
        <v>509</v>
      </c>
      <c r="B190" t="s">
        <v>35</v>
      </c>
      <c r="C190" t="s">
        <v>14</v>
      </c>
      <c r="D190">
        <v>35</v>
      </c>
      <c r="E190" s="4" t="s">
        <v>2141</v>
      </c>
      <c r="F190" s="4" t="s">
        <v>2138</v>
      </c>
      <c r="G190" t="s">
        <v>16</v>
      </c>
      <c r="H190" s="1">
        <v>43987</v>
      </c>
      <c r="I190" s="4">
        <v>85733.83</v>
      </c>
      <c r="J190" t="s">
        <v>38</v>
      </c>
      <c r="K190">
        <v>-2336293448</v>
      </c>
      <c r="L190" t="s">
        <v>25</v>
      </c>
      <c r="M190" t="b">
        <v>1</v>
      </c>
      <c r="N190">
        <v>8573.3829999999998</v>
      </c>
    </row>
    <row r="191" spans="1:14" x14ac:dyDescent="0.25">
      <c r="A191" t="s">
        <v>511</v>
      </c>
      <c r="B191" t="s">
        <v>67</v>
      </c>
      <c r="C191" t="s">
        <v>106</v>
      </c>
      <c r="D191">
        <v>35</v>
      </c>
      <c r="E191" s="4" t="s">
        <v>2147</v>
      </c>
      <c r="F191" s="4" t="s">
        <v>2142</v>
      </c>
      <c r="G191" t="s">
        <v>30</v>
      </c>
      <c r="H191" s="1">
        <v>45500</v>
      </c>
      <c r="I191" s="4">
        <v>60338.29</v>
      </c>
      <c r="J191" t="s">
        <v>124</v>
      </c>
      <c r="K191">
        <v>-7347156626</v>
      </c>
      <c r="L191" t="s">
        <v>25</v>
      </c>
      <c r="M191" t="b">
        <v>0</v>
      </c>
      <c r="N191">
        <v>6033.8290000000006</v>
      </c>
    </row>
    <row r="192" spans="1:14" x14ac:dyDescent="0.25">
      <c r="A192" t="s">
        <v>513</v>
      </c>
      <c r="B192" t="s">
        <v>35</v>
      </c>
      <c r="C192" t="s">
        <v>14</v>
      </c>
      <c r="D192">
        <v>30</v>
      </c>
      <c r="E192" s="4" t="s">
        <v>2141</v>
      </c>
      <c r="F192" s="4" t="s">
        <v>2148</v>
      </c>
      <c r="G192" t="s">
        <v>16</v>
      </c>
      <c r="H192" s="1">
        <v>45387</v>
      </c>
      <c r="I192" s="4">
        <v>103140.67</v>
      </c>
      <c r="J192" t="s">
        <v>38</v>
      </c>
      <c r="K192">
        <v>-7689627065</v>
      </c>
      <c r="L192" t="s">
        <v>25</v>
      </c>
      <c r="M192" t="b">
        <v>0</v>
      </c>
      <c r="N192">
        <v>10314.067000000001</v>
      </c>
    </row>
    <row r="193" spans="1:14" x14ac:dyDescent="0.25">
      <c r="A193" t="s">
        <v>515</v>
      </c>
      <c r="B193" t="s">
        <v>75</v>
      </c>
      <c r="C193" t="s">
        <v>41</v>
      </c>
      <c r="D193">
        <v>40</v>
      </c>
      <c r="E193" s="4" t="s">
        <v>2145</v>
      </c>
      <c r="F193" s="4" t="s">
        <v>2148</v>
      </c>
      <c r="G193" t="s">
        <v>36</v>
      </c>
      <c r="H193" s="1">
        <v>45225</v>
      </c>
      <c r="I193" s="4">
        <v>114690.8</v>
      </c>
      <c r="J193" t="s">
        <v>78</v>
      </c>
      <c r="K193">
        <v>-1498282466</v>
      </c>
      <c r="L193" t="s">
        <v>45</v>
      </c>
      <c r="M193" t="b">
        <v>1</v>
      </c>
      <c r="N193">
        <v>0</v>
      </c>
    </row>
    <row r="194" spans="1:14" x14ac:dyDescent="0.25">
      <c r="A194" t="s">
        <v>517</v>
      </c>
      <c r="B194" t="s">
        <v>40</v>
      </c>
      <c r="C194" t="s">
        <v>142</v>
      </c>
      <c r="D194">
        <v>35</v>
      </c>
      <c r="E194" s="4" t="s">
        <v>2141</v>
      </c>
      <c r="F194" s="4" t="s">
        <v>2144</v>
      </c>
      <c r="G194" t="s">
        <v>16</v>
      </c>
      <c r="H194" s="1">
        <v>44791</v>
      </c>
      <c r="I194" s="4">
        <v>80954.559999999998</v>
      </c>
      <c r="J194" t="s">
        <v>163</v>
      </c>
      <c r="K194">
        <v>-4746897151</v>
      </c>
      <c r="L194" t="s">
        <v>33</v>
      </c>
      <c r="M194" t="b">
        <v>0</v>
      </c>
      <c r="N194">
        <v>4047.7280000000001</v>
      </c>
    </row>
    <row r="195" spans="1:14" x14ac:dyDescent="0.25">
      <c r="A195" t="s">
        <v>519</v>
      </c>
      <c r="B195" t="s">
        <v>35</v>
      </c>
      <c r="C195" t="s">
        <v>14</v>
      </c>
      <c r="E195" s="4" t="s">
        <v>2143</v>
      </c>
      <c r="F195" s="4" t="s">
        <v>2138</v>
      </c>
      <c r="G195" t="s">
        <v>30</v>
      </c>
      <c r="H195" s="1">
        <v>43982</v>
      </c>
      <c r="I195" s="4">
        <v>71728.55</v>
      </c>
      <c r="J195" t="s">
        <v>38</v>
      </c>
      <c r="K195">
        <v>-7323008575</v>
      </c>
      <c r="L195" t="s">
        <v>33</v>
      </c>
      <c r="M195" t="b">
        <v>1</v>
      </c>
      <c r="N195">
        <v>3586.4275000000002</v>
      </c>
    </row>
    <row r="196" spans="1:14" x14ac:dyDescent="0.25">
      <c r="A196" t="s">
        <v>521</v>
      </c>
      <c r="B196" t="s">
        <v>27</v>
      </c>
      <c r="C196" t="s">
        <v>14</v>
      </c>
      <c r="D196">
        <v>35</v>
      </c>
      <c r="E196" s="4" t="s">
        <v>2147</v>
      </c>
      <c r="F196" s="4" t="s">
        <v>2140</v>
      </c>
      <c r="G196" t="s">
        <v>30</v>
      </c>
      <c r="H196" s="1">
        <v>45600</v>
      </c>
      <c r="I196" s="4">
        <v>118415.8</v>
      </c>
      <c r="J196" t="s">
        <v>191</v>
      </c>
      <c r="K196">
        <v>-6656749159</v>
      </c>
      <c r="L196" t="s">
        <v>33</v>
      </c>
      <c r="M196" t="b">
        <v>1</v>
      </c>
      <c r="N196">
        <v>5920.7900000000009</v>
      </c>
    </row>
    <row r="197" spans="1:14" x14ac:dyDescent="0.25">
      <c r="A197" t="s">
        <v>523</v>
      </c>
      <c r="B197" t="s">
        <v>80</v>
      </c>
      <c r="C197" t="s">
        <v>62</v>
      </c>
      <c r="D197">
        <v>40</v>
      </c>
      <c r="E197" s="4" t="s">
        <v>2145</v>
      </c>
      <c r="F197" s="4" t="s">
        <v>2148</v>
      </c>
      <c r="G197" t="s">
        <v>30</v>
      </c>
      <c r="H197" s="1">
        <v>43915</v>
      </c>
      <c r="I197" s="4">
        <v>81481.36</v>
      </c>
      <c r="J197" t="s">
        <v>150</v>
      </c>
      <c r="K197">
        <v>-1692364586</v>
      </c>
      <c r="L197" t="s">
        <v>25</v>
      </c>
      <c r="M197" t="b">
        <v>0</v>
      </c>
      <c r="N197">
        <v>8148.1360000000004</v>
      </c>
    </row>
    <row r="198" spans="1:14" x14ac:dyDescent="0.25">
      <c r="A198" t="s">
        <v>525</v>
      </c>
      <c r="B198" t="s">
        <v>67</v>
      </c>
      <c r="C198" t="s">
        <v>62</v>
      </c>
      <c r="D198">
        <v>35</v>
      </c>
      <c r="E198" s="4" t="s">
        <v>2145</v>
      </c>
      <c r="F198" s="4" t="s">
        <v>2144</v>
      </c>
      <c r="G198" t="s">
        <v>30</v>
      </c>
      <c r="H198" s="1">
        <v>44139</v>
      </c>
      <c r="I198" s="4">
        <v>117040.57</v>
      </c>
      <c r="J198" t="s">
        <v>257</v>
      </c>
      <c r="K198">
        <v>-5066337049</v>
      </c>
      <c r="L198" t="s">
        <v>33</v>
      </c>
      <c r="M198" t="b">
        <v>1</v>
      </c>
      <c r="N198">
        <v>5852.0285000000003</v>
      </c>
    </row>
    <row r="199" spans="1:14" x14ac:dyDescent="0.25">
      <c r="A199" t="s">
        <v>527</v>
      </c>
      <c r="B199" t="s">
        <v>40</v>
      </c>
      <c r="C199" t="s">
        <v>21</v>
      </c>
      <c r="D199">
        <v>25</v>
      </c>
      <c r="E199" s="4" t="s">
        <v>2145</v>
      </c>
      <c r="F199" s="4" t="s">
        <v>2142</v>
      </c>
      <c r="G199" t="s">
        <v>16</v>
      </c>
      <c r="H199" s="1">
        <v>43911</v>
      </c>
      <c r="I199" s="4">
        <v>67342.06</v>
      </c>
      <c r="J199" t="s">
        <v>280</v>
      </c>
      <c r="K199">
        <v>-2497243991</v>
      </c>
      <c r="L199" t="s">
        <v>33</v>
      </c>
      <c r="M199" t="b">
        <v>1</v>
      </c>
      <c r="N199">
        <v>3367.1030000000001</v>
      </c>
    </row>
    <row r="200" spans="1:14" x14ac:dyDescent="0.25">
      <c r="A200" t="s">
        <v>529</v>
      </c>
      <c r="B200" t="s">
        <v>75</v>
      </c>
      <c r="C200" t="s">
        <v>28</v>
      </c>
      <c r="E200" s="4" t="s">
        <v>2145</v>
      </c>
      <c r="F200" s="4" t="s">
        <v>2148</v>
      </c>
      <c r="G200" t="s">
        <v>16</v>
      </c>
      <c r="H200" s="1">
        <v>44576</v>
      </c>
      <c r="I200" s="4">
        <v>76099.64</v>
      </c>
      <c r="J200" t="s">
        <v>375</v>
      </c>
      <c r="K200">
        <v>-116691835</v>
      </c>
      <c r="L200" t="s">
        <v>25</v>
      </c>
      <c r="M200" t="b">
        <v>0</v>
      </c>
      <c r="N200">
        <v>7609.9639999999999</v>
      </c>
    </row>
    <row r="201" spans="1:14" x14ac:dyDescent="0.25">
      <c r="A201" t="s">
        <v>531</v>
      </c>
      <c r="B201" t="s">
        <v>80</v>
      </c>
      <c r="C201" t="s">
        <v>41</v>
      </c>
      <c r="D201">
        <v>35</v>
      </c>
      <c r="E201" s="4" t="s">
        <v>2137</v>
      </c>
      <c r="F201" s="4" t="s">
        <v>2148</v>
      </c>
      <c r="G201" t="s">
        <v>16</v>
      </c>
      <c r="H201" s="1">
        <v>45447</v>
      </c>
      <c r="I201" s="4">
        <v>94162.06</v>
      </c>
      <c r="J201" t="s">
        <v>83</v>
      </c>
      <c r="K201">
        <v>-2644886945</v>
      </c>
      <c r="L201" t="s">
        <v>19</v>
      </c>
      <c r="M201" t="b">
        <v>1</v>
      </c>
      <c r="N201">
        <v>1883.2411999999999</v>
      </c>
    </row>
    <row r="202" spans="1:14" x14ac:dyDescent="0.25">
      <c r="A202" t="s">
        <v>533</v>
      </c>
      <c r="B202" t="s">
        <v>40</v>
      </c>
      <c r="C202" t="s">
        <v>14</v>
      </c>
      <c r="D202">
        <v>25</v>
      </c>
      <c r="E202" s="4" t="s">
        <v>2145</v>
      </c>
      <c r="F202" s="4" t="s">
        <v>2142</v>
      </c>
      <c r="G202" t="s">
        <v>36</v>
      </c>
      <c r="H202" s="1">
        <v>44412</v>
      </c>
      <c r="I202" s="4">
        <v>67639.7</v>
      </c>
      <c r="J202" t="s">
        <v>59</v>
      </c>
      <c r="K202">
        <v>-1195243639</v>
      </c>
      <c r="L202" t="s">
        <v>25</v>
      </c>
      <c r="M202" t="b">
        <v>1</v>
      </c>
      <c r="N202">
        <v>6763.97</v>
      </c>
    </row>
    <row r="203" spans="1:14" x14ac:dyDescent="0.25">
      <c r="A203" t="s">
        <v>535</v>
      </c>
      <c r="B203" t="s">
        <v>61</v>
      </c>
      <c r="C203" t="s">
        <v>47</v>
      </c>
      <c r="D203">
        <v>35</v>
      </c>
      <c r="E203" s="4" t="s">
        <v>2143</v>
      </c>
      <c r="F203" s="4" t="s">
        <v>2148</v>
      </c>
      <c r="G203" t="s">
        <v>30</v>
      </c>
      <c r="H203" s="1">
        <v>44120</v>
      </c>
      <c r="I203" s="4">
        <v>114172.25</v>
      </c>
      <c r="J203" t="s">
        <v>100</v>
      </c>
      <c r="K203">
        <v>-2701168645</v>
      </c>
      <c r="L203" t="s">
        <v>33</v>
      </c>
      <c r="M203" t="b">
        <v>1</v>
      </c>
      <c r="N203">
        <v>5708.6125000000002</v>
      </c>
    </row>
    <row r="204" spans="1:14" x14ac:dyDescent="0.25">
      <c r="A204" t="s">
        <v>537</v>
      </c>
      <c r="B204" t="s">
        <v>80</v>
      </c>
      <c r="C204" t="s">
        <v>14</v>
      </c>
      <c r="D204">
        <v>30</v>
      </c>
      <c r="E204" s="4" t="s">
        <v>2145</v>
      </c>
      <c r="F204" s="4" t="s">
        <v>2142</v>
      </c>
      <c r="G204" t="s">
        <v>16</v>
      </c>
      <c r="H204" s="1">
        <v>44465</v>
      </c>
      <c r="I204" s="4">
        <v>89124.54</v>
      </c>
      <c r="J204" t="s">
        <v>276</v>
      </c>
      <c r="K204">
        <v>-2252237280</v>
      </c>
      <c r="L204" t="s">
        <v>25</v>
      </c>
      <c r="M204" t="b">
        <v>1</v>
      </c>
      <c r="N204">
        <v>8912.4539999999997</v>
      </c>
    </row>
    <row r="205" spans="1:14" x14ac:dyDescent="0.25">
      <c r="A205" t="s">
        <v>539</v>
      </c>
      <c r="B205" t="s">
        <v>40</v>
      </c>
      <c r="C205" t="s">
        <v>142</v>
      </c>
      <c r="D205">
        <v>30</v>
      </c>
      <c r="E205" s="4" t="s">
        <v>2137</v>
      </c>
      <c r="F205" s="4" t="s">
        <v>2142</v>
      </c>
      <c r="G205" t="s">
        <v>30</v>
      </c>
      <c r="H205" s="1">
        <v>45234</v>
      </c>
      <c r="I205" s="4">
        <v>113871.36</v>
      </c>
      <c r="J205" t="s">
        <v>163</v>
      </c>
      <c r="K205">
        <v>-7932302345</v>
      </c>
      <c r="L205" t="s">
        <v>19</v>
      </c>
      <c r="M205" t="b">
        <v>0</v>
      </c>
      <c r="N205">
        <v>2277.4272000000001</v>
      </c>
    </row>
    <row r="206" spans="1:14" x14ac:dyDescent="0.25">
      <c r="A206" t="s">
        <v>541</v>
      </c>
      <c r="B206" t="s">
        <v>80</v>
      </c>
      <c r="C206" t="s">
        <v>21</v>
      </c>
      <c r="E206" s="4" t="s">
        <v>2147</v>
      </c>
      <c r="F206" s="4" t="s">
        <v>2140</v>
      </c>
      <c r="G206" t="s">
        <v>36</v>
      </c>
      <c r="H206" s="1">
        <v>44463</v>
      </c>
      <c r="I206" s="4">
        <v>62618.400000000001</v>
      </c>
      <c r="J206" t="s">
        <v>240</v>
      </c>
      <c r="K206">
        <v>-7912141613</v>
      </c>
      <c r="L206" t="s">
        <v>25</v>
      </c>
      <c r="M206" t="b">
        <v>0</v>
      </c>
      <c r="N206">
        <v>6261.84</v>
      </c>
    </row>
    <row r="207" spans="1:14" x14ac:dyDescent="0.25">
      <c r="A207" t="s">
        <v>543</v>
      </c>
      <c r="B207" t="s">
        <v>75</v>
      </c>
      <c r="C207" t="s">
        <v>28</v>
      </c>
      <c r="D207">
        <v>30</v>
      </c>
      <c r="E207" s="4" t="s">
        <v>2141</v>
      </c>
      <c r="F207" s="4" t="s">
        <v>2146</v>
      </c>
      <c r="G207" t="s">
        <v>16</v>
      </c>
      <c r="H207" s="1">
        <v>43989</v>
      </c>
      <c r="I207" s="4">
        <v>70705.45</v>
      </c>
      <c r="J207" t="s">
        <v>375</v>
      </c>
      <c r="K207">
        <v>-1509377099</v>
      </c>
      <c r="L207" t="s">
        <v>33</v>
      </c>
      <c r="M207" t="b">
        <v>0</v>
      </c>
      <c r="N207">
        <v>3535.2725</v>
      </c>
    </row>
    <row r="208" spans="1:14" x14ac:dyDescent="0.25">
      <c r="A208" t="s">
        <v>545</v>
      </c>
      <c r="B208" t="s">
        <v>27</v>
      </c>
      <c r="C208" t="s">
        <v>47</v>
      </c>
      <c r="D208">
        <v>35</v>
      </c>
      <c r="E208" s="4" t="s">
        <v>2145</v>
      </c>
      <c r="F208" s="4" t="s">
        <v>2146</v>
      </c>
      <c r="G208" t="s">
        <v>30</v>
      </c>
      <c r="H208" s="1">
        <v>44602</v>
      </c>
      <c r="I208" s="4">
        <v>60797.69</v>
      </c>
      <c r="J208" t="s">
        <v>50</v>
      </c>
      <c r="K208">
        <v>-4090138068</v>
      </c>
      <c r="L208" t="s">
        <v>19</v>
      </c>
      <c r="M208" t="b">
        <v>1</v>
      </c>
      <c r="N208">
        <v>1215.9538</v>
      </c>
    </row>
    <row r="209" spans="1:14" x14ac:dyDescent="0.25">
      <c r="A209" t="s">
        <v>547</v>
      </c>
      <c r="B209" t="s">
        <v>61</v>
      </c>
      <c r="C209" t="s">
        <v>21</v>
      </c>
      <c r="D209">
        <v>40</v>
      </c>
      <c r="E209" s="4" t="s">
        <v>2143</v>
      </c>
      <c r="F209" s="4" t="s">
        <v>2144</v>
      </c>
      <c r="G209" t="s">
        <v>36</v>
      </c>
      <c r="H209" s="1">
        <v>45216</v>
      </c>
      <c r="I209" s="4">
        <v>100371</v>
      </c>
      <c r="J209" t="s">
        <v>147</v>
      </c>
      <c r="K209">
        <v>-8477596554</v>
      </c>
      <c r="L209" t="s">
        <v>45</v>
      </c>
      <c r="M209" t="b">
        <v>1</v>
      </c>
      <c r="N209">
        <v>0</v>
      </c>
    </row>
    <row r="210" spans="1:14" x14ac:dyDescent="0.25">
      <c r="A210" t="s">
        <v>549</v>
      </c>
      <c r="B210" t="s">
        <v>35</v>
      </c>
      <c r="C210" t="s">
        <v>106</v>
      </c>
      <c r="D210">
        <v>40</v>
      </c>
      <c r="E210" s="4" t="s">
        <v>2141</v>
      </c>
      <c r="F210" s="4" t="s">
        <v>2148</v>
      </c>
      <c r="G210" t="s">
        <v>16</v>
      </c>
      <c r="H210" s="1">
        <v>44464</v>
      </c>
      <c r="I210" s="4">
        <v>117591.76</v>
      </c>
      <c r="J210" t="s">
        <v>307</v>
      </c>
      <c r="K210">
        <v>-5356690550</v>
      </c>
      <c r="L210" t="s">
        <v>33</v>
      </c>
      <c r="M210" t="b">
        <v>0</v>
      </c>
      <c r="N210">
        <v>5879.5879999999997</v>
      </c>
    </row>
    <row r="211" spans="1:14" x14ac:dyDescent="0.25">
      <c r="A211" t="s">
        <v>551</v>
      </c>
      <c r="B211" t="s">
        <v>67</v>
      </c>
      <c r="C211" t="s">
        <v>28</v>
      </c>
      <c r="D211">
        <v>35</v>
      </c>
      <c r="E211" s="4" t="s">
        <v>2137</v>
      </c>
      <c r="F211" s="4" t="s">
        <v>2148</v>
      </c>
      <c r="G211" t="s">
        <v>36</v>
      </c>
      <c r="H211" s="1">
        <v>44776</v>
      </c>
      <c r="I211" s="4">
        <v>103860.7</v>
      </c>
      <c r="J211" t="s">
        <v>283</v>
      </c>
      <c r="K211">
        <v>-762091842</v>
      </c>
      <c r="L211" t="s">
        <v>19</v>
      </c>
      <c r="M211" t="b">
        <v>1</v>
      </c>
      <c r="N211">
        <v>2077.2139999999999</v>
      </c>
    </row>
    <row r="212" spans="1:14" x14ac:dyDescent="0.25">
      <c r="A212" t="s">
        <v>553</v>
      </c>
      <c r="B212" t="s">
        <v>80</v>
      </c>
      <c r="C212" t="s">
        <v>14</v>
      </c>
      <c r="D212">
        <v>30</v>
      </c>
      <c r="E212" s="4" t="s">
        <v>2141</v>
      </c>
      <c r="F212" s="4" t="s">
        <v>2148</v>
      </c>
      <c r="G212" t="s">
        <v>16</v>
      </c>
      <c r="H212" s="1">
        <v>45618</v>
      </c>
      <c r="I212" s="4">
        <v>67500.22</v>
      </c>
      <c r="J212" t="s">
        <v>276</v>
      </c>
      <c r="K212">
        <v>-5797863049</v>
      </c>
      <c r="L212" t="s">
        <v>19</v>
      </c>
      <c r="M212" t="b">
        <v>1</v>
      </c>
      <c r="N212">
        <v>1350.0044</v>
      </c>
    </row>
    <row r="213" spans="1:14" x14ac:dyDescent="0.25">
      <c r="A213" t="s">
        <v>555</v>
      </c>
      <c r="B213" t="s">
        <v>40</v>
      </c>
      <c r="C213" t="s">
        <v>14</v>
      </c>
      <c r="E213" s="4" t="s">
        <v>2143</v>
      </c>
      <c r="F213" s="4" t="s">
        <v>2142</v>
      </c>
      <c r="G213" t="s">
        <v>30</v>
      </c>
      <c r="H213" s="1">
        <v>45574</v>
      </c>
      <c r="I213" s="4">
        <v>58727.44</v>
      </c>
      <c r="J213" t="s">
        <v>59</v>
      </c>
      <c r="K213">
        <v>-5057397690</v>
      </c>
      <c r="L213" t="s">
        <v>45</v>
      </c>
      <c r="M213" t="b">
        <v>1</v>
      </c>
      <c r="N213">
        <v>0</v>
      </c>
    </row>
    <row r="214" spans="1:14" x14ac:dyDescent="0.25">
      <c r="A214" t="s">
        <v>557</v>
      </c>
      <c r="B214" t="s">
        <v>61</v>
      </c>
      <c r="C214" t="s">
        <v>28</v>
      </c>
      <c r="D214">
        <v>35</v>
      </c>
      <c r="E214" s="4" t="s">
        <v>2139</v>
      </c>
      <c r="F214" s="4" t="s">
        <v>2148</v>
      </c>
      <c r="G214" t="s">
        <v>16</v>
      </c>
      <c r="H214" s="1">
        <v>45532</v>
      </c>
      <c r="I214" s="4">
        <v>80623.08</v>
      </c>
      <c r="J214" t="s">
        <v>140</v>
      </c>
      <c r="K214">
        <v>-5671649327</v>
      </c>
      <c r="L214" t="s">
        <v>25</v>
      </c>
      <c r="M214" t="b">
        <v>1</v>
      </c>
      <c r="N214">
        <v>8062.3080000000009</v>
      </c>
    </row>
    <row r="215" spans="1:14" x14ac:dyDescent="0.25">
      <c r="A215" t="s">
        <v>559</v>
      </c>
      <c r="B215" t="s">
        <v>67</v>
      </c>
      <c r="C215" t="s">
        <v>14</v>
      </c>
      <c r="D215">
        <v>40</v>
      </c>
      <c r="E215" s="4" t="s">
        <v>2147</v>
      </c>
      <c r="F215" s="4" t="s">
        <v>2140</v>
      </c>
      <c r="G215" t="s">
        <v>36</v>
      </c>
      <c r="H215" s="1">
        <v>43940</v>
      </c>
      <c r="I215" s="4">
        <v>77751.78</v>
      </c>
      <c r="J215" t="s">
        <v>73</v>
      </c>
      <c r="K215">
        <v>-9802714871</v>
      </c>
      <c r="L215" t="s">
        <v>25</v>
      </c>
      <c r="M215" t="b">
        <v>0</v>
      </c>
      <c r="N215">
        <v>7775.1779999999999</v>
      </c>
    </row>
    <row r="216" spans="1:14" x14ac:dyDescent="0.25">
      <c r="A216" t="s">
        <v>561</v>
      </c>
      <c r="B216" t="s">
        <v>80</v>
      </c>
      <c r="C216" t="s">
        <v>41</v>
      </c>
      <c r="D216">
        <v>25</v>
      </c>
      <c r="E216" s="4" t="s">
        <v>2147</v>
      </c>
      <c r="F216" s="4" t="s">
        <v>2146</v>
      </c>
      <c r="G216" t="s">
        <v>16</v>
      </c>
      <c r="H216" s="1">
        <v>44483</v>
      </c>
      <c r="I216" s="4">
        <v>115157.81</v>
      </c>
      <c r="J216" t="s">
        <v>83</v>
      </c>
      <c r="K216">
        <v>-7178333210</v>
      </c>
      <c r="L216" t="s">
        <v>33</v>
      </c>
      <c r="M216" t="b">
        <v>0</v>
      </c>
      <c r="N216">
        <v>5757.8905000000004</v>
      </c>
    </row>
    <row r="217" spans="1:14" x14ac:dyDescent="0.25">
      <c r="A217" t="s">
        <v>563</v>
      </c>
      <c r="B217" t="s">
        <v>40</v>
      </c>
      <c r="C217" t="s">
        <v>28</v>
      </c>
      <c r="D217">
        <v>30</v>
      </c>
      <c r="E217" s="4" t="s">
        <v>2141</v>
      </c>
      <c r="F217" s="4" t="s">
        <v>2140</v>
      </c>
      <c r="G217" t="s">
        <v>36</v>
      </c>
      <c r="H217" s="1">
        <v>45530</v>
      </c>
      <c r="I217" s="4">
        <v>83071.850000000006</v>
      </c>
      <c r="J217" t="s">
        <v>53</v>
      </c>
      <c r="K217">
        <v>-6025643470</v>
      </c>
      <c r="L217" t="s">
        <v>45</v>
      </c>
      <c r="M217" t="b">
        <v>0</v>
      </c>
      <c r="N217">
        <v>0</v>
      </c>
    </row>
    <row r="218" spans="1:14" x14ac:dyDescent="0.25">
      <c r="A218" t="s">
        <v>565</v>
      </c>
      <c r="B218" t="s">
        <v>75</v>
      </c>
      <c r="C218" t="s">
        <v>21</v>
      </c>
      <c r="D218">
        <v>40</v>
      </c>
      <c r="E218" s="4" t="s">
        <v>2145</v>
      </c>
      <c r="F218" s="4" t="s">
        <v>2140</v>
      </c>
      <c r="G218" t="s">
        <v>16</v>
      </c>
      <c r="H218" s="1">
        <v>43869</v>
      </c>
      <c r="I218" s="4">
        <v>67914.67</v>
      </c>
      <c r="J218" t="s">
        <v>480</v>
      </c>
      <c r="K218">
        <v>-2871539914</v>
      </c>
      <c r="L218" t="s">
        <v>25</v>
      </c>
      <c r="M218" t="b">
        <v>1</v>
      </c>
      <c r="N218">
        <v>6791.4670000000006</v>
      </c>
    </row>
    <row r="219" spans="1:14" x14ac:dyDescent="0.25">
      <c r="A219" t="s">
        <v>567</v>
      </c>
      <c r="B219" t="s">
        <v>80</v>
      </c>
      <c r="C219" t="s">
        <v>28</v>
      </c>
      <c r="D219">
        <v>25</v>
      </c>
      <c r="E219" s="4" t="s">
        <v>2147</v>
      </c>
      <c r="F219" s="4" t="s">
        <v>2146</v>
      </c>
      <c r="G219" t="s">
        <v>36</v>
      </c>
      <c r="H219" s="1">
        <v>44080</v>
      </c>
      <c r="I219" s="4">
        <v>53342.46</v>
      </c>
      <c r="J219" t="s">
        <v>89</v>
      </c>
      <c r="K219">
        <v>-6686334140</v>
      </c>
      <c r="L219" t="s">
        <v>45</v>
      </c>
      <c r="M219" t="b">
        <v>0</v>
      </c>
      <c r="N219">
        <v>0</v>
      </c>
    </row>
    <row r="220" spans="1:14" x14ac:dyDescent="0.25">
      <c r="A220" t="s">
        <v>569</v>
      </c>
      <c r="B220" t="s">
        <v>75</v>
      </c>
      <c r="C220" t="s">
        <v>47</v>
      </c>
      <c r="D220">
        <v>25</v>
      </c>
      <c r="E220" s="4" t="s">
        <v>2143</v>
      </c>
      <c r="F220" s="4" t="s">
        <v>2144</v>
      </c>
      <c r="G220" t="s">
        <v>30</v>
      </c>
      <c r="H220" s="1">
        <v>44928</v>
      </c>
      <c r="I220" s="4">
        <v>51150.47</v>
      </c>
      <c r="J220" t="s">
        <v>300</v>
      </c>
      <c r="K220">
        <v>-1159319524</v>
      </c>
      <c r="L220" t="s">
        <v>25</v>
      </c>
      <c r="M220" t="b">
        <v>0</v>
      </c>
      <c r="N220">
        <v>5115.0470000000005</v>
      </c>
    </row>
    <row r="221" spans="1:14" x14ac:dyDescent="0.25">
      <c r="A221" t="s">
        <v>571</v>
      </c>
      <c r="B221" t="s">
        <v>67</v>
      </c>
      <c r="C221" t="s">
        <v>14</v>
      </c>
      <c r="D221">
        <v>30</v>
      </c>
      <c r="E221" s="4" t="s">
        <v>2147</v>
      </c>
      <c r="F221" s="4" t="s">
        <v>2144</v>
      </c>
      <c r="G221" t="s">
        <v>16</v>
      </c>
      <c r="H221" s="1">
        <v>45090</v>
      </c>
      <c r="I221" s="4">
        <v>74697.119999999995</v>
      </c>
      <c r="J221" t="s">
        <v>73</v>
      </c>
      <c r="K221">
        <v>-6904098365</v>
      </c>
      <c r="L221" t="s">
        <v>19</v>
      </c>
      <c r="M221" t="b">
        <v>1</v>
      </c>
      <c r="N221">
        <v>1493.9423999999999</v>
      </c>
    </row>
    <row r="222" spans="1:14" x14ac:dyDescent="0.25">
      <c r="A222" t="s">
        <v>573</v>
      </c>
      <c r="B222" t="s">
        <v>61</v>
      </c>
      <c r="C222" t="s">
        <v>41</v>
      </c>
      <c r="D222">
        <v>25</v>
      </c>
      <c r="E222" s="4" t="s">
        <v>2145</v>
      </c>
      <c r="F222" s="4" t="s">
        <v>2138</v>
      </c>
      <c r="G222" t="s">
        <v>16</v>
      </c>
      <c r="H222" s="1">
        <v>44908</v>
      </c>
      <c r="I222" s="4">
        <v>88085.74</v>
      </c>
      <c r="J222" t="s">
        <v>104</v>
      </c>
      <c r="K222">
        <v>-5528993159</v>
      </c>
      <c r="L222" t="s">
        <v>25</v>
      </c>
      <c r="M222" t="b">
        <v>1</v>
      </c>
      <c r="N222">
        <v>8808.5740000000005</v>
      </c>
    </row>
    <row r="223" spans="1:14" x14ac:dyDescent="0.25">
      <c r="A223" t="s">
        <v>575</v>
      </c>
      <c r="B223" t="s">
        <v>27</v>
      </c>
      <c r="C223" t="s">
        <v>41</v>
      </c>
      <c r="D223">
        <v>40</v>
      </c>
      <c r="E223" s="4" t="s">
        <v>2139</v>
      </c>
      <c r="F223" s="4" t="s">
        <v>2140</v>
      </c>
      <c r="G223" t="s">
        <v>30</v>
      </c>
      <c r="H223" s="1">
        <v>44623</v>
      </c>
      <c r="I223" s="4">
        <v>118672.76</v>
      </c>
      <c r="J223" t="s">
        <v>431</v>
      </c>
      <c r="K223">
        <v>-8752437728</v>
      </c>
      <c r="L223" t="s">
        <v>45</v>
      </c>
      <c r="M223" t="b">
        <v>0</v>
      </c>
      <c r="N223">
        <v>0</v>
      </c>
    </row>
    <row r="224" spans="1:14" x14ac:dyDescent="0.25">
      <c r="A224" t="s">
        <v>577</v>
      </c>
      <c r="B224" t="s">
        <v>27</v>
      </c>
      <c r="C224" t="s">
        <v>106</v>
      </c>
      <c r="D224">
        <v>35</v>
      </c>
      <c r="E224" s="4" t="s">
        <v>2143</v>
      </c>
      <c r="F224" s="4" t="s">
        <v>2138</v>
      </c>
      <c r="G224" t="s">
        <v>16</v>
      </c>
      <c r="H224" s="1">
        <v>45332</v>
      </c>
      <c r="I224" s="4">
        <v>95997.31</v>
      </c>
      <c r="J224" t="s">
        <v>194</v>
      </c>
      <c r="K224">
        <v>-4209548148</v>
      </c>
      <c r="L224" t="s">
        <v>19</v>
      </c>
      <c r="M224" t="b">
        <v>0</v>
      </c>
      <c r="N224">
        <v>1919.9462000000001</v>
      </c>
    </row>
    <row r="225" spans="1:14" x14ac:dyDescent="0.25">
      <c r="A225" t="s">
        <v>579</v>
      </c>
      <c r="B225" t="s">
        <v>40</v>
      </c>
      <c r="C225" t="s">
        <v>21</v>
      </c>
      <c r="D225">
        <v>30</v>
      </c>
      <c r="E225" s="4" t="s">
        <v>2143</v>
      </c>
      <c r="F225" s="4" t="s">
        <v>2138</v>
      </c>
      <c r="G225" t="s">
        <v>30</v>
      </c>
      <c r="H225" s="1">
        <v>44524</v>
      </c>
      <c r="I225" s="4">
        <v>106945.62</v>
      </c>
      <c r="J225" t="s">
        <v>280</v>
      </c>
      <c r="K225">
        <v>-7374605232</v>
      </c>
      <c r="L225" t="s">
        <v>19</v>
      </c>
      <c r="M225" t="b">
        <v>0</v>
      </c>
      <c r="N225">
        <v>2138.9124000000002</v>
      </c>
    </row>
    <row r="226" spans="1:14" x14ac:dyDescent="0.25">
      <c r="A226" t="s">
        <v>581</v>
      </c>
      <c r="B226" t="s">
        <v>75</v>
      </c>
      <c r="C226" t="s">
        <v>62</v>
      </c>
      <c r="D226">
        <v>40</v>
      </c>
      <c r="E226" s="4" t="s">
        <v>2137</v>
      </c>
      <c r="F226" s="4" t="s">
        <v>2146</v>
      </c>
      <c r="G226" t="s">
        <v>16</v>
      </c>
      <c r="H226" s="1">
        <v>43960</v>
      </c>
      <c r="I226" s="4">
        <v>100123.15</v>
      </c>
      <c r="J226" t="s">
        <v>132</v>
      </c>
      <c r="K226">
        <v>-276420864</v>
      </c>
      <c r="L226" t="s">
        <v>19</v>
      </c>
      <c r="M226" t="b">
        <v>0</v>
      </c>
      <c r="N226">
        <v>2002.463</v>
      </c>
    </row>
    <row r="227" spans="1:14" x14ac:dyDescent="0.25">
      <c r="A227" t="s">
        <v>583</v>
      </c>
      <c r="B227" t="s">
        <v>27</v>
      </c>
      <c r="C227" t="s">
        <v>62</v>
      </c>
      <c r="D227">
        <v>35</v>
      </c>
      <c r="E227" s="4" t="s">
        <v>2141</v>
      </c>
      <c r="F227" s="4" t="s">
        <v>2140</v>
      </c>
      <c r="G227" t="s">
        <v>16</v>
      </c>
      <c r="H227" s="1">
        <v>45645</v>
      </c>
      <c r="I227" s="4">
        <v>52933.42</v>
      </c>
      <c r="J227" t="s">
        <v>177</v>
      </c>
      <c r="K227">
        <v>-6756618442</v>
      </c>
      <c r="L227" t="s">
        <v>45</v>
      </c>
      <c r="M227" t="b">
        <v>1</v>
      </c>
      <c r="N227">
        <v>0</v>
      </c>
    </row>
    <row r="228" spans="1:14" x14ac:dyDescent="0.25">
      <c r="A228" t="s">
        <v>585</v>
      </c>
      <c r="B228" t="s">
        <v>80</v>
      </c>
      <c r="C228" t="s">
        <v>28</v>
      </c>
      <c r="E228" s="4" t="s">
        <v>2139</v>
      </c>
      <c r="F228" s="4" t="s">
        <v>2138</v>
      </c>
      <c r="G228" t="s">
        <v>16</v>
      </c>
      <c r="H228" s="1">
        <v>45373</v>
      </c>
      <c r="I228" s="4">
        <v>95283.03</v>
      </c>
      <c r="J228" t="s">
        <v>89</v>
      </c>
      <c r="K228">
        <v>-8612590471</v>
      </c>
      <c r="L228" t="s">
        <v>33</v>
      </c>
      <c r="M228" t="b">
        <v>0</v>
      </c>
      <c r="N228">
        <v>4764.1514999999999</v>
      </c>
    </row>
    <row r="229" spans="1:14" x14ac:dyDescent="0.25">
      <c r="A229" t="s">
        <v>587</v>
      </c>
      <c r="B229" t="s">
        <v>27</v>
      </c>
      <c r="C229" t="s">
        <v>106</v>
      </c>
      <c r="D229">
        <v>35</v>
      </c>
      <c r="E229" s="4" t="s">
        <v>2147</v>
      </c>
      <c r="F229" s="4" t="s">
        <v>2140</v>
      </c>
      <c r="G229" t="s">
        <v>36</v>
      </c>
      <c r="H229" s="1">
        <v>44725</v>
      </c>
      <c r="I229" s="4">
        <v>112264.06</v>
      </c>
      <c r="J229" t="s">
        <v>194</v>
      </c>
      <c r="K229">
        <v>-9277423329</v>
      </c>
      <c r="L229" t="s">
        <v>33</v>
      </c>
      <c r="M229" t="b">
        <v>0</v>
      </c>
      <c r="N229">
        <v>5613.2030000000004</v>
      </c>
    </row>
    <row r="230" spans="1:14" x14ac:dyDescent="0.25">
      <c r="A230" t="s">
        <v>589</v>
      </c>
      <c r="B230" t="s">
        <v>80</v>
      </c>
      <c r="C230" t="s">
        <v>142</v>
      </c>
      <c r="D230">
        <v>35</v>
      </c>
      <c r="E230" s="4" t="s">
        <v>2141</v>
      </c>
      <c r="F230" s="4" t="s">
        <v>2144</v>
      </c>
      <c r="G230" t="s">
        <v>30</v>
      </c>
      <c r="H230" s="1">
        <v>44849</v>
      </c>
      <c r="I230" s="4">
        <v>75714.28</v>
      </c>
      <c r="J230" t="s">
        <v>160</v>
      </c>
      <c r="K230">
        <v>-5912662014</v>
      </c>
      <c r="L230" t="s">
        <v>33</v>
      </c>
      <c r="M230" t="b">
        <v>1</v>
      </c>
      <c r="N230">
        <v>3785.7139999999999</v>
      </c>
    </row>
    <row r="231" spans="1:14" x14ac:dyDescent="0.25">
      <c r="A231" t="s">
        <v>591</v>
      </c>
      <c r="B231" t="s">
        <v>35</v>
      </c>
      <c r="C231" t="s">
        <v>28</v>
      </c>
      <c r="D231">
        <v>25</v>
      </c>
      <c r="E231" s="4" t="s">
        <v>2137</v>
      </c>
      <c r="F231" s="4" t="s">
        <v>2144</v>
      </c>
      <c r="G231" t="s">
        <v>16</v>
      </c>
      <c r="H231" s="1">
        <v>44712</v>
      </c>
      <c r="I231" s="4">
        <v>92171.73</v>
      </c>
      <c r="J231" t="s">
        <v>323</v>
      </c>
      <c r="K231">
        <v>-7201859625</v>
      </c>
      <c r="L231" t="s">
        <v>45</v>
      </c>
      <c r="M231" t="b">
        <v>0</v>
      </c>
      <c r="N231">
        <v>0</v>
      </c>
    </row>
    <row r="232" spans="1:14" x14ac:dyDescent="0.25">
      <c r="A232" t="s">
        <v>593</v>
      </c>
      <c r="B232" t="s">
        <v>35</v>
      </c>
      <c r="C232" t="s">
        <v>106</v>
      </c>
      <c r="D232">
        <v>35</v>
      </c>
      <c r="E232" s="4" t="s">
        <v>2143</v>
      </c>
      <c r="F232" s="4" t="s">
        <v>2140</v>
      </c>
      <c r="G232" t="s">
        <v>36</v>
      </c>
      <c r="H232" s="1">
        <v>45184</v>
      </c>
      <c r="I232" s="4">
        <v>70694.8</v>
      </c>
      <c r="J232" t="s">
        <v>307</v>
      </c>
      <c r="K232">
        <v>-3013674925</v>
      </c>
      <c r="L232" t="s">
        <v>19</v>
      </c>
      <c r="M232" t="b">
        <v>1</v>
      </c>
      <c r="N232">
        <v>1413.8960000000002</v>
      </c>
    </row>
    <row r="233" spans="1:14" x14ac:dyDescent="0.25">
      <c r="A233" t="s">
        <v>595</v>
      </c>
      <c r="B233" t="s">
        <v>80</v>
      </c>
      <c r="C233" t="s">
        <v>21</v>
      </c>
      <c r="D233">
        <v>30</v>
      </c>
      <c r="E233" s="4" t="s">
        <v>2137</v>
      </c>
      <c r="F233" s="4" t="s">
        <v>2144</v>
      </c>
      <c r="G233" t="s">
        <v>36</v>
      </c>
      <c r="H233" s="1">
        <v>44746</v>
      </c>
      <c r="I233" s="4">
        <v>52964.86</v>
      </c>
      <c r="J233" t="s">
        <v>240</v>
      </c>
      <c r="K233">
        <v>-1764750110</v>
      </c>
      <c r="L233" t="s">
        <v>33</v>
      </c>
      <c r="M233" t="b">
        <v>1</v>
      </c>
      <c r="N233">
        <v>2648.2430000000004</v>
      </c>
    </row>
    <row r="234" spans="1:14" x14ac:dyDescent="0.25">
      <c r="A234" t="s">
        <v>597</v>
      </c>
      <c r="B234" t="s">
        <v>40</v>
      </c>
      <c r="C234" t="s">
        <v>21</v>
      </c>
      <c r="E234" s="4" t="s">
        <v>2139</v>
      </c>
      <c r="F234" s="4" t="s">
        <v>2138</v>
      </c>
      <c r="G234" t="s">
        <v>30</v>
      </c>
      <c r="H234" s="1">
        <v>45451</v>
      </c>
      <c r="I234" s="4">
        <v>116353.31</v>
      </c>
      <c r="J234" t="s">
        <v>280</v>
      </c>
      <c r="K234">
        <v>-1783099973</v>
      </c>
      <c r="L234" t="s">
        <v>45</v>
      </c>
      <c r="M234" t="b">
        <v>1</v>
      </c>
      <c r="N234">
        <v>0</v>
      </c>
    </row>
    <row r="235" spans="1:14" x14ac:dyDescent="0.25">
      <c r="A235" t="s">
        <v>599</v>
      </c>
      <c r="B235" t="s">
        <v>80</v>
      </c>
      <c r="C235" t="s">
        <v>21</v>
      </c>
      <c r="D235">
        <v>35</v>
      </c>
      <c r="E235" s="4" t="s">
        <v>2145</v>
      </c>
      <c r="F235" s="4" t="s">
        <v>2142</v>
      </c>
      <c r="G235" t="s">
        <v>30</v>
      </c>
      <c r="H235" s="1">
        <v>44158</v>
      </c>
      <c r="I235" s="4">
        <v>116695.26</v>
      </c>
      <c r="J235" t="s">
        <v>240</v>
      </c>
      <c r="K235">
        <v>-1926764920</v>
      </c>
      <c r="L235" t="s">
        <v>33</v>
      </c>
      <c r="M235" t="b">
        <v>0</v>
      </c>
      <c r="N235">
        <v>5834.7629999999999</v>
      </c>
    </row>
    <row r="236" spans="1:14" x14ac:dyDescent="0.25">
      <c r="A236" t="s">
        <v>601</v>
      </c>
      <c r="B236" t="s">
        <v>75</v>
      </c>
      <c r="C236" t="s">
        <v>21</v>
      </c>
      <c r="D236">
        <v>25</v>
      </c>
      <c r="E236" s="4" t="s">
        <v>2141</v>
      </c>
      <c r="F236" s="4" t="s">
        <v>2140</v>
      </c>
      <c r="G236" t="s">
        <v>16</v>
      </c>
      <c r="H236" s="1">
        <v>45425</v>
      </c>
      <c r="I236" s="4">
        <v>95161.4</v>
      </c>
      <c r="J236" t="s">
        <v>480</v>
      </c>
      <c r="K236">
        <v>-5182606887</v>
      </c>
      <c r="L236" t="s">
        <v>25</v>
      </c>
      <c r="M236" t="b">
        <v>0</v>
      </c>
      <c r="N236">
        <v>9516.14</v>
      </c>
    </row>
    <row r="237" spans="1:14" x14ac:dyDescent="0.25">
      <c r="A237" t="s">
        <v>603</v>
      </c>
      <c r="B237" t="s">
        <v>27</v>
      </c>
      <c r="C237" t="s">
        <v>21</v>
      </c>
      <c r="E237" s="4" t="s">
        <v>2141</v>
      </c>
      <c r="F237" s="4" t="s">
        <v>2142</v>
      </c>
      <c r="G237" t="s">
        <v>36</v>
      </c>
      <c r="H237" s="1">
        <v>44590</v>
      </c>
      <c r="I237" s="4">
        <v>76040.94</v>
      </c>
      <c r="J237" t="s">
        <v>93</v>
      </c>
      <c r="K237">
        <v>-7189813128</v>
      </c>
      <c r="L237" t="s">
        <v>33</v>
      </c>
      <c r="M237" t="b">
        <v>1</v>
      </c>
      <c r="N237">
        <v>3802.0470000000005</v>
      </c>
    </row>
    <row r="238" spans="1:14" x14ac:dyDescent="0.25">
      <c r="A238" t="s">
        <v>605</v>
      </c>
      <c r="B238" t="s">
        <v>61</v>
      </c>
      <c r="C238" t="s">
        <v>106</v>
      </c>
      <c r="E238" s="4" t="s">
        <v>2147</v>
      </c>
      <c r="F238" s="4" t="s">
        <v>2144</v>
      </c>
      <c r="G238" t="s">
        <v>36</v>
      </c>
      <c r="H238" s="1">
        <v>45161</v>
      </c>
      <c r="I238" s="4">
        <v>69508.28</v>
      </c>
      <c r="J238" t="s">
        <v>607</v>
      </c>
      <c r="K238">
        <v>-2087510292</v>
      </c>
      <c r="L238" t="s">
        <v>33</v>
      </c>
      <c r="M238" t="b">
        <v>0</v>
      </c>
      <c r="N238">
        <v>3475.4140000000002</v>
      </c>
    </row>
    <row r="239" spans="1:14" x14ac:dyDescent="0.25">
      <c r="A239" t="s">
        <v>608</v>
      </c>
      <c r="B239" t="s">
        <v>27</v>
      </c>
      <c r="C239" t="s">
        <v>106</v>
      </c>
      <c r="D239">
        <v>30</v>
      </c>
      <c r="E239" s="4" t="s">
        <v>2139</v>
      </c>
      <c r="F239" s="4" t="s">
        <v>2148</v>
      </c>
      <c r="G239" t="s">
        <v>36</v>
      </c>
      <c r="H239" s="1">
        <v>44981</v>
      </c>
      <c r="I239" s="4">
        <v>58243.27</v>
      </c>
      <c r="J239" t="s">
        <v>194</v>
      </c>
      <c r="K239">
        <v>-2184011844</v>
      </c>
      <c r="L239" t="s">
        <v>19</v>
      </c>
      <c r="M239" t="b">
        <v>0</v>
      </c>
      <c r="N239">
        <v>1164.8653999999999</v>
      </c>
    </row>
    <row r="240" spans="1:14" x14ac:dyDescent="0.25">
      <c r="A240" t="s">
        <v>610</v>
      </c>
      <c r="B240" t="s">
        <v>75</v>
      </c>
      <c r="C240" t="s">
        <v>41</v>
      </c>
      <c r="D240">
        <v>30</v>
      </c>
      <c r="E240" s="4" t="s">
        <v>2145</v>
      </c>
      <c r="F240" s="4" t="s">
        <v>2138</v>
      </c>
      <c r="G240" t="s">
        <v>30</v>
      </c>
      <c r="H240" s="1">
        <v>44836</v>
      </c>
      <c r="I240" s="4">
        <v>64012.480000000003</v>
      </c>
      <c r="J240" t="s">
        <v>78</v>
      </c>
      <c r="K240">
        <v>-8260340847</v>
      </c>
      <c r="L240" t="s">
        <v>45</v>
      </c>
      <c r="M240" t="b">
        <v>1</v>
      </c>
      <c r="N240">
        <v>0</v>
      </c>
    </row>
    <row r="241" spans="1:14" x14ac:dyDescent="0.25">
      <c r="A241" t="s">
        <v>612</v>
      </c>
      <c r="B241" t="s">
        <v>13</v>
      </c>
      <c r="C241" t="s">
        <v>47</v>
      </c>
      <c r="D241">
        <v>40</v>
      </c>
      <c r="E241" s="4" t="s">
        <v>2141</v>
      </c>
      <c r="F241" s="4" t="s">
        <v>2142</v>
      </c>
      <c r="G241" t="s">
        <v>36</v>
      </c>
      <c r="H241" s="1">
        <v>44010</v>
      </c>
      <c r="I241" s="4">
        <v>106735.93</v>
      </c>
      <c r="J241" t="s">
        <v>180</v>
      </c>
      <c r="K241">
        <v>-7297585987</v>
      </c>
      <c r="L241" t="s">
        <v>19</v>
      </c>
      <c r="M241" t="b">
        <v>1</v>
      </c>
      <c r="N241">
        <v>2134.7185999999997</v>
      </c>
    </row>
    <row r="242" spans="1:14" x14ac:dyDescent="0.25">
      <c r="A242" t="s">
        <v>614</v>
      </c>
      <c r="B242" t="s">
        <v>40</v>
      </c>
      <c r="C242" t="s">
        <v>62</v>
      </c>
      <c r="D242">
        <v>35</v>
      </c>
      <c r="E242" s="4" t="s">
        <v>2137</v>
      </c>
      <c r="F242" s="4" t="s">
        <v>2140</v>
      </c>
      <c r="G242" t="s">
        <v>30</v>
      </c>
      <c r="H242" s="1">
        <v>44941</v>
      </c>
      <c r="I242" s="4">
        <v>70325.36</v>
      </c>
      <c r="J242" t="s">
        <v>316</v>
      </c>
      <c r="K242">
        <v>-3103032431</v>
      </c>
      <c r="L242" t="s">
        <v>19</v>
      </c>
      <c r="M242" t="b">
        <v>0</v>
      </c>
      <c r="N242">
        <v>1406.5072</v>
      </c>
    </row>
    <row r="243" spans="1:14" x14ac:dyDescent="0.25">
      <c r="A243" t="s">
        <v>616</v>
      </c>
      <c r="B243" t="s">
        <v>61</v>
      </c>
      <c r="C243" t="s">
        <v>14</v>
      </c>
      <c r="D243">
        <v>30</v>
      </c>
      <c r="E243" s="4" t="s">
        <v>2147</v>
      </c>
      <c r="F243" s="4" t="s">
        <v>2148</v>
      </c>
      <c r="G243" t="s">
        <v>16</v>
      </c>
      <c r="H243" s="1">
        <v>44079</v>
      </c>
      <c r="I243" s="4">
        <v>118959.28</v>
      </c>
      <c r="J243" t="s">
        <v>200</v>
      </c>
      <c r="K243">
        <v>-9839542960</v>
      </c>
      <c r="L243" t="s">
        <v>19</v>
      </c>
      <c r="M243" t="b">
        <v>1</v>
      </c>
      <c r="N243">
        <v>2379.1856000000002</v>
      </c>
    </row>
    <row r="244" spans="1:14" x14ac:dyDescent="0.25">
      <c r="A244" t="s">
        <v>618</v>
      </c>
      <c r="B244" t="s">
        <v>67</v>
      </c>
      <c r="C244" t="s">
        <v>21</v>
      </c>
      <c r="D244">
        <v>40</v>
      </c>
      <c r="E244" s="4" t="s">
        <v>2143</v>
      </c>
      <c r="F244" s="4" t="s">
        <v>2138</v>
      </c>
      <c r="G244" t="s">
        <v>30</v>
      </c>
      <c r="H244" s="1">
        <v>45003</v>
      </c>
      <c r="I244" s="4">
        <v>75823.78</v>
      </c>
      <c r="J244" t="s">
        <v>265</v>
      </c>
      <c r="K244">
        <v>-8446267145</v>
      </c>
      <c r="L244" t="s">
        <v>19</v>
      </c>
      <c r="M244" t="b">
        <v>0</v>
      </c>
      <c r="N244">
        <v>1516.4756</v>
      </c>
    </row>
    <row r="245" spans="1:14" x14ac:dyDescent="0.25">
      <c r="A245" t="s">
        <v>620</v>
      </c>
      <c r="B245" t="s">
        <v>61</v>
      </c>
      <c r="C245" t="s">
        <v>142</v>
      </c>
      <c r="E245" s="4" t="s">
        <v>2143</v>
      </c>
      <c r="F245" s="4" t="s">
        <v>2140</v>
      </c>
      <c r="G245" t="s">
        <v>36</v>
      </c>
      <c r="H245" s="1">
        <v>44646</v>
      </c>
      <c r="I245" s="4">
        <v>119971.65</v>
      </c>
      <c r="J245" t="s">
        <v>231</v>
      </c>
      <c r="K245">
        <v>-2831435988</v>
      </c>
      <c r="L245" t="s">
        <v>19</v>
      </c>
      <c r="M245" t="b">
        <v>0</v>
      </c>
      <c r="N245">
        <v>2399.433</v>
      </c>
    </row>
    <row r="246" spans="1:14" x14ac:dyDescent="0.25">
      <c r="A246" t="s">
        <v>622</v>
      </c>
      <c r="B246" t="s">
        <v>80</v>
      </c>
      <c r="C246" t="s">
        <v>14</v>
      </c>
      <c r="D246">
        <v>40</v>
      </c>
      <c r="E246" s="4" t="s">
        <v>2145</v>
      </c>
      <c r="F246" s="4" t="s">
        <v>2140</v>
      </c>
      <c r="G246" t="s">
        <v>16</v>
      </c>
      <c r="H246" s="1">
        <v>44480</v>
      </c>
      <c r="I246" s="4">
        <v>94963.7</v>
      </c>
      <c r="J246" t="s">
        <v>276</v>
      </c>
      <c r="K246">
        <v>-2625660930</v>
      </c>
      <c r="L246" t="s">
        <v>33</v>
      </c>
      <c r="M246" t="b">
        <v>0</v>
      </c>
      <c r="N246">
        <v>4748.1850000000004</v>
      </c>
    </row>
    <row r="247" spans="1:14" x14ac:dyDescent="0.25">
      <c r="A247" t="s">
        <v>624</v>
      </c>
      <c r="B247" t="s">
        <v>40</v>
      </c>
      <c r="C247" t="s">
        <v>106</v>
      </c>
      <c r="D247">
        <v>30</v>
      </c>
      <c r="E247" s="4" t="s">
        <v>2145</v>
      </c>
      <c r="F247" s="4" t="s">
        <v>2142</v>
      </c>
      <c r="G247" t="s">
        <v>30</v>
      </c>
      <c r="H247" s="1">
        <v>44203</v>
      </c>
      <c r="I247" s="4">
        <v>103744.71</v>
      </c>
      <c r="J247" t="s">
        <v>128</v>
      </c>
      <c r="K247">
        <v>-4181861514</v>
      </c>
      <c r="L247" t="s">
        <v>19</v>
      </c>
      <c r="M247" t="b">
        <v>0</v>
      </c>
      <c r="N247">
        <v>2074.8942000000002</v>
      </c>
    </row>
    <row r="248" spans="1:14" x14ac:dyDescent="0.25">
      <c r="A248" t="s">
        <v>626</v>
      </c>
      <c r="B248" t="s">
        <v>27</v>
      </c>
      <c r="C248" t="s">
        <v>142</v>
      </c>
      <c r="D248">
        <v>25</v>
      </c>
      <c r="E248" s="4" t="s">
        <v>2145</v>
      </c>
      <c r="F248" s="4" t="s">
        <v>2146</v>
      </c>
      <c r="G248" t="s">
        <v>36</v>
      </c>
      <c r="H248" s="1">
        <v>44168</v>
      </c>
      <c r="I248" s="4">
        <v>61337.69</v>
      </c>
      <c r="J248" t="s">
        <v>217</v>
      </c>
      <c r="K248">
        <v>-5423401635</v>
      </c>
      <c r="L248" t="s">
        <v>19</v>
      </c>
      <c r="M248" t="b">
        <v>1</v>
      </c>
      <c r="N248">
        <v>1226.7538000000002</v>
      </c>
    </row>
    <row r="249" spans="1:14" x14ac:dyDescent="0.25">
      <c r="A249" t="s">
        <v>628</v>
      </c>
      <c r="B249" t="s">
        <v>67</v>
      </c>
      <c r="C249" t="s">
        <v>142</v>
      </c>
      <c r="D249">
        <v>35</v>
      </c>
      <c r="E249" s="4" t="s">
        <v>2145</v>
      </c>
      <c r="F249" s="4" t="s">
        <v>2138</v>
      </c>
      <c r="G249" t="s">
        <v>16</v>
      </c>
      <c r="H249" s="1">
        <v>44344</v>
      </c>
      <c r="I249" s="4">
        <v>63741.13</v>
      </c>
      <c r="J249" t="s">
        <v>402</v>
      </c>
      <c r="K249">
        <v>-1128497184</v>
      </c>
      <c r="L249" t="s">
        <v>45</v>
      </c>
      <c r="M249" t="b">
        <v>1</v>
      </c>
      <c r="N249">
        <v>0</v>
      </c>
    </row>
    <row r="250" spans="1:14" x14ac:dyDescent="0.25">
      <c r="A250" t="s">
        <v>630</v>
      </c>
      <c r="B250" t="s">
        <v>35</v>
      </c>
      <c r="C250" t="s">
        <v>142</v>
      </c>
      <c r="D250">
        <v>30</v>
      </c>
      <c r="E250" s="4" t="s">
        <v>2137</v>
      </c>
      <c r="F250" s="4" t="s">
        <v>2138</v>
      </c>
      <c r="G250" t="s">
        <v>30</v>
      </c>
      <c r="H250" s="1">
        <v>44923</v>
      </c>
      <c r="I250" s="4">
        <v>56539.99</v>
      </c>
      <c r="J250" t="s">
        <v>632</v>
      </c>
      <c r="K250">
        <v>-9484910255</v>
      </c>
      <c r="L250" t="s">
        <v>25</v>
      </c>
      <c r="M250" t="b">
        <v>1</v>
      </c>
      <c r="N250">
        <v>5653.9989999999998</v>
      </c>
    </row>
    <row r="251" spans="1:14" x14ac:dyDescent="0.25">
      <c r="A251" t="s">
        <v>633</v>
      </c>
      <c r="B251" t="s">
        <v>61</v>
      </c>
      <c r="C251" t="s">
        <v>41</v>
      </c>
      <c r="D251">
        <v>30</v>
      </c>
      <c r="E251" s="4" t="s">
        <v>2137</v>
      </c>
      <c r="F251" s="4" t="s">
        <v>2148</v>
      </c>
      <c r="G251" t="s">
        <v>30</v>
      </c>
      <c r="H251" s="1">
        <v>45070</v>
      </c>
      <c r="I251" s="4">
        <v>73633.37</v>
      </c>
      <c r="J251" t="s">
        <v>104</v>
      </c>
      <c r="K251">
        <v>-2588967923</v>
      </c>
      <c r="L251" t="s">
        <v>33</v>
      </c>
      <c r="M251" t="b">
        <v>1</v>
      </c>
      <c r="N251">
        <v>3681.6684999999998</v>
      </c>
    </row>
    <row r="252" spans="1:14" x14ac:dyDescent="0.25">
      <c r="A252" t="s">
        <v>635</v>
      </c>
      <c r="B252" t="s">
        <v>27</v>
      </c>
      <c r="C252" t="s">
        <v>106</v>
      </c>
      <c r="D252">
        <v>25</v>
      </c>
      <c r="E252" s="4" t="s">
        <v>2143</v>
      </c>
      <c r="F252" s="4" t="s">
        <v>2140</v>
      </c>
      <c r="G252" t="s">
        <v>30</v>
      </c>
      <c r="H252" s="1">
        <v>45410</v>
      </c>
      <c r="I252" s="4">
        <v>90373.99</v>
      </c>
      <c r="J252" t="s">
        <v>194</v>
      </c>
      <c r="K252">
        <v>-822269404</v>
      </c>
      <c r="L252" t="s">
        <v>33</v>
      </c>
      <c r="M252" t="b">
        <v>0</v>
      </c>
      <c r="N252">
        <v>4518.6995000000006</v>
      </c>
    </row>
    <row r="253" spans="1:14" x14ac:dyDescent="0.25">
      <c r="A253" t="s">
        <v>637</v>
      </c>
      <c r="B253" t="s">
        <v>80</v>
      </c>
      <c r="C253" t="s">
        <v>142</v>
      </c>
      <c r="E253" s="4" t="s">
        <v>2137</v>
      </c>
      <c r="F253" s="4" t="s">
        <v>2140</v>
      </c>
      <c r="G253" t="s">
        <v>36</v>
      </c>
      <c r="H253" s="1">
        <v>45651</v>
      </c>
      <c r="I253" s="4">
        <v>93901.48</v>
      </c>
      <c r="J253" t="s">
        <v>160</v>
      </c>
      <c r="K253">
        <v>-3967275783</v>
      </c>
      <c r="L253" t="s">
        <v>33</v>
      </c>
      <c r="M253" t="b">
        <v>0</v>
      </c>
      <c r="N253">
        <v>4695.0739999999996</v>
      </c>
    </row>
    <row r="254" spans="1:14" x14ac:dyDescent="0.25">
      <c r="A254" t="s">
        <v>639</v>
      </c>
      <c r="B254" t="s">
        <v>35</v>
      </c>
      <c r="C254" t="s">
        <v>21</v>
      </c>
      <c r="D254">
        <v>40</v>
      </c>
      <c r="E254" s="4" t="s">
        <v>2141</v>
      </c>
      <c r="F254" s="4" t="s">
        <v>2142</v>
      </c>
      <c r="G254" t="s">
        <v>36</v>
      </c>
      <c r="H254" s="1">
        <v>44440</v>
      </c>
      <c r="I254" s="4">
        <v>81748.09</v>
      </c>
      <c r="J254" t="s">
        <v>183</v>
      </c>
      <c r="K254">
        <v>-4683414650</v>
      </c>
      <c r="L254" t="s">
        <v>19</v>
      </c>
      <c r="M254" t="b">
        <v>1</v>
      </c>
      <c r="N254">
        <v>1634.9618</v>
      </c>
    </row>
    <row r="255" spans="1:14" x14ac:dyDescent="0.25">
      <c r="A255" t="s">
        <v>641</v>
      </c>
      <c r="B255" t="s">
        <v>61</v>
      </c>
      <c r="C255" t="s">
        <v>28</v>
      </c>
      <c r="D255">
        <v>40</v>
      </c>
      <c r="E255" s="4" t="s">
        <v>2139</v>
      </c>
      <c r="F255" s="4" t="s">
        <v>2144</v>
      </c>
      <c r="G255" t="s">
        <v>36</v>
      </c>
      <c r="H255" s="1">
        <v>44248</v>
      </c>
      <c r="I255" s="4">
        <v>73813.48</v>
      </c>
      <c r="J255" t="s">
        <v>140</v>
      </c>
      <c r="K255">
        <v>-1131290147</v>
      </c>
      <c r="L255" t="s">
        <v>19</v>
      </c>
      <c r="M255" t="b">
        <v>0</v>
      </c>
      <c r="N255">
        <v>1476.2695999999999</v>
      </c>
    </row>
    <row r="256" spans="1:14" x14ac:dyDescent="0.25">
      <c r="A256" t="s">
        <v>643</v>
      </c>
      <c r="B256" t="s">
        <v>40</v>
      </c>
      <c r="C256" t="s">
        <v>142</v>
      </c>
      <c r="D256">
        <v>35</v>
      </c>
      <c r="E256" s="4" t="s">
        <v>2139</v>
      </c>
      <c r="F256" s="4" t="s">
        <v>2146</v>
      </c>
      <c r="G256" t="s">
        <v>36</v>
      </c>
      <c r="H256" s="1">
        <v>44885</v>
      </c>
      <c r="I256" s="4">
        <v>89315.59</v>
      </c>
      <c r="J256" t="s">
        <v>163</v>
      </c>
      <c r="K256">
        <v>-7068277880</v>
      </c>
      <c r="L256" t="s">
        <v>19</v>
      </c>
      <c r="M256" t="b">
        <v>0</v>
      </c>
      <c r="N256">
        <v>1786.3117999999999</v>
      </c>
    </row>
    <row r="257" spans="1:14" x14ac:dyDescent="0.25">
      <c r="A257" t="s">
        <v>645</v>
      </c>
      <c r="B257" t="s">
        <v>75</v>
      </c>
      <c r="C257" t="s">
        <v>41</v>
      </c>
      <c r="D257">
        <v>25</v>
      </c>
      <c r="E257" s="4" t="s">
        <v>2147</v>
      </c>
      <c r="F257" s="4" t="s">
        <v>2144</v>
      </c>
      <c r="G257" t="s">
        <v>16</v>
      </c>
      <c r="H257" s="1">
        <v>44119</v>
      </c>
      <c r="I257" s="4">
        <v>56776.82</v>
      </c>
      <c r="J257" t="s">
        <v>78</v>
      </c>
      <c r="K257">
        <v>-6093068537</v>
      </c>
      <c r="L257" t="s">
        <v>45</v>
      </c>
      <c r="M257" t="b">
        <v>0</v>
      </c>
      <c r="N257">
        <v>0</v>
      </c>
    </row>
    <row r="258" spans="1:14" x14ac:dyDescent="0.25">
      <c r="A258" t="s">
        <v>647</v>
      </c>
      <c r="B258" t="s">
        <v>80</v>
      </c>
      <c r="C258" t="s">
        <v>14</v>
      </c>
      <c r="E258" s="4" t="s">
        <v>2139</v>
      </c>
      <c r="F258" s="4" t="s">
        <v>2146</v>
      </c>
      <c r="G258" t="s">
        <v>16</v>
      </c>
      <c r="H258" s="1">
        <v>45497</v>
      </c>
      <c r="I258" s="4">
        <v>72920.509999999995</v>
      </c>
      <c r="J258" t="s">
        <v>276</v>
      </c>
      <c r="K258">
        <v>-9097283214</v>
      </c>
      <c r="L258" t="s">
        <v>25</v>
      </c>
      <c r="M258" t="b">
        <v>1</v>
      </c>
      <c r="N258">
        <v>7292.0509999999995</v>
      </c>
    </row>
    <row r="259" spans="1:14" x14ac:dyDescent="0.25">
      <c r="A259" t="s">
        <v>649</v>
      </c>
      <c r="B259" t="s">
        <v>40</v>
      </c>
      <c r="C259" t="s">
        <v>106</v>
      </c>
      <c r="D259">
        <v>30</v>
      </c>
      <c r="E259" s="4" t="s">
        <v>2141</v>
      </c>
      <c r="F259" s="4" t="s">
        <v>2144</v>
      </c>
      <c r="G259" t="s">
        <v>30</v>
      </c>
      <c r="H259" s="1">
        <v>44787</v>
      </c>
      <c r="I259" s="4">
        <v>84913.18</v>
      </c>
      <c r="J259" t="s">
        <v>128</v>
      </c>
      <c r="K259">
        <v>-2850676250</v>
      </c>
      <c r="L259" t="s">
        <v>19</v>
      </c>
      <c r="M259" t="b">
        <v>1</v>
      </c>
      <c r="N259">
        <v>1698.2636</v>
      </c>
    </row>
    <row r="260" spans="1:14" x14ac:dyDescent="0.25">
      <c r="A260" t="s">
        <v>651</v>
      </c>
      <c r="B260" t="s">
        <v>27</v>
      </c>
      <c r="C260" t="s">
        <v>47</v>
      </c>
      <c r="D260">
        <v>25</v>
      </c>
      <c r="E260" s="4" t="s">
        <v>2139</v>
      </c>
      <c r="F260" s="4" t="s">
        <v>2148</v>
      </c>
      <c r="G260" t="s">
        <v>36</v>
      </c>
      <c r="H260" s="1">
        <v>44324</v>
      </c>
      <c r="I260" s="4">
        <v>65060.11</v>
      </c>
      <c r="J260" t="s">
        <v>50</v>
      </c>
      <c r="K260">
        <v>-5381447442</v>
      </c>
      <c r="L260" t="s">
        <v>25</v>
      </c>
      <c r="M260" t="b">
        <v>1</v>
      </c>
      <c r="N260">
        <v>6506.0110000000004</v>
      </c>
    </row>
    <row r="261" spans="1:14" x14ac:dyDescent="0.25">
      <c r="A261" t="s">
        <v>653</v>
      </c>
      <c r="B261" t="s">
        <v>27</v>
      </c>
      <c r="C261" t="s">
        <v>41</v>
      </c>
      <c r="D261">
        <v>35</v>
      </c>
      <c r="E261" s="4" t="s">
        <v>2139</v>
      </c>
      <c r="F261" s="4" t="s">
        <v>2148</v>
      </c>
      <c r="G261" t="s">
        <v>30</v>
      </c>
      <c r="H261" s="1">
        <v>45208</v>
      </c>
      <c r="I261" s="4">
        <v>82941.08</v>
      </c>
      <c r="J261" t="s">
        <v>431</v>
      </c>
      <c r="K261">
        <v>-963480796</v>
      </c>
      <c r="L261" t="s">
        <v>45</v>
      </c>
      <c r="M261" t="b">
        <v>0</v>
      </c>
      <c r="N261">
        <v>0</v>
      </c>
    </row>
    <row r="262" spans="1:14" x14ac:dyDescent="0.25">
      <c r="A262" t="s">
        <v>655</v>
      </c>
      <c r="B262" t="s">
        <v>13</v>
      </c>
      <c r="C262" t="s">
        <v>142</v>
      </c>
      <c r="D262">
        <v>40</v>
      </c>
      <c r="E262" s="4" t="s">
        <v>2141</v>
      </c>
      <c r="F262" s="4" t="s">
        <v>2138</v>
      </c>
      <c r="G262" t="s">
        <v>30</v>
      </c>
      <c r="H262" s="1">
        <v>44580</v>
      </c>
      <c r="I262" s="4">
        <v>103469.97</v>
      </c>
      <c r="J262" t="s">
        <v>144</v>
      </c>
      <c r="K262">
        <v>-509754509</v>
      </c>
      <c r="L262" t="s">
        <v>33</v>
      </c>
      <c r="M262" t="b">
        <v>1</v>
      </c>
      <c r="N262">
        <v>5173.4985000000006</v>
      </c>
    </row>
    <row r="263" spans="1:14" x14ac:dyDescent="0.25">
      <c r="A263" t="s">
        <v>657</v>
      </c>
      <c r="B263" t="s">
        <v>80</v>
      </c>
      <c r="C263" t="s">
        <v>106</v>
      </c>
      <c r="D263">
        <v>25</v>
      </c>
      <c r="E263" s="4" t="s">
        <v>2145</v>
      </c>
      <c r="F263" s="4" t="s">
        <v>2148</v>
      </c>
      <c r="G263" t="s">
        <v>16</v>
      </c>
      <c r="H263" s="1">
        <v>44573</v>
      </c>
      <c r="I263" s="4">
        <v>88725.6</v>
      </c>
      <c r="J263" t="s">
        <v>197</v>
      </c>
      <c r="K263">
        <v>-5265016730</v>
      </c>
      <c r="L263" t="s">
        <v>19</v>
      </c>
      <c r="M263" t="b">
        <v>1</v>
      </c>
      <c r="N263">
        <v>1774.5120000000002</v>
      </c>
    </row>
    <row r="264" spans="1:14" x14ac:dyDescent="0.25">
      <c r="A264" t="s">
        <v>659</v>
      </c>
      <c r="B264" t="s">
        <v>75</v>
      </c>
      <c r="C264" t="s">
        <v>28</v>
      </c>
      <c r="E264" s="4" t="s">
        <v>2147</v>
      </c>
      <c r="F264" s="4" t="s">
        <v>2148</v>
      </c>
      <c r="G264" t="s">
        <v>30</v>
      </c>
      <c r="H264" s="1">
        <v>45082</v>
      </c>
      <c r="I264" s="4">
        <v>58316.77</v>
      </c>
      <c r="J264" t="s">
        <v>375</v>
      </c>
      <c r="K264">
        <v>-8826170242</v>
      </c>
      <c r="L264" t="s">
        <v>25</v>
      </c>
      <c r="M264" t="b">
        <v>1</v>
      </c>
      <c r="N264">
        <v>5831.6769999999997</v>
      </c>
    </row>
    <row r="265" spans="1:14" x14ac:dyDescent="0.25">
      <c r="A265" t="s">
        <v>661</v>
      </c>
      <c r="B265" t="s">
        <v>80</v>
      </c>
      <c r="C265" t="s">
        <v>142</v>
      </c>
      <c r="D265">
        <v>35</v>
      </c>
      <c r="E265" s="4" t="s">
        <v>2147</v>
      </c>
      <c r="F265" s="4" t="s">
        <v>2148</v>
      </c>
      <c r="G265" t="s">
        <v>36</v>
      </c>
      <c r="H265" s="1">
        <v>45377</v>
      </c>
      <c r="I265" s="4">
        <v>60098.720000000001</v>
      </c>
      <c r="J265" t="s">
        <v>160</v>
      </c>
      <c r="K265">
        <v>-7654562840</v>
      </c>
      <c r="L265" t="s">
        <v>25</v>
      </c>
      <c r="M265" t="b">
        <v>1</v>
      </c>
      <c r="N265">
        <v>6009.8720000000003</v>
      </c>
    </row>
    <row r="266" spans="1:14" x14ac:dyDescent="0.25">
      <c r="A266" t="s">
        <v>663</v>
      </c>
      <c r="B266" t="s">
        <v>80</v>
      </c>
      <c r="C266" t="s">
        <v>41</v>
      </c>
      <c r="E266" s="4" t="s">
        <v>2143</v>
      </c>
      <c r="F266" s="4" t="s">
        <v>2140</v>
      </c>
      <c r="G266" t="s">
        <v>16</v>
      </c>
      <c r="H266" s="1">
        <v>44111</v>
      </c>
      <c r="I266" s="4">
        <v>99951.43</v>
      </c>
      <c r="J266" t="s">
        <v>83</v>
      </c>
      <c r="K266">
        <v>-7722560530</v>
      </c>
      <c r="L266" t="s">
        <v>19</v>
      </c>
      <c r="M266" t="b">
        <v>1</v>
      </c>
      <c r="N266">
        <v>1999.0285999999999</v>
      </c>
    </row>
    <row r="267" spans="1:14" x14ac:dyDescent="0.25">
      <c r="A267" t="s">
        <v>665</v>
      </c>
      <c r="B267" t="s">
        <v>75</v>
      </c>
      <c r="C267" t="s">
        <v>62</v>
      </c>
      <c r="D267">
        <v>30</v>
      </c>
      <c r="E267" s="4" t="s">
        <v>2145</v>
      </c>
      <c r="F267" s="4" t="s">
        <v>2148</v>
      </c>
      <c r="G267" t="s">
        <v>16</v>
      </c>
      <c r="H267" s="1">
        <v>44502</v>
      </c>
      <c r="I267" s="4">
        <v>115195.81</v>
      </c>
      <c r="J267" t="s">
        <v>132</v>
      </c>
      <c r="K267">
        <v>-3402665022</v>
      </c>
      <c r="L267" t="s">
        <v>33</v>
      </c>
      <c r="M267" t="b">
        <v>1</v>
      </c>
      <c r="N267">
        <v>5759.7905000000001</v>
      </c>
    </row>
    <row r="268" spans="1:14" x14ac:dyDescent="0.25">
      <c r="A268" t="s">
        <v>667</v>
      </c>
      <c r="B268" t="s">
        <v>80</v>
      </c>
      <c r="C268" t="s">
        <v>21</v>
      </c>
      <c r="E268" s="4" t="s">
        <v>2137</v>
      </c>
      <c r="F268" s="4" t="s">
        <v>2138</v>
      </c>
      <c r="G268" t="s">
        <v>30</v>
      </c>
      <c r="H268" s="1">
        <v>44519</v>
      </c>
      <c r="I268" s="4">
        <v>85512.05</v>
      </c>
      <c r="J268" t="s">
        <v>240</v>
      </c>
      <c r="K268">
        <v>-7416787255</v>
      </c>
      <c r="L268" t="s">
        <v>33</v>
      </c>
      <c r="M268" t="b">
        <v>0</v>
      </c>
      <c r="N268">
        <v>4275.6025</v>
      </c>
    </row>
    <row r="269" spans="1:14" x14ac:dyDescent="0.25">
      <c r="A269" t="s">
        <v>669</v>
      </c>
      <c r="B269" t="s">
        <v>75</v>
      </c>
      <c r="C269" t="s">
        <v>47</v>
      </c>
      <c r="E269" s="4" t="s">
        <v>2147</v>
      </c>
      <c r="F269" s="4" t="s">
        <v>2144</v>
      </c>
      <c r="G269" t="s">
        <v>16</v>
      </c>
      <c r="H269" s="1">
        <v>44585</v>
      </c>
      <c r="I269" s="4">
        <v>73186.77</v>
      </c>
      <c r="J269" t="s">
        <v>300</v>
      </c>
      <c r="K269">
        <v>-8621102257</v>
      </c>
      <c r="L269" t="s">
        <v>33</v>
      </c>
      <c r="M269" t="b">
        <v>0</v>
      </c>
      <c r="N269">
        <v>3659.3385000000003</v>
      </c>
    </row>
    <row r="270" spans="1:14" x14ac:dyDescent="0.25">
      <c r="A270" t="s">
        <v>671</v>
      </c>
      <c r="B270" t="s">
        <v>80</v>
      </c>
      <c r="C270" t="s">
        <v>14</v>
      </c>
      <c r="E270" s="4" t="s">
        <v>2147</v>
      </c>
      <c r="F270" s="4" t="s">
        <v>2142</v>
      </c>
      <c r="G270" t="s">
        <v>30</v>
      </c>
      <c r="H270" s="1">
        <v>45119</v>
      </c>
      <c r="I270" s="4">
        <v>51865.3</v>
      </c>
      <c r="J270" t="s">
        <v>276</v>
      </c>
      <c r="K270">
        <v>-305690673</v>
      </c>
      <c r="L270" t="s">
        <v>45</v>
      </c>
      <c r="M270" t="b">
        <v>1</v>
      </c>
      <c r="N270">
        <v>0</v>
      </c>
    </row>
    <row r="271" spans="1:14" x14ac:dyDescent="0.25">
      <c r="A271" t="s">
        <v>673</v>
      </c>
      <c r="B271" t="s">
        <v>67</v>
      </c>
      <c r="C271" t="s">
        <v>41</v>
      </c>
      <c r="D271">
        <v>25</v>
      </c>
      <c r="E271" s="4" t="s">
        <v>2145</v>
      </c>
      <c r="F271" s="4" t="s">
        <v>2144</v>
      </c>
      <c r="G271" t="s">
        <v>16</v>
      </c>
      <c r="H271" s="1">
        <v>44904</v>
      </c>
      <c r="I271" s="4">
        <v>94031.77</v>
      </c>
      <c r="J271" t="s">
        <v>70</v>
      </c>
      <c r="K271">
        <v>-4716392822</v>
      </c>
      <c r="L271" t="s">
        <v>25</v>
      </c>
      <c r="M271" t="b">
        <v>1</v>
      </c>
      <c r="N271">
        <v>9403.1770000000015</v>
      </c>
    </row>
    <row r="272" spans="1:14" x14ac:dyDescent="0.25">
      <c r="A272" t="s">
        <v>675</v>
      </c>
      <c r="B272" t="s">
        <v>80</v>
      </c>
      <c r="C272" t="s">
        <v>106</v>
      </c>
      <c r="D272">
        <v>30</v>
      </c>
      <c r="E272" s="4" t="s">
        <v>2137</v>
      </c>
      <c r="F272" s="4" t="s">
        <v>2146</v>
      </c>
      <c r="G272" t="s">
        <v>16</v>
      </c>
      <c r="H272" s="1">
        <v>45003</v>
      </c>
      <c r="I272" s="4">
        <v>116374.36</v>
      </c>
      <c r="J272" t="s">
        <v>197</v>
      </c>
      <c r="K272">
        <v>-4143637188</v>
      </c>
      <c r="L272" t="s">
        <v>25</v>
      </c>
      <c r="M272" t="b">
        <v>0</v>
      </c>
      <c r="N272">
        <v>11637.436000000002</v>
      </c>
    </row>
    <row r="273" spans="1:14" x14ac:dyDescent="0.25">
      <c r="A273" t="s">
        <v>677</v>
      </c>
      <c r="B273" t="s">
        <v>27</v>
      </c>
      <c r="C273" t="s">
        <v>47</v>
      </c>
      <c r="D273">
        <v>40</v>
      </c>
      <c r="E273" s="4" t="s">
        <v>2147</v>
      </c>
      <c r="F273" s="4" t="s">
        <v>2144</v>
      </c>
      <c r="G273" t="s">
        <v>16</v>
      </c>
      <c r="H273" s="1">
        <v>44676</v>
      </c>
      <c r="I273" s="4">
        <v>98335.02</v>
      </c>
      <c r="J273" t="s">
        <v>50</v>
      </c>
      <c r="K273">
        <v>-2392312603</v>
      </c>
      <c r="L273" t="s">
        <v>25</v>
      </c>
      <c r="M273" t="b">
        <v>0</v>
      </c>
      <c r="N273">
        <v>9833.5020000000004</v>
      </c>
    </row>
    <row r="274" spans="1:14" x14ac:dyDescent="0.25">
      <c r="A274" t="s">
        <v>679</v>
      </c>
      <c r="B274" t="s">
        <v>75</v>
      </c>
      <c r="C274" t="s">
        <v>47</v>
      </c>
      <c r="D274">
        <v>25</v>
      </c>
      <c r="E274" s="4" t="s">
        <v>2137</v>
      </c>
      <c r="F274" s="4" t="s">
        <v>2146</v>
      </c>
      <c r="G274" t="s">
        <v>30</v>
      </c>
      <c r="H274" s="1">
        <v>44255</v>
      </c>
      <c r="I274" s="4">
        <v>89262.07</v>
      </c>
      <c r="J274" t="s">
        <v>300</v>
      </c>
      <c r="K274">
        <v>-3260931065</v>
      </c>
      <c r="L274" t="s">
        <v>45</v>
      </c>
      <c r="M274" t="b">
        <v>1</v>
      </c>
      <c r="N274">
        <v>0</v>
      </c>
    </row>
    <row r="275" spans="1:14" x14ac:dyDescent="0.25">
      <c r="A275" t="s">
        <v>681</v>
      </c>
      <c r="B275" t="s">
        <v>75</v>
      </c>
      <c r="C275" t="s">
        <v>47</v>
      </c>
      <c r="E275" s="4" t="s">
        <v>2139</v>
      </c>
      <c r="F275" s="4" t="s">
        <v>2138</v>
      </c>
      <c r="G275" t="s">
        <v>16</v>
      </c>
      <c r="H275" s="1">
        <v>44772</v>
      </c>
      <c r="I275" s="4">
        <v>113848.69</v>
      </c>
      <c r="J275" t="s">
        <v>300</v>
      </c>
      <c r="K275">
        <v>-8433567085</v>
      </c>
      <c r="L275" t="s">
        <v>25</v>
      </c>
      <c r="M275" t="b">
        <v>1</v>
      </c>
      <c r="N275">
        <v>11384.869000000001</v>
      </c>
    </row>
    <row r="276" spans="1:14" x14ac:dyDescent="0.25">
      <c r="A276" t="s">
        <v>683</v>
      </c>
      <c r="B276" t="s">
        <v>40</v>
      </c>
      <c r="C276" t="s">
        <v>142</v>
      </c>
      <c r="D276">
        <v>35</v>
      </c>
      <c r="E276" s="4" t="s">
        <v>2145</v>
      </c>
      <c r="F276" s="4" t="s">
        <v>2144</v>
      </c>
      <c r="G276" t="s">
        <v>16</v>
      </c>
      <c r="H276" s="1">
        <v>44335</v>
      </c>
      <c r="I276" s="4">
        <v>69530.45</v>
      </c>
      <c r="J276" t="s">
        <v>163</v>
      </c>
      <c r="K276">
        <v>-414545634</v>
      </c>
      <c r="L276" t="s">
        <v>45</v>
      </c>
      <c r="M276" t="b">
        <v>1</v>
      </c>
      <c r="N276">
        <v>0</v>
      </c>
    </row>
    <row r="277" spans="1:14" x14ac:dyDescent="0.25">
      <c r="A277" t="s">
        <v>685</v>
      </c>
      <c r="B277" t="s">
        <v>35</v>
      </c>
      <c r="C277" t="s">
        <v>21</v>
      </c>
      <c r="D277">
        <v>35</v>
      </c>
      <c r="E277" s="4" t="s">
        <v>2137</v>
      </c>
      <c r="F277" s="4" t="s">
        <v>2146</v>
      </c>
      <c r="G277" t="s">
        <v>30</v>
      </c>
      <c r="H277" s="1">
        <v>45274</v>
      </c>
      <c r="I277" s="4">
        <v>84230.22</v>
      </c>
      <c r="J277" t="s">
        <v>183</v>
      </c>
      <c r="K277">
        <v>-200053473</v>
      </c>
      <c r="L277" t="s">
        <v>33</v>
      </c>
      <c r="M277" t="b">
        <v>1</v>
      </c>
      <c r="N277">
        <v>4211.5110000000004</v>
      </c>
    </row>
    <row r="278" spans="1:14" x14ac:dyDescent="0.25">
      <c r="A278" t="s">
        <v>687</v>
      </c>
      <c r="B278" t="s">
        <v>35</v>
      </c>
      <c r="C278" t="s">
        <v>142</v>
      </c>
      <c r="D278">
        <v>35</v>
      </c>
      <c r="E278" s="4" t="s">
        <v>2143</v>
      </c>
      <c r="F278" s="4" t="s">
        <v>2148</v>
      </c>
      <c r="G278" t="s">
        <v>30</v>
      </c>
      <c r="H278" s="1">
        <v>44943</v>
      </c>
      <c r="I278" s="4">
        <v>76578.59</v>
      </c>
      <c r="J278" t="s">
        <v>632</v>
      </c>
      <c r="K278">
        <v>-9162475540</v>
      </c>
      <c r="L278" t="s">
        <v>19</v>
      </c>
      <c r="M278" t="b">
        <v>0</v>
      </c>
      <c r="N278">
        <v>1531.5717999999999</v>
      </c>
    </row>
    <row r="279" spans="1:14" x14ac:dyDescent="0.25">
      <c r="A279" t="s">
        <v>689</v>
      </c>
      <c r="B279" t="s">
        <v>40</v>
      </c>
      <c r="C279" t="s">
        <v>106</v>
      </c>
      <c r="D279">
        <v>30</v>
      </c>
      <c r="E279" s="4" t="s">
        <v>2147</v>
      </c>
      <c r="F279" s="4" t="s">
        <v>2140</v>
      </c>
      <c r="G279" t="s">
        <v>36</v>
      </c>
      <c r="H279" s="1">
        <v>45293</v>
      </c>
      <c r="I279" s="4">
        <v>55532.06</v>
      </c>
      <c r="J279" t="s">
        <v>128</v>
      </c>
      <c r="K279">
        <v>-1082555988</v>
      </c>
      <c r="L279" t="s">
        <v>25</v>
      </c>
      <c r="M279" t="b">
        <v>1</v>
      </c>
      <c r="N279">
        <v>5553.2060000000001</v>
      </c>
    </row>
    <row r="280" spans="1:14" x14ac:dyDescent="0.25">
      <c r="A280" t="s">
        <v>691</v>
      </c>
      <c r="B280" t="s">
        <v>35</v>
      </c>
      <c r="C280" t="s">
        <v>142</v>
      </c>
      <c r="D280">
        <v>40</v>
      </c>
      <c r="E280" s="4" t="s">
        <v>2141</v>
      </c>
      <c r="F280" s="4" t="s">
        <v>2146</v>
      </c>
      <c r="G280" t="s">
        <v>30</v>
      </c>
      <c r="H280" s="1">
        <v>44386</v>
      </c>
      <c r="I280" s="4">
        <v>115311.67999999999</v>
      </c>
      <c r="J280" t="s">
        <v>632</v>
      </c>
      <c r="K280">
        <v>-5343961128</v>
      </c>
      <c r="L280" t="s">
        <v>25</v>
      </c>
      <c r="M280" t="b">
        <v>1</v>
      </c>
      <c r="N280">
        <v>11531.168</v>
      </c>
    </row>
    <row r="281" spans="1:14" x14ac:dyDescent="0.25">
      <c r="A281" t="s">
        <v>693</v>
      </c>
      <c r="B281" t="s">
        <v>61</v>
      </c>
      <c r="C281" t="s">
        <v>62</v>
      </c>
      <c r="D281">
        <v>25</v>
      </c>
      <c r="E281" s="4" t="s">
        <v>2145</v>
      </c>
      <c r="F281" s="4" t="s">
        <v>2142</v>
      </c>
      <c r="G281" t="s">
        <v>30</v>
      </c>
      <c r="H281" s="1">
        <v>44321</v>
      </c>
      <c r="I281" s="4">
        <v>66972.06</v>
      </c>
      <c r="J281" t="s">
        <v>65</v>
      </c>
      <c r="K281">
        <v>-1093371188</v>
      </c>
      <c r="L281" t="s">
        <v>33</v>
      </c>
      <c r="M281" t="b">
        <v>1</v>
      </c>
      <c r="N281">
        <v>3348.6030000000001</v>
      </c>
    </row>
    <row r="282" spans="1:14" x14ac:dyDescent="0.25">
      <c r="A282" t="s">
        <v>695</v>
      </c>
      <c r="B282" t="s">
        <v>67</v>
      </c>
      <c r="C282" t="s">
        <v>21</v>
      </c>
      <c r="D282">
        <v>30</v>
      </c>
      <c r="E282" s="4" t="s">
        <v>2143</v>
      </c>
      <c r="F282" s="4" t="s">
        <v>2140</v>
      </c>
      <c r="G282" t="s">
        <v>36</v>
      </c>
      <c r="H282" s="1">
        <v>44507</v>
      </c>
      <c r="I282" s="4">
        <v>100215.06</v>
      </c>
      <c r="J282" t="s">
        <v>265</v>
      </c>
      <c r="K282">
        <v>-5473820235</v>
      </c>
      <c r="L282" t="s">
        <v>19</v>
      </c>
      <c r="M282" t="b">
        <v>1</v>
      </c>
      <c r="N282">
        <v>2004.3012000000001</v>
      </c>
    </row>
    <row r="283" spans="1:14" x14ac:dyDescent="0.25">
      <c r="A283" t="s">
        <v>697</v>
      </c>
      <c r="B283" t="s">
        <v>61</v>
      </c>
      <c r="C283" t="s">
        <v>21</v>
      </c>
      <c r="D283">
        <v>25</v>
      </c>
      <c r="E283" s="4" t="s">
        <v>2145</v>
      </c>
      <c r="F283" s="4" t="s">
        <v>2146</v>
      </c>
      <c r="G283" t="s">
        <v>36</v>
      </c>
      <c r="H283" s="1">
        <v>45168</v>
      </c>
      <c r="I283" s="4">
        <v>115452.25</v>
      </c>
      <c r="J283" t="s">
        <v>147</v>
      </c>
      <c r="K283">
        <v>-8485571616</v>
      </c>
      <c r="L283" t="s">
        <v>45</v>
      </c>
      <c r="M283" t="b">
        <v>0</v>
      </c>
      <c r="N283">
        <v>0</v>
      </c>
    </row>
    <row r="284" spans="1:14" x14ac:dyDescent="0.25">
      <c r="A284" t="s">
        <v>699</v>
      </c>
      <c r="B284" t="s">
        <v>75</v>
      </c>
      <c r="C284" t="s">
        <v>106</v>
      </c>
      <c r="D284">
        <v>30</v>
      </c>
      <c r="E284" s="4" t="s">
        <v>2147</v>
      </c>
      <c r="F284" s="4" t="s">
        <v>2138</v>
      </c>
      <c r="G284" t="s">
        <v>36</v>
      </c>
      <c r="H284" s="1">
        <v>45153</v>
      </c>
      <c r="I284" s="4">
        <v>54141.38</v>
      </c>
      <c r="J284" t="s">
        <v>153</v>
      </c>
      <c r="K284">
        <v>-6880294239</v>
      </c>
      <c r="L284" t="s">
        <v>19</v>
      </c>
      <c r="M284" t="b">
        <v>0</v>
      </c>
      <c r="N284">
        <v>1082.8276000000001</v>
      </c>
    </row>
    <row r="285" spans="1:14" x14ac:dyDescent="0.25">
      <c r="A285" t="s">
        <v>701</v>
      </c>
      <c r="B285" t="s">
        <v>67</v>
      </c>
      <c r="C285" t="s">
        <v>14</v>
      </c>
      <c r="E285" s="4" t="s">
        <v>2137</v>
      </c>
      <c r="F285" s="4" t="s">
        <v>2142</v>
      </c>
      <c r="G285" t="s">
        <v>16</v>
      </c>
      <c r="H285" s="1">
        <v>44189</v>
      </c>
      <c r="I285" s="4">
        <v>79251.95</v>
      </c>
      <c r="J285" t="s">
        <v>73</v>
      </c>
      <c r="K285">
        <v>-9036788126</v>
      </c>
      <c r="L285" t="s">
        <v>33</v>
      </c>
      <c r="M285" t="b">
        <v>0</v>
      </c>
      <c r="N285">
        <v>3962.5974999999999</v>
      </c>
    </row>
    <row r="286" spans="1:14" x14ac:dyDescent="0.25">
      <c r="A286" t="s">
        <v>703</v>
      </c>
      <c r="B286" t="s">
        <v>27</v>
      </c>
      <c r="C286" t="s">
        <v>62</v>
      </c>
      <c r="D286">
        <v>40</v>
      </c>
      <c r="E286" s="4" t="s">
        <v>2139</v>
      </c>
      <c r="F286" s="4" t="s">
        <v>2146</v>
      </c>
      <c r="G286" t="s">
        <v>30</v>
      </c>
      <c r="H286" s="1">
        <v>45617</v>
      </c>
      <c r="I286" s="4">
        <v>114822.78</v>
      </c>
      <c r="J286" t="s">
        <v>177</v>
      </c>
      <c r="K286">
        <v>-8686694319</v>
      </c>
      <c r="L286" t="s">
        <v>33</v>
      </c>
      <c r="M286" t="b">
        <v>1</v>
      </c>
      <c r="N286">
        <v>5741.1390000000001</v>
      </c>
    </row>
    <row r="287" spans="1:14" x14ac:dyDescent="0.25">
      <c r="A287" t="s">
        <v>705</v>
      </c>
      <c r="B287" t="s">
        <v>27</v>
      </c>
      <c r="C287" t="s">
        <v>41</v>
      </c>
      <c r="D287">
        <v>35</v>
      </c>
      <c r="E287" s="4" t="s">
        <v>2145</v>
      </c>
      <c r="F287" s="4" t="s">
        <v>2148</v>
      </c>
      <c r="G287" t="s">
        <v>16</v>
      </c>
      <c r="H287" s="1">
        <v>44517</v>
      </c>
      <c r="I287" s="4">
        <v>69919.320000000007</v>
      </c>
      <c r="J287" t="s">
        <v>431</v>
      </c>
      <c r="K287">
        <v>-2939087883</v>
      </c>
      <c r="L287" t="s">
        <v>19</v>
      </c>
      <c r="M287" t="b">
        <v>1</v>
      </c>
      <c r="N287">
        <v>1398.3864000000001</v>
      </c>
    </row>
    <row r="288" spans="1:14" x14ac:dyDescent="0.25">
      <c r="A288" t="s">
        <v>707</v>
      </c>
      <c r="B288" t="s">
        <v>75</v>
      </c>
      <c r="C288" t="s">
        <v>142</v>
      </c>
      <c r="D288">
        <v>30</v>
      </c>
      <c r="E288" s="4" t="s">
        <v>2145</v>
      </c>
      <c r="F288" s="4" t="s">
        <v>2144</v>
      </c>
      <c r="G288" t="s">
        <v>36</v>
      </c>
      <c r="H288" s="1">
        <v>44225</v>
      </c>
      <c r="I288" s="4">
        <v>106616.97</v>
      </c>
      <c r="J288" t="s">
        <v>436</v>
      </c>
      <c r="K288">
        <v>-4344812307</v>
      </c>
      <c r="L288" t="s">
        <v>45</v>
      </c>
      <c r="M288" t="b">
        <v>0</v>
      </c>
      <c r="N288">
        <v>0</v>
      </c>
    </row>
    <row r="289" spans="1:14" x14ac:dyDescent="0.25">
      <c r="A289" t="s">
        <v>709</v>
      </c>
      <c r="B289" t="s">
        <v>75</v>
      </c>
      <c r="C289" t="s">
        <v>28</v>
      </c>
      <c r="D289">
        <v>35</v>
      </c>
      <c r="E289" s="4" t="s">
        <v>2137</v>
      </c>
      <c r="F289" s="4" t="s">
        <v>2146</v>
      </c>
      <c r="G289" t="s">
        <v>16</v>
      </c>
      <c r="H289" s="1">
        <v>45339</v>
      </c>
      <c r="I289" s="4">
        <v>73597.850000000006</v>
      </c>
      <c r="J289" t="s">
        <v>375</v>
      </c>
      <c r="K289">
        <v>-3402424032</v>
      </c>
      <c r="L289" t="s">
        <v>45</v>
      </c>
      <c r="M289" t="b">
        <v>1</v>
      </c>
      <c r="N289">
        <v>0</v>
      </c>
    </row>
    <row r="290" spans="1:14" x14ac:dyDescent="0.25">
      <c r="A290" t="s">
        <v>711</v>
      </c>
      <c r="B290" t="s">
        <v>67</v>
      </c>
      <c r="C290" t="s">
        <v>142</v>
      </c>
      <c r="D290">
        <v>30</v>
      </c>
      <c r="E290" s="4" t="s">
        <v>2145</v>
      </c>
      <c r="F290" s="4" t="s">
        <v>2142</v>
      </c>
      <c r="G290" t="s">
        <v>36</v>
      </c>
      <c r="H290" s="1">
        <v>45524</v>
      </c>
      <c r="I290" s="4">
        <v>79939.23</v>
      </c>
      <c r="J290" t="s">
        <v>402</v>
      </c>
      <c r="K290">
        <v>-8105955183</v>
      </c>
      <c r="L290" t="s">
        <v>25</v>
      </c>
      <c r="M290" t="b">
        <v>1</v>
      </c>
      <c r="N290">
        <v>7993.9229999999998</v>
      </c>
    </row>
    <row r="291" spans="1:14" x14ac:dyDescent="0.25">
      <c r="A291" t="s">
        <v>713</v>
      </c>
      <c r="B291" t="s">
        <v>80</v>
      </c>
      <c r="C291" t="s">
        <v>47</v>
      </c>
      <c r="D291">
        <v>25</v>
      </c>
      <c r="E291" s="4" t="s">
        <v>2141</v>
      </c>
      <c r="F291" s="4" t="s">
        <v>2146</v>
      </c>
      <c r="G291" t="s">
        <v>36</v>
      </c>
      <c r="H291" s="1">
        <v>44493</v>
      </c>
      <c r="I291" s="4"/>
      <c r="J291" t="s">
        <v>96</v>
      </c>
      <c r="K291">
        <v>-2694500533</v>
      </c>
      <c r="L291" t="s">
        <v>45</v>
      </c>
      <c r="M291" t="b">
        <v>0</v>
      </c>
      <c r="N291">
        <v>0</v>
      </c>
    </row>
    <row r="292" spans="1:14" x14ac:dyDescent="0.25">
      <c r="A292" t="s">
        <v>714</v>
      </c>
      <c r="B292" t="s">
        <v>80</v>
      </c>
      <c r="C292" t="s">
        <v>142</v>
      </c>
      <c r="D292">
        <v>30</v>
      </c>
      <c r="E292" s="4" t="s">
        <v>2139</v>
      </c>
      <c r="F292" s="4" t="s">
        <v>2138</v>
      </c>
      <c r="G292" t="s">
        <v>36</v>
      </c>
      <c r="H292" s="1">
        <v>44449</v>
      </c>
      <c r="I292" s="4">
        <v>90772.25</v>
      </c>
      <c r="J292" t="s">
        <v>160</v>
      </c>
      <c r="K292">
        <v>-2408916497</v>
      </c>
      <c r="L292" t="s">
        <v>19</v>
      </c>
      <c r="M292" t="b">
        <v>0</v>
      </c>
      <c r="N292">
        <v>1815.4449999999999</v>
      </c>
    </row>
    <row r="293" spans="1:14" x14ac:dyDescent="0.25">
      <c r="A293" t="s">
        <v>716</v>
      </c>
      <c r="B293" t="s">
        <v>35</v>
      </c>
      <c r="C293" t="s">
        <v>41</v>
      </c>
      <c r="D293">
        <v>35</v>
      </c>
      <c r="E293" s="4" t="s">
        <v>2137</v>
      </c>
      <c r="F293" s="4" t="s">
        <v>2146</v>
      </c>
      <c r="G293" t="s">
        <v>16</v>
      </c>
      <c r="H293" s="1">
        <v>45198</v>
      </c>
      <c r="I293" s="4">
        <v>58275.74</v>
      </c>
      <c r="J293" t="s">
        <v>167</v>
      </c>
      <c r="K293">
        <v>-3735439626</v>
      </c>
      <c r="L293" t="s">
        <v>33</v>
      </c>
      <c r="M293" t="b">
        <v>0</v>
      </c>
      <c r="N293">
        <v>2913.7870000000003</v>
      </c>
    </row>
    <row r="294" spans="1:14" x14ac:dyDescent="0.25">
      <c r="A294" t="s">
        <v>718</v>
      </c>
      <c r="B294" t="s">
        <v>80</v>
      </c>
      <c r="C294" t="s">
        <v>142</v>
      </c>
      <c r="E294" s="4" t="s">
        <v>2137</v>
      </c>
      <c r="F294" s="4" t="s">
        <v>2138</v>
      </c>
      <c r="G294" t="s">
        <v>30</v>
      </c>
      <c r="H294" s="1">
        <v>44071</v>
      </c>
      <c r="I294" s="4">
        <v>94709.79</v>
      </c>
      <c r="J294" t="s">
        <v>160</v>
      </c>
      <c r="K294">
        <v>-3652717271</v>
      </c>
      <c r="L294" t="s">
        <v>25</v>
      </c>
      <c r="M294" t="b">
        <v>0</v>
      </c>
      <c r="N294">
        <v>9470.9789999999994</v>
      </c>
    </row>
    <row r="295" spans="1:14" x14ac:dyDescent="0.25">
      <c r="A295" t="s">
        <v>720</v>
      </c>
      <c r="B295" t="s">
        <v>40</v>
      </c>
      <c r="C295" t="s">
        <v>62</v>
      </c>
      <c r="E295" s="4" t="s">
        <v>2141</v>
      </c>
      <c r="F295" s="4" t="s">
        <v>2146</v>
      </c>
      <c r="G295" t="s">
        <v>16</v>
      </c>
      <c r="H295" s="1">
        <v>44810</v>
      </c>
      <c r="I295" s="4">
        <v>60722.99</v>
      </c>
      <c r="J295" t="s">
        <v>316</v>
      </c>
      <c r="K295">
        <v>-2397240421</v>
      </c>
      <c r="L295" t="s">
        <v>25</v>
      </c>
      <c r="M295" t="b">
        <v>1</v>
      </c>
      <c r="N295">
        <v>6072.299</v>
      </c>
    </row>
    <row r="296" spans="1:14" x14ac:dyDescent="0.25">
      <c r="A296" t="s">
        <v>722</v>
      </c>
      <c r="B296" t="s">
        <v>40</v>
      </c>
      <c r="C296" t="s">
        <v>62</v>
      </c>
      <c r="D296">
        <v>40</v>
      </c>
      <c r="E296" s="4" t="s">
        <v>2137</v>
      </c>
      <c r="F296" s="4" t="s">
        <v>2148</v>
      </c>
      <c r="G296" t="s">
        <v>36</v>
      </c>
      <c r="H296" s="1">
        <v>45382</v>
      </c>
      <c r="I296" s="4">
        <v>87626.240000000005</v>
      </c>
      <c r="J296" t="s">
        <v>316</v>
      </c>
      <c r="K296">
        <v>-6931216375</v>
      </c>
      <c r="L296" t="s">
        <v>33</v>
      </c>
      <c r="M296" t="b">
        <v>1</v>
      </c>
      <c r="N296">
        <v>4381.3120000000008</v>
      </c>
    </row>
    <row r="297" spans="1:14" x14ac:dyDescent="0.25">
      <c r="A297" t="s">
        <v>724</v>
      </c>
      <c r="B297" t="s">
        <v>67</v>
      </c>
      <c r="C297" t="s">
        <v>21</v>
      </c>
      <c r="D297">
        <v>30</v>
      </c>
      <c r="E297" s="4" t="s">
        <v>2137</v>
      </c>
      <c r="F297" s="4" t="s">
        <v>2148</v>
      </c>
      <c r="G297" t="s">
        <v>16</v>
      </c>
      <c r="H297" s="1">
        <v>44907</v>
      </c>
      <c r="I297" s="4">
        <v>81272.36</v>
      </c>
      <c r="J297" t="s">
        <v>265</v>
      </c>
      <c r="K297">
        <v>-1820916600</v>
      </c>
      <c r="L297" t="s">
        <v>45</v>
      </c>
      <c r="M297" t="b">
        <v>0</v>
      </c>
      <c r="N297">
        <v>0</v>
      </c>
    </row>
    <row r="298" spans="1:14" x14ac:dyDescent="0.25">
      <c r="A298" t="s">
        <v>726</v>
      </c>
      <c r="B298" t="s">
        <v>13</v>
      </c>
      <c r="C298" t="s">
        <v>106</v>
      </c>
      <c r="E298" s="4" t="s">
        <v>2143</v>
      </c>
      <c r="F298" s="4" t="s">
        <v>2140</v>
      </c>
      <c r="G298" t="s">
        <v>30</v>
      </c>
      <c r="H298" s="1">
        <v>44866</v>
      </c>
      <c r="I298" s="4">
        <v>64150.97</v>
      </c>
      <c r="J298" t="s">
        <v>108</v>
      </c>
      <c r="K298">
        <v>-23142899</v>
      </c>
      <c r="L298" t="s">
        <v>33</v>
      </c>
      <c r="M298" t="b">
        <v>1</v>
      </c>
      <c r="N298">
        <v>3207.5485000000003</v>
      </c>
    </row>
    <row r="299" spans="1:14" x14ac:dyDescent="0.25">
      <c r="A299" t="s">
        <v>728</v>
      </c>
      <c r="B299" t="s">
        <v>61</v>
      </c>
      <c r="C299" t="s">
        <v>14</v>
      </c>
      <c r="D299">
        <v>35</v>
      </c>
      <c r="E299" s="4" t="s">
        <v>2145</v>
      </c>
      <c r="F299" s="4" t="s">
        <v>2144</v>
      </c>
      <c r="G299" t="s">
        <v>16</v>
      </c>
      <c r="H299" s="1">
        <v>45224</v>
      </c>
      <c r="I299" s="4">
        <v>64378.1</v>
      </c>
      <c r="J299" t="s">
        <v>200</v>
      </c>
      <c r="K299">
        <v>-1851327971</v>
      </c>
      <c r="L299" t="s">
        <v>45</v>
      </c>
      <c r="M299" t="b">
        <v>0</v>
      </c>
      <c r="N299">
        <v>0</v>
      </c>
    </row>
    <row r="300" spans="1:14" x14ac:dyDescent="0.25">
      <c r="A300" t="s">
        <v>730</v>
      </c>
      <c r="B300" t="s">
        <v>13</v>
      </c>
      <c r="C300" t="s">
        <v>28</v>
      </c>
      <c r="E300" s="4" t="s">
        <v>2139</v>
      </c>
      <c r="F300" s="4" t="s">
        <v>2140</v>
      </c>
      <c r="G300" t="s">
        <v>36</v>
      </c>
      <c r="H300" s="1">
        <v>44101</v>
      </c>
      <c r="I300" s="4">
        <v>85927.35</v>
      </c>
      <c r="J300" t="s">
        <v>56</v>
      </c>
      <c r="K300">
        <v>-4572308480</v>
      </c>
      <c r="L300" t="s">
        <v>33</v>
      </c>
      <c r="M300" t="b">
        <v>0</v>
      </c>
      <c r="N300">
        <v>4296.3675000000003</v>
      </c>
    </row>
    <row r="301" spans="1:14" x14ac:dyDescent="0.25">
      <c r="A301" t="s">
        <v>732</v>
      </c>
      <c r="B301" t="s">
        <v>27</v>
      </c>
      <c r="C301" t="s">
        <v>47</v>
      </c>
      <c r="E301" s="4" t="s">
        <v>2139</v>
      </c>
      <c r="F301" s="4" t="s">
        <v>2142</v>
      </c>
      <c r="G301" t="s">
        <v>36</v>
      </c>
      <c r="H301" s="1">
        <v>45312</v>
      </c>
      <c r="I301" s="4">
        <v>51523.93</v>
      </c>
      <c r="J301" t="s">
        <v>50</v>
      </c>
      <c r="K301">
        <v>-18418619</v>
      </c>
      <c r="L301" t="s">
        <v>19</v>
      </c>
      <c r="M301" t="b">
        <v>1</v>
      </c>
      <c r="N301">
        <v>1030.4785999999999</v>
      </c>
    </row>
    <row r="302" spans="1:14" x14ac:dyDescent="0.25">
      <c r="A302" t="s">
        <v>734</v>
      </c>
      <c r="B302" t="s">
        <v>27</v>
      </c>
      <c r="C302" t="s">
        <v>142</v>
      </c>
      <c r="D302">
        <v>30</v>
      </c>
      <c r="E302" s="4" t="s">
        <v>2145</v>
      </c>
      <c r="F302" s="4" t="s">
        <v>2140</v>
      </c>
      <c r="G302" t="s">
        <v>16</v>
      </c>
      <c r="H302" s="1">
        <v>44698</v>
      </c>
      <c r="I302" s="4">
        <v>74117.02</v>
      </c>
      <c r="J302" t="s">
        <v>217</v>
      </c>
      <c r="K302">
        <v>-3036625435</v>
      </c>
      <c r="L302" t="s">
        <v>45</v>
      </c>
      <c r="M302" t="b">
        <v>0</v>
      </c>
      <c r="N302">
        <v>0</v>
      </c>
    </row>
    <row r="303" spans="1:14" x14ac:dyDescent="0.25">
      <c r="A303" t="s">
        <v>736</v>
      </c>
      <c r="B303" t="s">
        <v>27</v>
      </c>
      <c r="C303" t="s">
        <v>142</v>
      </c>
      <c r="D303">
        <v>25</v>
      </c>
      <c r="E303" s="4" t="s">
        <v>2139</v>
      </c>
      <c r="F303" s="4" t="s">
        <v>2140</v>
      </c>
      <c r="G303" t="s">
        <v>36</v>
      </c>
      <c r="H303" s="1">
        <v>44668</v>
      </c>
      <c r="I303" s="4">
        <v>62598.69</v>
      </c>
      <c r="J303" t="s">
        <v>217</v>
      </c>
      <c r="K303">
        <v>-1721314518</v>
      </c>
      <c r="L303" t="s">
        <v>19</v>
      </c>
      <c r="M303" t="b">
        <v>1</v>
      </c>
      <c r="N303">
        <v>1251.9738</v>
      </c>
    </row>
    <row r="304" spans="1:14" x14ac:dyDescent="0.25">
      <c r="A304" t="s">
        <v>738</v>
      </c>
      <c r="B304" t="s">
        <v>80</v>
      </c>
      <c r="C304" t="s">
        <v>41</v>
      </c>
      <c r="D304">
        <v>35</v>
      </c>
      <c r="E304" s="4" t="s">
        <v>2139</v>
      </c>
      <c r="F304" s="4" t="s">
        <v>2144</v>
      </c>
      <c r="G304" t="s">
        <v>36</v>
      </c>
      <c r="H304" s="1">
        <v>44600</v>
      </c>
      <c r="I304" s="4">
        <v>55617.5</v>
      </c>
      <c r="J304" t="s">
        <v>83</v>
      </c>
      <c r="K304">
        <v>-5151092267</v>
      </c>
      <c r="L304" t="s">
        <v>25</v>
      </c>
      <c r="M304" t="b">
        <v>1</v>
      </c>
      <c r="N304">
        <v>5561.75</v>
      </c>
    </row>
    <row r="305" spans="1:14" x14ac:dyDescent="0.25">
      <c r="A305" t="s">
        <v>740</v>
      </c>
      <c r="B305" t="s">
        <v>61</v>
      </c>
      <c r="C305" t="s">
        <v>106</v>
      </c>
      <c r="D305">
        <v>35</v>
      </c>
      <c r="E305" s="4" t="s">
        <v>2143</v>
      </c>
      <c r="F305" s="4" t="s">
        <v>2146</v>
      </c>
      <c r="G305" t="s">
        <v>30</v>
      </c>
      <c r="H305" s="1">
        <v>44635</v>
      </c>
      <c r="I305" s="4">
        <v>87018.98</v>
      </c>
      <c r="J305" t="s">
        <v>607</v>
      </c>
      <c r="K305">
        <v>-5926249450</v>
      </c>
      <c r="L305" t="s">
        <v>33</v>
      </c>
      <c r="M305" t="b">
        <v>1</v>
      </c>
      <c r="N305">
        <v>4350.9489999999996</v>
      </c>
    </row>
    <row r="306" spans="1:14" x14ac:dyDescent="0.25">
      <c r="A306" t="s">
        <v>742</v>
      </c>
      <c r="B306" t="s">
        <v>67</v>
      </c>
      <c r="C306" t="s">
        <v>62</v>
      </c>
      <c r="D306">
        <v>25</v>
      </c>
      <c r="E306" s="4" t="s">
        <v>2143</v>
      </c>
      <c r="F306" s="4" t="s">
        <v>2138</v>
      </c>
      <c r="G306" t="s">
        <v>36</v>
      </c>
      <c r="H306" s="1">
        <v>45210</v>
      </c>
      <c r="I306" s="4">
        <v>100336.58</v>
      </c>
      <c r="J306" t="s">
        <v>257</v>
      </c>
      <c r="K306">
        <v>-4754102251</v>
      </c>
      <c r="L306" t="s">
        <v>25</v>
      </c>
      <c r="M306" t="b">
        <v>1</v>
      </c>
      <c r="N306">
        <v>10033.658000000001</v>
      </c>
    </row>
    <row r="307" spans="1:14" x14ac:dyDescent="0.25">
      <c r="A307" t="s">
        <v>744</v>
      </c>
      <c r="B307" t="s">
        <v>80</v>
      </c>
      <c r="C307" t="s">
        <v>28</v>
      </c>
      <c r="D307">
        <v>30</v>
      </c>
      <c r="E307" s="4" t="s">
        <v>2141</v>
      </c>
      <c r="F307" s="4" t="s">
        <v>2144</v>
      </c>
      <c r="G307" t="s">
        <v>36</v>
      </c>
      <c r="H307" s="1">
        <v>44148</v>
      </c>
      <c r="I307" s="4">
        <v>69295.48</v>
      </c>
      <c r="J307" t="s">
        <v>89</v>
      </c>
      <c r="K307">
        <v>-6771196420</v>
      </c>
      <c r="L307" t="s">
        <v>25</v>
      </c>
      <c r="M307" t="b">
        <v>0</v>
      </c>
      <c r="N307">
        <v>6929.5479999999998</v>
      </c>
    </row>
    <row r="308" spans="1:14" x14ac:dyDescent="0.25">
      <c r="A308" t="s">
        <v>746</v>
      </c>
      <c r="B308" t="s">
        <v>13</v>
      </c>
      <c r="C308" t="s">
        <v>21</v>
      </c>
      <c r="D308">
        <v>25</v>
      </c>
      <c r="E308" s="4" t="s">
        <v>2137</v>
      </c>
      <c r="F308" s="4" t="s">
        <v>2144</v>
      </c>
      <c r="G308" t="s">
        <v>30</v>
      </c>
      <c r="H308" s="1">
        <v>45399</v>
      </c>
      <c r="I308" s="4">
        <v>115536.66</v>
      </c>
      <c r="J308" t="s">
        <v>24</v>
      </c>
      <c r="K308">
        <v>-5226557675</v>
      </c>
      <c r="L308" t="s">
        <v>25</v>
      </c>
      <c r="M308" t="b">
        <v>1</v>
      </c>
      <c r="N308">
        <v>11553.666000000001</v>
      </c>
    </row>
    <row r="309" spans="1:14" x14ac:dyDescent="0.25">
      <c r="A309" t="s">
        <v>748</v>
      </c>
      <c r="B309" t="s">
        <v>67</v>
      </c>
      <c r="C309" t="s">
        <v>62</v>
      </c>
      <c r="D309">
        <v>30</v>
      </c>
      <c r="E309" s="4" t="s">
        <v>2143</v>
      </c>
      <c r="F309" s="4" t="s">
        <v>2140</v>
      </c>
      <c r="G309" t="s">
        <v>30</v>
      </c>
      <c r="H309" s="1">
        <v>43899</v>
      </c>
      <c r="I309" s="4">
        <v>81250.87</v>
      </c>
      <c r="J309" t="s">
        <v>257</v>
      </c>
      <c r="K309">
        <v>-9523668787</v>
      </c>
      <c r="L309" t="s">
        <v>25</v>
      </c>
      <c r="M309" t="b">
        <v>0</v>
      </c>
      <c r="N309">
        <v>8125.0869999999995</v>
      </c>
    </row>
    <row r="310" spans="1:14" x14ac:dyDescent="0.25">
      <c r="A310" t="s">
        <v>750</v>
      </c>
      <c r="B310" t="s">
        <v>27</v>
      </c>
      <c r="C310" t="s">
        <v>47</v>
      </c>
      <c r="D310">
        <v>30</v>
      </c>
      <c r="E310" s="4" t="s">
        <v>2137</v>
      </c>
      <c r="F310" s="4" t="s">
        <v>2140</v>
      </c>
      <c r="G310" t="s">
        <v>36</v>
      </c>
      <c r="H310" s="1">
        <v>44729</v>
      </c>
      <c r="I310" s="4">
        <v>66403.75</v>
      </c>
      <c r="J310" t="s">
        <v>50</v>
      </c>
      <c r="K310">
        <v>-7883619688</v>
      </c>
      <c r="L310" t="s">
        <v>33</v>
      </c>
      <c r="M310" t="b">
        <v>0</v>
      </c>
      <c r="N310">
        <v>3320.1875</v>
      </c>
    </row>
    <row r="311" spans="1:14" x14ac:dyDescent="0.25">
      <c r="A311" t="s">
        <v>752</v>
      </c>
      <c r="B311" t="s">
        <v>27</v>
      </c>
      <c r="C311" t="s">
        <v>106</v>
      </c>
      <c r="D311">
        <v>30</v>
      </c>
      <c r="E311" s="4" t="s">
        <v>2145</v>
      </c>
      <c r="F311" s="4" t="s">
        <v>2138</v>
      </c>
      <c r="G311" t="s">
        <v>16</v>
      </c>
      <c r="H311" s="1">
        <v>45501</v>
      </c>
      <c r="I311" s="4">
        <v>114147.79</v>
      </c>
      <c r="J311" t="s">
        <v>194</v>
      </c>
      <c r="K311">
        <v>-3135030586</v>
      </c>
      <c r="L311" t="s">
        <v>25</v>
      </c>
      <c r="M311" t="b">
        <v>0</v>
      </c>
      <c r="N311">
        <v>11414.779</v>
      </c>
    </row>
    <row r="312" spans="1:14" x14ac:dyDescent="0.25">
      <c r="A312" t="s">
        <v>754</v>
      </c>
      <c r="B312" t="s">
        <v>40</v>
      </c>
      <c r="C312" t="s">
        <v>47</v>
      </c>
      <c r="D312">
        <v>30</v>
      </c>
      <c r="E312" s="4" t="s">
        <v>2147</v>
      </c>
      <c r="F312" s="4" t="s">
        <v>2146</v>
      </c>
      <c r="G312" t="s">
        <v>30</v>
      </c>
      <c r="H312" s="1">
        <v>44898</v>
      </c>
      <c r="I312" s="4">
        <v>65472.99</v>
      </c>
      <c r="J312" t="s">
        <v>214</v>
      </c>
      <c r="K312">
        <v>-2105524727</v>
      </c>
      <c r="L312" t="s">
        <v>33</v>
      </c>
      <c r="M312" t="b">
        <v>0</v>
      </c>
      <c r="N312">
        <v>3273.6495</v>
      </c>
    </row>
    <row r="313" spans="1:14" x14ac:dyDescent="0.25">
      <c r="A313" t="s">
        <v>756</v>
      </c>
      <c r="B313" t="s">
        <v>27</v>
      </c>
      <c r="C313" t="s">
        <v>14</v>
      </c>
      <c r="E313" s="4" t="s">
        <v>2145</v>
      </c>
      <c r="F313" s="4" t="s">
        <v>2142</v>
      </c>
      <c r="G313" t="s">
        <v>16</v>
      </c>
      <c r="H313" s="1">
        <v>45113</v>
      </c>
      <c r="I313" s="4">
        <v>97512.51</v>
      </c>
      <c r="J313" t="s">
        <v>191</v>
      </c>
      <c r="K313">
        <v>-6333021259</v>
      </c>
      <c r="L313" t="s">
        <v>33</v>
      </c>
      <c r="M313" t="b">
        <v>1</v>
      </c>
      <c r="N313">
        <v>4875.6255000000001</v>
      </c>
    </row>
    <row r="314" spans="1:14" x14ac:dyDescent="0.25">
      <c r="A314" t="s">
        <v>758</v>
      </c>
      <c r="B314" t="s">
        <v>27</v>
      </c>
      <c r="C314" t="s">
        <v>21</v>
      </c>
      <c r="D314">
        <v>35</v>
      </c>
      <c r="E314" s="4" t="s">
        <v>2137</v>
      </c>
      <c r="F314" s="4" t="s">
        <v>2142</v>
      </c>
      <c r="G314" t="s">
        <v>36</v>
      </c>
      <c r="H314" s="1">
        <v>45440</v>
      </c>
      <c r="I314" s="4">
        <v>86712.41</v>
      </c>
      <c r="J314" t="s">
        <v>93</v>
      </c>
      <c r="K314">
        <v>-6501917919</v>
      </c>
      <c r="L314" t="s">
        <v>19</v>
      </c>
      <c r="M314" t="b">
        <v>1</v>
      </c>
      <c r="N314">
        <v>1734.2482</v>
      </c>
    </row>
    <row r="315" spans="1:14" x14ac:dyDescent="0.25">
      <c r="A315" t="s">
        <v>760</v>
      </c>
      <c r="B315" t="s">
        <v>80</v>
      </c>
      <c r="C315" t="s">
        <v>14</v>
      </c>
      <c r="D315">
        <v>30</v>
      </c>
      <c r="E315" s="4" t="s">
        <v>2147</v>
      </c>
      <c r="F315" s="4" t="s">
        <v>2144</v>
      </c>
      <c r="G315" t="s">
        <v>16</v>
      </c>
      <c r="H315" s="1">
        <v>45376</v>
      </c>
      <c r="I315" s="4">
        <v>87654.98</v>
      </c>
      <c r="J315" t="s">
        <v>276</v>
      </c>
      <c r="K315">
        <v>-2521310961</v>
      </c>
      <c r="L315" t="s">
        <v>45</v>
      </c>
      <c r="M315" t="b">
        <v>0</v>
      </c>
      <c r="N315">
        <v>0</v>
      </c>
    </row>
    <row r="316" spans="1:14" x14ac:dyDescent="0.25">
      <c r="A316" t="s">
        <v>762</v>
      </c>
      <c r="B316" t="s">
        <v>67</v>
      </c>
      <c r="C316" t="s">
        <v>41</v>
      </c>
      <c r="D316">
        <v>35</v>
      </c>
      <c r="E316" s="4" t="s">
        <v>2137</v>
      </c>
      <c r="F316" s="4" t="s">
        <v>2146</v>
      </c>
      <c r="G316" t="s">
        <v>36</v>
      </c>
      <c r="H316" s="1">
        <v>43949</v>
      </c>
      <c r="I316" s="4">
        <v>89367.02</v>
      </c>
      <c r="J316" t="s">
        <v>70</v>
      </c>
      <c r="K316">
        <v>-2728476569</v>
      </c>
      <c r="L316" t="s">
        <v>45</v>
      </c>
      <c r="M316" t="b">
        <v>0</v>
      </c>
      <c r="N316">
        <v>0</v>
      </c>
    </row>
    <row r="317" spans="1:14" x14ac:dyDescent="0.25">
      <c r="A317" t="s">
        <v>764</v>
      </c>
      <c r="B317" t="s">
        <v>61</v>
      </c>
      <c r="C317" t="s">
        <v>47</v>
      </c>
      <c r="D317">
        <v>40</v>
      </c>
      <c r="E317" s="4" t="s">
        <v>2141</v>
      </c>
      <c r="F317" s="4" t="s">
        <v>2138</v>
      </c>
      <c r="G317" t="s">
        <v>16</v>
      </c>
      <c r="H317" s="1">
        <v>44507</v>
      </c>
      <c r="I317" s="4">
        <v>95269.41</v>
      </c>
      <c r="J317" t="s">
        <v>100</v>
      </c>
      <c r="K317">
        <v>-4120092819</v>
      </c>
      <c r="L317" t="s">
        <v>33</v>
      </c>
      <c r="M317" t="b">
        <v>1</v>
      </c>
      <c r="N317">
        <v>4763.4705000000004</v>
      </c>
    </row>
    <row r="318" spans="1:14" x14ac:dyDescent="0.25">
      <c r="A318" t="s">
        <v>766</v>
      </c>
      <c r="B318" t="s">
        <v>40</v>
      </c>
      <c r="C318" t="s">
        <v>41</v>
      </c>
      <c r="D318">
        <v>25</v>
      </c>
      <c r="E318" s="4" t="s">
        <v>2145</v>
      </c>
      <c r="F318" s="4" t="s">
        <v>2142</v>
      </c>
      <c r="G318" t="s">
        <v>16</v>
      </c>
      <c r="H318" s="1">
        <v>43936</v>
      </c>
      <c r="I318" s="4">
        <v>68792.31</v>
      </c>
      <c r="J318" t="s">
        <v>44</v>
      </c>
      <c r="K318">
        <v>-6678498435</v>
      </c>
      <c r="L318" t="s">
        <v>19</v>
      </c>
      <c r="M318" t="b">
        <v>0</v>
      </c>
      <c r="N318">
        <v>1375.8462</v>
      </c>
    </row>
    <row r="319" spans="1:14" x14ac:dyDescent="0.25">
      <c r="A319" t="s">
        <v>768</v>
      </c>
      <c r="B319" t="s">
        <v>27</v>
      </c>
      <c r="C319" t="s">
        <v>142</v>
      </c>
      <c r="D319">
        <v>25</v>
      </c>
      <c r="E319" s="4" t="s">
        <v>2141</v>
      </c>
      <c r="F319" s="4" t="s">
        <v>2148</v>
      </c>
      <c r="G319" t="s">
        <v>30</v>
      </c>
      <c r="H319" s="1">
        <v>45206</v>
      </c>
      <c r="I319" s="4">
        <v>89119.53</v>
      </c>
      <c r="J319" t="s">
        <v>217</v>
      </c>
      <c r="K319">
        <v>-2418623689</v>
      </c>
      <c r="L319" t="s">
        <v>33</v>
      </c>
      <c r="M319" t="b">
        <v>1</v>
      </c>
      <c r="N319">
        <v>4455.9764999999998</v>
      </c>
    </row>
    <row r="320" spans="1:14" x14ac:dyDescent="0.25">
      <c r="A320" t="s">
        <v>770</v>
      </c>
      <c r="B320" t="s">
        <v>40</v>
      </c>
      <c r="C320" t="s">
        <v>14</v>
      </c>
      <c r="D320">
        <v>35</v>
      </c>
      <c r="E320" s="4" t="s">
        <v>2143</v>
      </c>
      <c r="F320" s="4" t="s">
        <v>2146</v>
      </c>
      <c r="G320" t="s">
        <v>16</v>
      </c>
      <c r="H320" s="1">
        <v>45349</v>
      </c>
      <c r="I320" s="4">
        <v>58212.13</v>
      </c>
      <c r="J320" t="s">
        <v>59</v>
      </c>
      <c r="K320">
        <v>-3628917755</v>
      </c>
      <c r="L320" t="s">
        <v>33</v>
      </c>
      <c r="M320" t="b">
        <v>0</v>
      </c>
      <c r="N320">
        <v>2910.6064999999999</v>
      </c>
    </row>
    <row r="321" spans="1:14" x14ac:dyDescent="0.25">
      <c r="A321" t="s">
        <v>772</v>
      </c>
      <c r="B321" t="s">
        <v>75</v>
      </c>
      <c r="C321" t="s">
        <v>106</v>
      </c>
      <c r="D321">
        <v>30</v>
      </c>
      <c r="E321" s="4" t="s">
        <v>2137</v>
      </c>
      <c r="F321" s="4" t="s">
        <v>2148</v>
      </c>
      <c r="G321" t="s">
        <v>30</v>
      </c>
      <c r="H321" s="1">
        <v>44249</v>
      </c>
      <c r="I321" s="4">
        <v>77764.240000000005</v>
      </c>
      <c r="J321" t="s">
        <v>153</v>
      </c>
      <c r="K321">
        <v>-6205634110</v>
      </c>
      <c r="L321" t="s">
        <v>33</v>
      </c>
      <c r="M321" t="b">
        <v>1</v>
      </c>
      <c r="N321">
        <v>3888.2120000000004</v>
      </c>
    </row>
    <row r="322" spans="1:14" x14ac:dyDescent="0.25">
      <c r="A322" t="s">
        <v>774</v>
      </c>
      <c r="B322" t="s">
        <v>40</v>
      </c>
      <c r="C322" t="s">
        <v>47</v>
      </c>
      <c r="D322">
        <v>35</v>
      </c>
      <c r="E322" s="4" t="s">
        <v>2139</v>
      </c>
      <c r="F322" s="4" t="s">
        <v>2144</v>
      </c>
      <c r="G322" t="s">
        <v>30</v>
      </c>
      <c r="H322" s="1">
        <v>45159</v>
      </c>
      <c r="I322" s="4">
        <v>75148.17</v>
      </c>
      <c r="J322" t="s">
        <v>214</v>
      </c>
      <c r="K322">
        <v>-5950342810</v>
      </c>
      <c r="L322" t="s">
        <v>19</v>
      </c>
      <c r="M322" t="b">
        <v>0</v>
      </c>
      <c r="N322">
        <v>1502.9634000000001</v>
      </c>
    </row>
    <row r="323" spans="1:14" x14ac:dyDescent="0.25">
      <c r="A323" t="s">
        <v>776</v>
      </c>
      <c r="B323" t="s">
        <v>75</v>
      </c>
      <c r="C323" t="s">
        <v>28</v>
      </c>
      <c r="D323">
        <v>40</v>
      </c>
      <c r="E323" s="4" t="s">
        <v>2143</v>
      </c>
      <c r="F323" s="4" t="s">
        <v>2142</v>
      </c>
      <c r="G323" t="s">
        <v>36</v>
      </c>
      <c r="H323" s="1">
        <v>45390</v>
      </c>
      <c r="I323" s="4">
        <v>108781.18</v>
      </c>
      <c r="J323" t="s">
        <v>375</v>
      </c>
      <c r="K323">
        <v>-3904383033</v>
      </c>
      <c r="L323" t="s">
        <v>45</v>
      </c>
      <c r="M323" t="b">
        <v>0</v>
      </c>
      <c r="N323">
        <v>0</v>
      </c>
    </row>
    <row r="324" spans="1:14" x14ac:dyDescent="0.25">
      <c r="A324" t="s">
        <v>778</v>
      </c>
      <c r="B324" t="s">
        <v>40</v>
      </c>
      <c r="C324" t="s">
        <v>21</v>
      </c>
      <c r="D324">
        <v>35</v>
      </c>
      <c r="E324" s="4" t="s">
        <v>2139</v>
      </c>
      <c r="F324" s="4" t="s">
        <v>2140</v>
      </c>
      <c r="G324" t="s">
        <v>30</v>
      </c>
      <c r="H324" s="1">
        <v>45600</v>
      </c>
      <c r="I324" s="4">
        <v>65489.19</v>
      </c>
      <c r="J324" t="s">
        <v>280</v>
      </c>
      <c r="K324">
        <v>-1990970050</v>
      </c>
      <c r="L324" t="s">
        <v>19</v>
      </c>
      <c r="M324" t="b">
        <v>1</v>
      </c>
      <c r="N324">
        <v>1309.7838000000002</v>
      </c>
    </row>
    <row r="325" spans="1:14" x14ac:dyDescent="0.25">
      <c r="A325" t="s">
        <v>780</v>
      </c>
      <c r="B325" t="s">
        <v>35</v>
      </c>
      <c r="C325" t="s">
        <v>62</v>
      </c>
      <c r="E325" s="4" t="s">
        <v>2145</v>
      </c>
      <c r="F325" s="4" t="s">
        <v>2148</v>
      </c>
      <c r="G325" t="s">
        <v>30</v>
      </c>
      <c r="H325" s="1">
        <v>44686</v>
      </c>
      <c r="I325" s="4">
        <v>70663.460000000006</v>
      </c>
      <c r="J325" t="s">
        <v>380</v>
      </c>
      <c r="K325">
        <v>-4054683564</v>
      </c>
      <c r="L325" t="s">
        <v>25</v>
      </c>
      <c r="M325" t="b">
        <v>0</v>
      </c>
      <c r="N325">
        <v>7066.3460000000014</v>
      </c>
    </row>
    <row r="326" spans="1:14" x14ac:dyDescent="0.25">
      <c r="A326" t="s">
        <v>782</v>
      </c>
      <c r="B326" t="s">
        <v>67</v>
      </c>
      <c r="C326" t="s">
        <v>106</v>
      </c>
      <c r="D326">
        <v>40</v>
      </c>
      <c r="E326" s="4" t="s">
        <v>2145</v>
      </c>
      <c r="F326" s="4" t="s">
        <v>2146</v>
      </c>
      <c r="G326" t="s">
        <v>36</v>
      </c>
      <c r="H326" s="1">
        <v>44958</v>
      </c>
      <c r="I326" s="4">
        <v>95822.56</v>
      </c>
      <c r="J326" t="s">
        <v>124</v>
      </c>
      <c r="K326">
        <v>-2156818208</v>
      </c>
      <c r="L326" t="s">
        <v>19</v>
      </c>
      <c r="M326" t="b">
        <v>0</v>
      </c>
      <c r="N326">
        <v>1916.4512</v>
      </c>
    </row>
    <row r="327" spans="1:14" x14ac:dyDescent="0.25">
      <c r="A327" t="s">
        <v>784</v>
      </c>
      <c r="B327" t="s">
        <v>35</v>
      </c>
      <c r="C327" t="s">
        <v>106</v>
      </c>
      <c r="D327">
        <v>40</v>
      </c>
      <c r="E327" s="4" t="s">
        <v>2137</v>
      </c>
      <c r="F327" s="4" t="s">
        <v>2142</v>
      </c>
      <c r="G327" t="s">
        <v>30</v>
      </c>
      <c r="H327" s="1">
        <v>44835</v>
      </c>
      <c r="I327" s="4">
        <v>82258.03</v>
      </c>
      <c r="J327" t="s">
        <v>307</v>
      </c>
      <c r="K327">
        <v>-6790422710</v>
      </c>
      <c r="L327" t="s">
        <v>19</v>
      </c>
      <c r="M327" t="b">
        <v>1</v>
      </c>
      <c r="N327">
        <v>1645.1605999999999</v>
      </c>
    </row>
    <row r="328" spans="1:14" x14ac:dyDescent="0.25">
      <c r="A328" t="s">
        <v>786</v>
      </c>
      <c r="B328" t="s">
        <v>40</v>
      </c>
      <c r="C328" t="s">
        <v>41</v>
      </c>
      <c r="D328">
        <v>30</v>
      </c>
      <c r="E328" s="4" t="s">
        <v>2141</v>
      </c>
      <c r="F328" s="4" t="s">
        <v>2142</v>
      </c>
      <c r="G328" t="s">
        <v>30</v>
      </c>
      <c r="H328" s="1">
        <v>44831</v>
      </c>
      <c r="I328" s="4">
        <v>62883.34</v>
      </c>
      <c r="J328" t="s">
        <v>44</v>
      </c>
      <c r="K328">
        <v>-3322889856</v>
      </c>
      <c r="L328" t="s">
        <v>19</v>
      </c>
      <c r="M328" t="b">
        <v>0</v>
      </c>
      <c r="N328">
        <v>1257.6668</v>
      </c>
    </row>
    <row r="329" spans="1:14" x14ac:dyDescent="0.25">
      <c r="A329" t="s">
        <v>788</v>
      </c>
      <c r="B329" t="s">
        <v>27</v>
      </c>
      <c r="C329" t="s">
        <v>14</v>
      </c>
      <c r="E329" s="4" t="s">
        <v>2143</v>
      </c>
      <c r="F329" s="4" t="s">
        <v>2140</v>
      </c>
      <c r="G329" t="s">
        <v>30</v>
      </c>
      <c r="H329" s="1">
        <v>43930</v>
      </c>
      <c r="I329" s="4">
        <v>103503.72</v>
      </c>
      <c r="J329" t="s">
        <v>191</v>
      </c>
      <c r="K329">
        <v>-2545960632</v>
      </c>
      <c r="L329" t="s">
        <v>19</v>
      </c>
      <c r="M329" t="b">
        <v>1</v>
      </c>
      <c r="N329">
        <v>2070.0744</v>
      </c>
    </row>
    <row r="330" spans="1:14" x14ac:dyDescent="0.25">
      <c r="A330" t="s">
        <v>790</v>
      </c>
      <c r="B330" t="s">
        <v>67</v>
      </c>
      <c r="C330" t="s">
        <v>47</v>
      </c>
      <c r="D330">
        <v>25</v>
      </c>
      <c r="E330" s="4" t="s">
        <v>2137</v>
      </c>
      <c r="F330" s="4" t="s">
        <v>2146</v>
      </c>
      <c r="G330" t="s">
        <v>16</v>
      </c>
      <c r="H330" s="1">
        <v>44278</v>
      </c>
      <c r="I330" s="4">
        <v>85401.3</v>
      </c>
      <c r="J330" t="s">
        <v>118</v>
      </c>
      <c r="K330">
        <v>-9912971023</v>
      </c>
      <c r="L330" t="s">
        <v>45</v>
      </c>
      <c r="M330" t="b">
        <v>1</v>
      </c>
      <c r="N330">
        <v>0</v>
      </c>
    </row>
    <row r="331" spans="1:14" x14ac:dyDescent="0.25">
      <c r="A331" t="s">
        <v>792</v>
      </c>
      <c r="B331" t="s">
        <v>75</v>
      </c>
      <c r="C331" t="s">
        <v>47</v>
      </c>
      <c r="D331">
        <v>40</v>
      </c>
      <c r="E331" s="4" t="s">
        <v>2143</v>
      </c>
      <c r="F331" s="4" t="s">
        <v>2140</v>
      </c>
      <c r="G331" t="s">
        <v>30</v>
      </c>
      <c r="H331" s="1">
        <v>44960</v>
      </c>
      <c r="I331" s="4"/>
      <c r="J331" t="s">
        <v>300</v>
      </c>
      <c r="K331">
        <v>-8171752420</v>
      </c>
      <c r="L331" t="s">
        <v>25</v>
      </c>
      <c r="M331" t="b">
        <v>0</v>
      </c>
    </row>
    <row r="332" spans="1:14" x14ac:dyDescent="0.25">
      <c r="A332" t="s">
        <v>793</v>
      </c>
      <c r="B332" t="s">
        <v>35</v>
      </c>
      <c r="C332" t="s">
        <v>142</v>
      </c>
      <c r="E332" s="4" t="s">
        <v>2147</v>
      </c>
      <c r="F332" s="4" t="s">
        <v>2140</v>
      </c>
      <c r="G332" t="s">
        <v>30</v>
      </c>
      <c r="H332" s="1">
        <v>45496</v>
      </c>
      <c r="I332" s="4">
        <v>98850.14</v>
      </c>
      <c r="J332" t="s">
        <v>632</v>
      </c>
      <c r="K332">
        <v>-4955112746</v>
      </c>
      <c r="L332" t="s">
        <v>45</v>
      </c>
      <c r="M332" t="b">
        <v>0</v>
      </c>
      <c r="N332">
        <v>0</v>
      </c>
    </row>
    <row r="333" spans="1:14" x14ac:dyDescent="0.25">
      <c r="A333" t="s">
        <v>795</v>
      </c>
      <c r="B333" t="s">
        <v>61</v>
      </c>
      <c r="C333" t="s">
        <v>142</v>
      </c>
      <c r="D333">
        <v>25</v>
      </c>
      <c r="E333" s="4" t="s">
        <v>2143</v>
      </c>
      <c r="F333" s="4" t="s">
        <v>2148</v>
      </c>
      <c r="G333" t="s">
        <v>16</v>
      </c>
      <c r="H333" s="1">
        <v>44324</v>
      </c>
      <c r="I333" s="4">
        <v>63435.24</v>
      </c>
      <c r="J333" t="s">
        <v>231</v>
      </c>
      <c r="K333">
        <v>-4721970545</v>
      </c>
      <c r="L333" t="s">
        <v>45</v>
      </c>
      <c r="M333" t="b">
        <v>0</v>
      </c>
      <c r="N333">
        <v>0</v>
      </c>
    </row>
    <row r="334" spans="1:14" x14ac:dyDescent="0.25">
      <c r="A334" t="s">
        <v>797</v>
      </c>
      <c r="B334" t="s">
        <v>40</v>
      </c>
      <c r="C334" t="s">
        <v>21</v>
      </c>
      <c r="D334">
        <v>35</v>
      </c>
      <c r="E334" s="4" t="s">
        <v>2139</v>
      </c>
      <c r="F334" s="4" t="s">
        <v>2140</v>
      </c>
      <c r="G334" t="s">
        <v>36</v>
      </c>
      <c r="H334" s="1">
        <v>44662</v>
      </c>
      <c r="I334" s="4">
        <v>82129.84</v>
      </c>
      <c r="J334" t="s">
        <v>280</v>
      </c>
      <c r="K334">
        <v>-6927589550</v>
      </c>
      <c r="L334" t="s">
        <v>19</v>
      </c>
      <c r="M334" t="b">
        <v>0</v>
      </c>
      <c r="N334">
        <v>1642.5968</v>
      </c>
    </row>
    <row r="335" spans="1:14" x14ac:dyDescent="0.25">
      <c r="A335" t="s">
        <v>799</v>
      </c>
      <c r="B335" t="s">
        <v>67</v>
      </c>
      <c r="C335" t="s">
        <v>41</v>
      </c>
      <c r="D335">
        <v>35</v>
      </c>
      <c r="E335" s="4" t="s">
        <v>2137</v>
      </c>
      <c r="F335" s="4" t="s">
        <v>2140</v>
      </c>
      <c r="G335" t="s">
        <v>30</v>
      </c>
      <c r="H335" s="1">
        <v>45588</v>
      </c>
      <c r="I335" s="4">
        <v>95492.61</v>
      </c>
      <c r="J335" t="s">
        <v>70</v>
      </c>
      <c r="K335">
        <v>-6874090379</v>
      </c>
      <c r="L335" t="s">
        <v>33</v>
      </c>
      <c r="M335" t="b">
        <v>0</v>
      </c>
      <c r="N335">
        <v>4774.6305000000002</v>
      </c>
    </row>
    <row r="336" spans="1:14" x14ac:dyDescent="0.25">
      <c r="A336" t="s">
        <v>801</v>
      </c>
      <c r="B336" t="s">
        <v>80</v>
      </c>
      <c r="C336" t="s">
        <v>106</v>
      </c>
      <c r="D336">
        <v>40</v>
      </c>
      <c r="E336" s="4" t="s">
        <v>2139</v>
      </c>
      <c r="F336" s="4" t="s">
        <v>2148</v>
      </c>
      <c r="G336" t="s">
        <v>36</v>
      </c>
      <c r="H336" s="1">
        <v>43945</v>
      </c>
      <c r="I336" s="4">
        <v>94572.37</v>
      </c>
      <c r="J336" t="s">
        <v>197</v>
      </c>
      <c r="K336">
        <v>-2146296135</v>
      </c>
      <c r="L336" t="s">
        <v>33</v>
      </c>
      <c r="M336" t="b">
        <v>0</v>
      </c>
      <c r="N336">
        <v>4728.6184999999996</v>
      </c>
    </row>
    <row r="337" spans="1:14" x14ac:dyDescent="0.25">
      <c r="A337" t="s">
        <v>803</v>
      </c>
      <c r="B337" t="s">
        <v>13</v>
      </c>
      <c r="C337" t="s">
        <v>47</v>
      </c>
      <c r="D337">
        <v>40</v>
      </c>
      <c r="E337" s="4" t="s">
        <v>2139</v>
      </c>
      <c r="F337" s="4" t="s">
        <v>2142</v>
      </c>
      <c r="G337" t="s">
        <v>36</v>
      </c>
      <c r="H337" s="1">
        <v>44989</v>
      </c>
      <c r="I337" s="4">
        <v>118413.05</v>
      </c>
      <c r="J337" t="s">
        <v>180</v>
      </c>
      <c r="K337">
        <v>-7157787111</v>
      </c>
      <c r="L337" t="s">
        <v>45</v>
      </c>
      <c r="M337" t="b">
        <v>0</v>
      </c>
      <c r="N337">
        <v>0</v>
      </c>
    </row>
    <row r="338" spans="1:14" x14ac:dyDescent="0.25">
      <c r="A338" t="s">
        <v>805</v>
      </c>
      <c r="B338" t="s">
        <v>27</v>
      </c>
      <c r="C338" t="s">
        <v>28</v>
      </c>
      <c r="D338">
        <v>30</v>
      </c>
      <c r="E338" s="4" t="s">
        <v>2141</v>
      </c>
      <c r="F338" s="4" t="s">
        <v>2142</v>
      </c>
      <c r="G338" t="s">
        <v>30</v>
      </c>
      <c r="H338" s="1">
        <v>44804</v>
      </c>
      <c r="I338" s="4">
        <v>68976.649999999994</v>
      </c>
      <c r="J338" t="s">
        <v>32</v>
      </c>
      <c r="K338">
        <v>-1663651558</v>
      </c>
      <c r="L338" t="s">
        <v>45</v>
      </c>
      <c r="M338" t="b">
        <v>1</v>
      </c>
      <c r="N338">
        <v>0</v>
      </c>
    </row>
    <row r="339" spans="1:14" x14ac:dyDescent="0.25">
      <c r="A339" t="s">
        <v>807</v>
      </c>
      <c r="B339" t="s">
        <v>35</v>
      </c>
      <c r="C339" t="s">
        <v>41</v>
      </c>
      <c r="E339" s="4" t="s">
        <v>2145</v>
      </c>
      <c r="F339" s="4" t="s">
        <v>2142</v>
      </c>
      <c r="G339" t="s">
        <v>16</v>
      </c>
      <c r="H339" s="1">
        <v>44198</v>
      </c>
      <c r="I339" s="4">
        <v>115013.65</v>
      </c>
      <c r="J339" t="s">
        <v>167</v>
      </c>
      <c r="K339">
        <v>-7371470826</v>
      </c>
      <c r="L339" t="s">
        <v>19</v>
      </c>
      <c r="M339" t="b">
        <v>0</v>
      </c>
      <c r="N339">
        <v>2300.2730000000001</v>
      </c>
    </row>
    <row r="340" spans="1:14" x14ac:dyDescent="0.25">
      <c r="A340" t="s">
        <v>809</v>
      </c>
      <c r="B340" t="s">
        <v>67</v>
      </c>
      <c r="C340" t="s">
        <v>21</v>
      </c>
      <c r="E340" s="4" t="s">
        <v>2141</v>
      </c>
      <c r="F340" s="4" t="s">
        <v>2142</v>
      </c>
      <c r="G340" t="s">
        <v>36</v>
      </c>
      <c r="H340" s="1">
        <v>43988</v>
      </c>
      <c r="I340" s="4">
        <v>70949.38</v>
      </c>
      <c r="J340" t="s">
        <v>265</v>
      </c>
      <c r="K340">
        <v>-2359096055</v>
      </c>
      <c r="L340" t="s">
        <v>45</v>
      </c>
      <c r="M340" t="b">
        <v>1</v>
      </c>
      <c r="N340">
        <v>0</v>
      </c>
    </row>
    <row r="341" spans="1:14" x14ac:dyDescent="0.25">
      <c r="A341" t="s">
        <v>811</v>
      </c>
      <c r="B341" t="s">
        <v>80</v>
      </c>
      <c r="C341" t="s">
        <v>21</v>
      </c>
      <c r="E341" s="4" t="s">
        <v>2147</v>
      </c>
      <c r="F341" s="4" t="s">
        <v>2144</v>
      </c>
      <c r="G341" t="s">
        <v>30</v>
      </c>
      <c r="H341" s="1">
        <v>44117</v>
      </c>
      <c r="I341" s="4">
        <v>105334.87</v>
      </c>
      <c r="J341" t="s">
        <v>240</v>
      </c>
      <c r="K341">
        <v>-7303064420</v>
      </c>
      <c r="L341" t="s">
        <v>19</v>
      </c>
      <c r="M341" t="b">
        <v>0</v>
      </c>
      <c r="N341">
        <v>2106.6974</v>
      </c>
    </row>
    <row r="342" spans="1:14" x14ac:dyDescent="0.25">
      <c r="A342" t="s">
        <v>813</v>
      </c>
      <c r="B342" t="s">
        <v>13</v>
      </c>
      <c r="C342" t="s">
        <v>41</v>
      </c>
      <c r="E342" s="4" t="s">
        <v>2137</v>
      </c>
      <c r="F342" s="4" t="s">
        <v>2138</v>
      </c>
      <c r="G342" t="s">
        <v>16</v>
      </c>
      <c r="H342" s="1">
        <v>44031</v>
      </c>
      <c r="I342" s="4">
        <v>80596.179999999993</v>
      </c>
      <c r="J342" t="s">
        <v>170</v>
      </c>
      <c r="K342">
        <v>-2146147682</v>
      </c>
      <c r="L342" t="s">
        <v>33</v>
      </c>
      <c r="M342" t="b">
        <v>0</v>
      </c>
      <c r="N342">
        <v>4029.8089999999997</v>
      </c>
    </row>
    <row r="343" spans="1:14" x14ac:dyDescent="0.25">
      <c r="A343" t="s">
        <v>815</v>
      </c>
      <c r="B343" t="s">
        <v>40</v>
      </c>
      <c r="C343" t="s">
        <v>21</v>
      </c>
      <c r="E343" s="4" t="s">
        <v>2145</v>
      </c>
      <c r="F343" s="4" t="s">
        <v>2148</v>
      </c>
      <c r="G343" t="s">
        <v>36</v>
      </c>
      <c r="H343" s="1">
        <v>45415</v>
      </c>
      <c r="I343" s="4">
        <v>72846.37</v>
      </c>
      <c r="J343" t="s">
        <v>280</v>
      </c>
      <c r="K343">
        <v>-4201654234</v>
      </c>
      <c r="L343" t="s">
        <v>33</v>
      </c>
      <c r="M343" t="b">
        <v>1</v>
      </c>
      <c r="N343">
        <v>3642.3184999999999</v>
      </c>
    </row>
    <row r="344" spans="1:14" x14ac:dyDescent="0.25">
      <c r="A344" t="s">
        <v>817</v>
      </c>
      <c r="B344" t="s">
        <v>75</v>
      </c>
      <c r="C344" t="s">
        <v>41</v>
      </c>
      <c r="D344">
        <v>40</v>
      </c>
      <c r="E344" s="4" t="s">
        <v>2141</v>
      </c>
      <c r="F344" s="4" t="s">
        <v>2138</v>
      </c>
      <c r="G344" t="s">
        <v>30</v>
      </c>
      <c r="H344" s="1">
        <v>44599</v>
      </c>
      <c r="I344" s="4">
        <v>80229.36</v>
      </c>
      <c r="J344" t="s">
        <v>78</v>
      </c>
      <c r="K344">
        <v>-6778265959</v>
      </c>
      <c r="L344" t="s">
        <v>25</v>
      </c>
      <c r="M344" t="b">
        <v>0</v>
      </c>
      <c r="N344">
        <v>8022.9360000000006</v>
      </c>
    </row>
    <row r="345" spans="1:14" x14ac:dyDescent="0.25">
      <c r="A345" t="s">
        <v>819</v>
      </c>
      <c r="B345" t="s">
        <v>80</v>
      </c>
      <c r="C345" t="s">
        <v>62</v>
      </c>
      <c r="D345">
        <v>25</v>
      </c>
      <c r="E345" s="4" t="s">
        <v>2145</v>
      </c>
      <c r="F345" s="4" t="s">
        <v>2138</v>
      </c>
      <c r="G345" t="s">
        <v>16</v>
      </c>
      <c r="H345" s="1">
        <v>45291</v>
      </c>
      <c r="I345" s="4">
        <v>55145.47</v>
      </c>
      <c r="J345" t="s">
        <v>150</v>
      </c>
      <c r="K345">
        <v>-8931992549</v>
      </c>
      <c r="L345" t="s">
        <v>33</v>
      </c>
      <c r="M345" t="b">
        <v>0</v>
      </c>
      <c r="N345">
        <v>2757.2735000000002</v>
      </c>
    </row>
    <row r="346" spans="1:14" x14ac:dyDescent="0.25">
      <c r="A346" t="s">
        <v>821</v>
      </c>
      <c r="B346" t="s">
        <v>80</v>
      </c>
      <c r="C346" t="s">
        <v>41</v>
      </c>
      <c r="D346">
        <v>30</v>
      </c>
      <c r="E346" s="4" t="s">
        <v>2137</v>
      </c>
      <c r="F346" s="4" t="s">
        <v>2144</v>
      </c>
      <c r="G346" t="s">
        <v>36</v>
      </c>
      <c r="H346" s="1">
        <v>44569</v>
      </c>
      <c r="I346" s="4"/>
      <c r="J346" t="s">
        <v>83</v>
      </c>
      <c r="K346">
        <v>-2727516479</v>
      </c>
      <c r="L346" t="s">
        <v>45</v>
      </c>
      <c r="M346" t="b">
        <v>1</v>
      </c>
      <c r="N346">
        <v>0</v>
      </c>
    </row>
    <row r="347" spans="1:14" x14ac:dyDescent="0.25">
      <c r="A347" t="s">
        <v>822</v>
      </c>
      <c r="B347" t="s">
        <v>35</v>
      </c>
      <c r="C347" t="s">
        <v>14</v>
      </c>
      <c r="D347">
        <v>40</v>
      </c>
      <c r="E347" s="4" t="s">
        <v>2147</v>
      </c>
      <c r="F347" s="4" t="s">
        <v>2138</v>
      </c>
      <c r="G347" t="s">
        <v>16</v>
      </c>
      <c r="H347" s="1">
        <v>44102</v>
      </c>
      <c r="I347" s="4">
        <v>56110.81</v>
      </c>
      <c r="J347" t="s">
        <v>38</v>
      </c>
      <c r="K347">
        <v>-7279103367</v>
      </c>
      <c r="L347" t="s">
        <v>33</v>
      </c>
      <c r="M347" t="b">
        <v>0</v>
      </c>
      <c r="N347">
        <v>2805.5405000000001</v>
      </c>
    </row>
    <row r="348" spans="1:14" x14ac:dyDescent="0.25">
      <c r="A348" t="s">
        <v>824</v>
      </c>
      <c r="B348" t="s">
        <v>80</v>
      </c>
      <c r="C348" t="s">
        <v>41</v>
      </c>
      <c r="D348">
        <v>25</v>
      </c>
      <c r="E348" s="4" t="s">
        <v>2143</v>
      </c>
      <c r="F348" s="4" t="s">
        <v>2140</v>
      </c>
      <c r="G348" t="s">
        <v>36</v>
      </c>
      <c r="H348" s="1">
        <v>44966</v>
      </c>
      <c r="I348" s="4">
        <v>56514.5</v>
      </c>
      <c r="J348" t="s">
        <v>83</v>
      </c>
      <c r="K348">
        <v>-2963533904</v>
      </c>
      <c r="L348" t="s">
        <v>19</v>
      </c>
      <c r="M348" t="b">
        <v>0</v>
      </c>
      <c r="N348">
        <v>1130.29</v>
      </c>
    </row>
    <row r="349" spans="1:14" x14ac:dyDescent="0.25">
      <c r="A349" t="s">
        <v>826</v>
      </c>
      <c r="B349" t="s">
        <v>40</v>
      </c>
      <c r="C349" t="s">
        <v>21</v>
      </c>
      <c r="D349">
        <v>40</v>
      </c>
      <c r="E349" s="4" t="s">
        <v>2143</v>
      </c>
      <c r="F349" s="4" t="s">
        <v>2138</v>
      </c>
      <c r="G349" t="s">
        <v>36</v>
      </c>
      <c r="H349" s="1">
        <v>44625</v>
      </c>
      <c r="I349" s="4">
        <v>104541.84</v>
      </c>
      <c r="J349" t="s">
        <v>280</v>
      </c>
      <c r="K349">
        <v>-5044817765</v>
      </c>
      <c r="L349" t="s">
        <v>33</v>
      </c>
      <c r="M349" t="b">
        <v>0</v>
      </c>
      <c r="N349">
        <v>5227.0920000000006</v>
      </c>
    </row>
    <row r="350" spans="1:14" x14ac:dyDescent="0.25">
      <c r="A350" t="s">
        <v>828</v>
      </c>
      <c r="B350" t="s">
        <v>67</v>
      </c>
      <c r="C350" t="s">
        <v>47</v>
      </c>
      <c r="E350" s="4" t="s">
        <v>2145</v>
      </c>
      <c r="F350" s="4" t="s">
        <v>2146</v>
      </c>
      <c r="G350" t="s">
        <v>30</v>
      </c>
      <c r="H350" s="1">
        <v>44610</v>
      </c>
      <c r="I350" s="4">
        <v>61865.120000000003</v>
      </c>
      <c r="J350" t="s">
        <v>118</v>
      </c>
      <c r="K350">
        <v>-5586851275</v>
      </c>
      <c r="L350" t="s">
        <v>25</v>
      </c>
      <c r="M350" t="b">
        <v>1</v>
      </c>
      <c r="N350">
        <v>6186.5120000000006</v>
      </c>
    </row>
    <row r="351" spans="1:14" x14ac:dyDescent="0.25">
      <c r="A351" t="s">
        <v>830</v>
      </c>
      <c r="B351" t="s">
        <v>35</v>
      </c>
      <c r="C351" t="s">
        <v>14</v>
      </c>
      <c r="D351">
        <v>40</v>
      </c>
      <c r="E351" s="4" t="s">
        <v>2141</v>
      </c>
      <c r="F351" s="4" t="s">
        <v>2140</v>
      </c>
      <c r="G351" t="s">
        <v>16</v>
      </c>
      <c r="H351" s="1">
        <v>44721</v>
      </c>
      <c r="I351" s="4">
        <v>69317.33</v>
      </c>
      <c r="J351" t="s">
        <v>38</v>
      </c>
      <c r="K351">
        <v>-5289286645</v>
      </c>
      <c r="L351" t="s">
        <v>33</v>
      </c>
      <c r="M351" t="b">
        <v>0</v>
      </c>
      <c r="N351">
        <v>3465.8665000000001</v>
      </c>
    </row>
    <row r="352" spans="1:14" x14ac:dyDescent="0.25">
      <c r="A352" t="s">
        <v>832</v>
      </c>
      <c r="B352" t="s">
        <v>13</v>
      </c>
      <c r="C352" t="s">
        <v>21</v>
      </c>
      <c r="D352">
        <v>35</v>
      </c>
      <c r="E352" s="4" t="s">
        <v>2147</v>
      </c>
      <c r="F352" s="4" t="s">
        <v>2146</v>
      </c>
      <c r="G352" t="s">
        <v>30</v>
      </c>
      <c r="H352" s="1">
        <v>45111</v>
      </c>
      <c r="I352" s="4">
        <v>84706.17</v>
      </c>
      <c r="J352" t="s">
        <v>24</v>
      </c>
      <c r="K352">
        <v>-4911110960</v>
      </c>
      <c r="L352" t="s">
        <v>19</v>
      </c>
      <c r="M352" t="b">
        <v>0</v>
      </c>
      <c r="N352">
        <v>1694.1233999999999</v>
      </c>
    </row>
    <row r="353" spans="1:14" x14ac:dyDescent="0.25">
      <c r="A353" t="s">
        <v>834</v>
      </c>
      <c r="B353" t="s">
        <v>75</v>
      </c>
      <c r="C353" t="s">
        <v>142</v>
      </c>
      <c r="D353">
        <v>25</v>
      </c>
      <c r="E353" s="4" t="s">
        <v>2141</v>
      </c>
      <c r="F353" s="4" t="s">
        <v>2138</v>
      </c>
      <c r="G353" t="s">
        <v>16</v>
      </c>
      <c r="H353" s="1">
        <v>44641</v>
      </c>
      <c r="I353" s="4">
        <v>73255.210000000006</v>
      </c>
      <c r="J353" t="s">
        <v>436</v>
      </c>
      <c r="K353">
        <v>-7981789045</v>
      </c>
      <c r="L353" t="s">
        <v>19</v>
      </c>
      <c r="M353" t="b">
        <v>0</v>
      </c>
      <c r="N353">
        <v>1465.1042000000002</v>
      </c>
    </row>
    <row r="354" spans="1:14" x14ac:dyDescent="0.25">
      <c r="A354" t="s">
        <v>836</v>
      </c>
      <c r="B354" t="s">
        <v>40</v>
      </c>
      <c r="C354" t="s">
        <v>142</v>
      </c>
      <c r="D354">
        <v>40</v>
      </c>
      <c r="E354" s="4" t="s">
        <v>2147</v>
      </c>
      <c r="F354" s="4" t="s">
        <v>2144</v>
      </c>
      <c r="G354" t="s">
        <v>30</v>
      </c>
      <c r="H354" s="1">
        <v>45048</v>
      </c>
      <c r="I354" s="4">
        <v>59528.71</v>
      </c>
      <c r="J354" t="s">
        <v>163</v>
      </c>
      <c r="K354">
        <v>-3378613714</v>
      </c>
      <c r="L354" t="s">
        <v>45</v>
      </c>
      <c r="M354" t="b">
        <v>0</v>
      </c>
      <c r="N354">
        <v>0</v>
      </c>
    </row>
    <row r="355" spans="1:14" x14ac:dyDescent="0.25">
      <c r="A355" t="s">
        <v>838</v>
      </c>
      <c r="B355" t="s">
        <v>67</v>
      </c>
      <c r="C355" t="s">
        <v>47</v>
      </c>
      <c r="D355">
        <v>40</v>
      </c>
      <c r="E355" s="4" t="s">
        <v>2147</v>
      </c>
      <c r="F355" s="4" t="s">
        <v>2146</v>
      </c>
      <c r="G355" t="s">
        <v>36</v>
      </c>
      <c r="H355" s="1">
        <v>44484</v>
      </c>
      <c r="I355" s="4">
        <v>70401.37</v>
      </c>
      <c r="J355" t="s">
        <v>118</v>
      </c>
      <c r="K355">
        <v>-7660538443</v>
      </c>
      <c r="L355" t="s">
        <v>33</v>
      </c>
      <c r="M355" t="b">
        <v>1</v>
      </c>
      <c r="N355">
        <v>3520.0684999999999</v>
      </c>
    </row>
    <row r="356" spans="1:14" x14ac:dyDescent="0.25">
      <c r="A356" t="s">
        <v>840</v>
      </c>
      <c r="B356" t="s">
        <v>75</v>
      </c>
      <c r="C356" t="s">
        <v>47</v>
      </c>
      <c r="E356" s="4" t="s">
        <v>2141</v>
      </c>
      <c r="F356" s="4" t="s">
        <v>2138</v>
      </c>
      <c r="G356" t="s">
        <v>36</v>
      </c>
      <c r="H356" s="1">
        <v>44405</v>
      </c>
      <c r="I356" s="4">
        <v>107154.62</v>
      </c>
      <c r="J356" t="s">
        <v>300</v>
      </c>
      <c r="K356">
        <v>-4630600024</v>
      </c>
      <c r="L356" t="s">
        <v>19</v>
      </c>
      <c r="M356" t="b">
        <v>1</v>
      </c>
      <c r="N356">
        <v>2143.0924</v>
      </c>
    </row>
    <row r="357" spans="1:14" x14ac:dyDescent="0.25">
      <c r="A357" t="s">
        <v>842</v>
      </c>
      <c r="B357" t="s">
        <v>13</v>
      </c>
      <c r="C357" t="s">
        <v>14</v>
      </c>
      <c r="E357" s="4" t="s">
        <v>2141</v>
      </c>
      <c r="F357" s="4" t="s">
        <v>2148</v>
      </c>
      <c r="G357" t="s">
        <v>30</v>
      </c>
      <c r="H357" s="1">
        <v>44199</v>
      </c>
      <c r="I357" s="4">
        <v>97719.88</v>
      </c>
      <c r="J357" t="s">
        <v>18</v>
      </c>
      <c r="K357">
        <v>-8955296385</v>
      </c>
      <c r="L357" t="s">
        <v>25</v>
      </c>
      <c r="M357" t="b">
        <v>0</v>
      </c>
      <c r="N357">
        <v>9771.9880000000012</v>
      </c>
    </row>
    <row r="358" spans="1:14" x14ac:dyDescent="0.25">
      <c r="A358" t="s">
        <v>844</v>
      </c>
      <c r="B358" t="s">
        <v>75</v>
      </c>
      <c r="C358" t="s">
        <v>62</v>
      </c>
      <c r="D358">
        <v>30</v>
      </c>
      <c r="E358" s="4" t="s">
        <v>2139</v>
      </c>
      <c r="F358" s="4" t="s">
        <v>2138</v>
      </c>
      <c r="G358" t="s">
        <v>30</v>
      </c>
      <c r="H358" s="1">
        <v>43972</v>
      </c>
      <c r="I358" s="4">
        <v>107327.59</v>
      </c>
      <c r="J358" t="s">
        <v>132</v>
      </c>
      <c r="K358">
        <v>-3960962625</v>
      </c>
      <c r="L358" t="s">
        <v>45</v>
      </c>
      <c r="M358" t="b">
        <v>0</v>
      </c>
      <c r="N358">
        <v>0</v>
      </c>
    </row>
    <row r="359" spans="1:14" x14ac:dyDescent="0.25">
      <c r="A359" t="s">
        <v>846</v>
      </c>
      <c r="B359" t="s">
        <v>80</v>
      </c>
      <c r="C359" t="s">
        <v>47</v>
      </c>
      <c r="D359">
        <v>40</v>
      </c>
      <c r="E359" s="4" t="s">
        <v>2141</v>
      </c>
      <c r="F359" s="4" t="s">
        <v>2142</v>
      </c>
      <c r="G359" t="s">
        <v>36</v>
      </c>
      <c r="H359" s="1">
        <v>44326</v>
      </c>
      <c r="I359" s="4">
        <v>67687.72</v>
      </c>
      <c r="J359" t="s">
        <v>96</v>
      </c>
      <c r="K359">
        <v>-5826312818</v>
      </c>
      <c r="L359" t="s">
        <v>25</v>
      </c>
      <c r="M359" t="b">
        <v>1</v>
      </c>
      <c r="N359">
        <v>6768.7720000000008</v>
      </c>
    </row>
    <row r="360" spans="1:14" x14ac:dyDescent="0.25">
      <c r="A360" t="s">
        <v>848</v>
      </c>
      <c r="B360" t="s">
        <v>80</v>
      </c>
      <c r="C360" t="s">
        <v>142</v>
      </c>
      <c r="D360">
        <v>40</v>
      </c>
      <c r="E360" s="4" t="s">
        <v>2143</v>
      </c>
      <c r="F360" s="4" t="s">
        <v>2144</v>
      </c>
      <c r="G360" t="s">
        <v>30</v>
      </c>
      <c r="H360" s="1">
        <v>44812</v>
      </c>
      <c r="I360" s="4">
        <v>90757.08</v>
      </c>
      <c r="J360" t="s">
        <v>160</v>
      </c>
      <c r="K360">
        <v>-6482531105</v>
      </c>
      <c r="L360" t="s">
        <v>33</v>
      </c>
      <c r="M360" t="b">
        <v>1</v>
      </c>
      <c r="N360">
        <v>4537.8540000000003</v>
      </c>
    </row>
    <row r="361" spans="1:14" x14ac:dyDescent="0.25">
      <c r="A361" t="s">
        <v>850</v>
      </c>
      <c r="B361" t="s">
        <v>80</v>
      </c>
      <c r="C361" t="s">
        <v>41</v>
      </c>
      <c r="E361" s="4" t="s">
        <v>2143</v>
      </c>
      <c r="F361" s="4" t="s">
        <v>2138</v>
      </c>
      <c r="G361" t="s">
        <v>30</v>
      </c>
      <c r="H361" s="1">
        <v>45494</v>
      </c>
      <c r="I361" s="4">
        <v>87583.42</v>
      </c>
      <c r="J361" t="s">
        <v>83</v>
      </c>
      <c r="K361">
        <v>-920981959</v>
      </c>
      <c r="L361" t="s">
        <v>33</v>
      </c>
      <c r="M361" t="b">
        <v>0</v>
      </c>
      <c r="N361">
        <v>4379.1710000000003</v>
      </c>
    </row>
    <row r="362" spans="1:14" x14ac:dyDescent="0.25">
      <c r="A362" t="s">
        <v>852</v>
      </c>
      <c r="B362" t="s">
        <v>13</v>
      </c>
      <c r="C362" t="s">
        <v>21</v>
      </c>
      <c r="D362">
        <v>25</v>
      </c>
      <c r="E362" s="4" t="s">
        <v>2141</v>
      </c>
      <c r="F362" s="4" t="s">
        <v>2142</v>
      </c>
      <c r="G362" t="s">
        <v>30</v>
      </c>
      <c r="H362" s="1">
        <v>44558</v>
      </c>
      <c r="I362" s="4">
        <v>61643.69</v>
      </c>
      <c r="J362" t="s">
        <v>24</v>
      </c>
      <c r="K362">
        <v>-2752334382</v>
      </c>
      <c r="L362" t="s">
        <v>33</v>
      </c>
      <c r="M362" t="b">
        <v>1</v>
      </c>
      <c r="N362">
        <v>3082.1845000000003</v>
      </c>
    </row>
    <row r="363" spans="1:14" x14ac:dyDescent="0.25">
      <c r="A363" t="s">
        <v>854</v>
      </c>
      <c r="B363" t="s">
        <v>80</v>
      </c>
      <c r="C363" t="s">
        <v>142</v>
      </c>
      <c r="D363">
        <v>35</v>
      </c>
      <c r="E363" s="4" t="s">
        <v>2139</v>
      </c>
      <c r="F363" s="4" t="s">
        <v>2140</v>
      </c>
      <c r="G363" t="s">
        <v>16</v>
      </c>
      <c r="H363" s="1">
        <v>44032</v>
      </c>
      <c r="I363" s="4">
        <v>68111.69</v>
      </c>
      <c r="J363" t="s">
        <v>160</v>
      </c>
      <c r="K363">
        <v>-6404120910</v>
      </c>
      <c r="L363" t="s">
        <v>45</v>
      </c>
      <c r="M363" t="b">
        <v>0</v>
      </c>
      <c r="N363">
        <v>0</v>
      </c>
    </row>
    <row r="364" spans="1:14" x14ac:dyDescent="0.25">
      <c r="A364" t="s">
        <v>856</v>
      </c>
      <c r="B364" t="s">
        <v>67</v>
      </c>
      <c r="C364" t="s">
        <v>142</v>
      </c>
      <c r="D364">
        <v>40</v>
      </c>
      <c r="E364" s="4" t="s">
        <v>2147</v>
      </c>
      <c r="F364" s="4" t="s">
        <v>2144</v>
      </c>
      <c r="G364" t="s">
        <v>36</v>
      </c>
      <c r="H364" s="1">
        <v>45412</v>
      </c>
      <c r="I364" s="4">
        <v>97568.88</v>
      </c>
      <c r="J364" t="s">
        <v>402</v>
      </c>
      <c r="K364">
        <v>-7911244210</v>
      </c>
      <c r="L364" t="s">
        <v>19</v>
      </c>
      <c r="M364" t="b">
        <v>1</v>
      </c>
      <c r="N364">
        <v>1951.3776</v>
      </c>
    </row>
    <row r="365" spans="1:14" x14ac:dyDescent="0.25">
      <c r="A365" t="s">
        <v>858</v>
      </c>
      <c r="B365" t="s">
        <v>61</v>
      </c>
      <c r="C365" t="s">
        <v>62</v>
      </c>
      <c r="D365">
        <v>35</v>
      </c>
      <c r="E365" s="4" t="s">
        <v>2143</v>
      </c>
      <c r="F365" s="4" t="s">
        <v>2144</v>
      </c>
      <c r="G365" t="s">
        <v>16</v>
      </c>
      <c r="H365" s="1">
        <v>44436</v>
      </c>
      <c r="I365" s="4">
        <v>79118.28</v>
      </c>
      <c r="J365" t="s">
        <v>65</v>
      </c>
      <c r="K365">
        <v>-7536170616</v>
      </c>
      <c r="L365" t="s">
        <v>45</v>
      </c>
      <c r="M365" t="b">
        <v>1</v>
      </c>
      <c r="N365">
        <v>0</v>
      </c>
    </row>
    <row r="366" spans="1:14" x14ac:dyDescent="0.25">
      <c r="A366" t="s">
        <v>860</v>
      </c>
      <c r="B366" t="s">
        <v>13</v>
      </c>
      <c r="C366" t="s">
        <v>14</v>
      </c>
      <c r="D366">
        <v>30</v>
      </c>
      <c r="E366" s="4" t="s">
        <v>2147</v>
      </c>
      <c r="F366" s="4" t="s">
        <v>2138</v>
      </c>
      <c r="G366" t="s">
        <v>36</v>
      </c>
      <c r="H366" s="1">
        <v>44763</v>
      </c>
      <c r="I366" s="4">
        <v>104898.9</v>
      </c>
      <c r="J366" t="s">
        <v>18</v>
      </c>
      <c r="K366">
        <v>-1366572239</v>
      </c>
      <c r="L366" t="s">
        <v>25</v>
      </c>
      <c r="M366" t="b">
        <v>1</v>
      </c>
      <c r="N366">
        <v>10489.89</v>
      </c>
    </row>
    <row r="367" spans="1:14" x14ac:dyDescent="0.25">
      <c r="A367" t="s">
        <v>862</v>
      </c>
      <c r="B367" t="s">
        <v>40</v>
      </c>
      <c r="C367" t="s">
        <v>14</v>
      </c>
      <c r="D367">
        <v>40</v>
      </c>
      <c r="E367" s="4" t="s">
        <v>2143</v>
      </c>
      <c r="F367" s="4" t="s">
        <v>2144</v>
      </c>
      <c r="G367" t="s">
        <v>30</v>
      </c>
      <c r="H367" s="1">
        <v>45257</v>
      </c>
      <c r="I367" s="4">
        <v>81671.3</v>
      </c>
      <c r="J367" t="s">
        <v>59</v>
      </c>
      <c r="K367">
        <v>-2990155798</v>
      </c>
      <c r="L367" t="s">
        <v>45</v>
      </c>
      <c r="M367" t="b">
        <v>1</v>
      </c>
      <c r="N367">
        <v>0</v>
      </c>
    </row>
    <row r="368" spans="1:14" x14ac:dyDescent="0.25">
      <c r="A368" t="s">
        <v>864</v>
      </c>
      <c r="B368" t="s">
        <v>27</v>
      </c>
      <c r="C368" t="s">
        <v>106</v>
      </c>
      <c r="D368">
        <v>25</v>
      </c>
      <c r="E368" s="4" t="s">
        <v>2143</v>
      </c>
      <c r="F368" s="4" t="s">
        <v>2138</v>
      </c>
      <c r="G368" t="s">
        <v>30</v>
      </c>
      <c r="H368" s="1">
        <v>44054</v>
      </c>
      <c r="I368" s="4">
        <v>97399.75</v>
      </c>
      <c r="J368" t="s">
        <v>194</v>
      </c>
      <c r="K368">
        <v>-8028413907</v>
      </c>
      <c r="L368" t="s">
        <v>25</v>
      </c>
      <c r="M368" t="b">
        <v>0</v>
      </c>
      <c r="N368">
        <v>9739.9750000000004</v>
      </c>
    </row>
    <row r="369" spans="1:14" x14ac:dyDescent="0.25">
      <c r="A369" t="s">
        <v>866</v>
      </c>
      <c r="B369" t="s">
        <v>67</v>
      </c>
      <c r="C369" t="s">
        <v>62</v>
      </c>
      <c r="E369" s="4" t="s">
        <v>2141</v>
      </c>
      <c r="F369" s="4" t="s">
        <v>2148</v>
      </c>
      <c r="G369" t="s">
        <v>16</v>
      </c>
      <c r="H369" s="1">
        <v>44508</v>
      </c>
      <c r="I369" s="4">
        <v>89189.43</v>
      </c>
      <c r="J369" t="s">
        <v>257</v>
      </c>
      <c r="K369">
        <v>-882351304</v>
      </c>
      <c r="L369" t="s">
        <v>45</v>
      </c>
      <c r="M369" t="b">
        <v>1</v>
      </c>
      <c r="N369">
        <v>0</v>
      </c>
    </row>
    <row r="370" spans="1:14" x14ac:dyDescent="0.25">
      <c r="A370" t="s">
        <v>868</v>
      </c>
      <c r="B370" t="s">
        <v>67</v>
      </c>
      <c r="C370" t="s">
        <v>41</v>
      </c>
      <c r="D370">
        <v>40</v>
      </c>
      <c r="E370" s="4" t="s">
        <v>2137</v>
      </c>
      <c r="F370" s="4" t="s">
        <v>2146</v>
      </c>
      <c r="G370" t="s">
        <v>16</v>
      </c>
      <c r="H370" s="1">
        <v>45142</v>
      </c>
      <c r="I370" s="4">
        <v>96011.55</v>
      </c>
      <c r="J370" t="s">
        <v>70</v>
      </c>
      <c r="K370">
        <v>-2312447314</v>
      </c>
      <c r="L370" t="s">
        <v>19</v>
      </c>
      <c r="M370" t="b">
        <v>1</v>
      </c>
      <c r="N370">
        <v>1920.231</v>
      </c>
    </row>
    <row r="371" spans="1:14" x14ac:dyDescent="0.25">
      <c r="A371" t="s">
        <v>870</v>
      </c>
      <c r="B371" t="s">
        <v>67</v>
      </c>
      <c r="C371" t="s">
        <v>14</v>
      </c>
      <c r="D371">
        <v>40</v>
      </c>
      <c r="E371" s="4" t="s">
        <v>2145</v>
      </c>
      <c r="F371" s="4" t="s">
        <v>2144</v>
      </c>
      <c r="G371" t="s">
        <v>36</v>
      </c>
      <c r="H371" s="1">
        <v>43840</v>
      </c>
      <c r="I371" s="4">
        <v>99331.49</v>
      </c>
      <c r="J371" t="s">
        <v>73</v>
      </c>
      <c r="K371">
        <v>-8477686341</v>
      </c>
      <c r="L371" t="s">
        <v>25</v>
      </c>
      <c r="M371" t="b">
        <v>0</v>
      </c>
      <c r="N371">
        <v>9933.1490000000013</v>
      </c>
    </row>
    <row r="372" spans="1:14" x14ac:dyDescent="0.25">
      <c r="A372" t="s">
        <v>872</v>
      </c>
      <c r="B372" t="s">
        <v>13</v>
      </c>
      <c r="C372" t="s">
        <v>21</v>
      </c>
      <c r="E372" s="4" t="s">
        <v>2143</v>
      </c>
      <c r="F372" s="4" t="s">
        <v>2148</v>
      </c>
      <c r="G372" t="s">
        <v>16</v>
      </c>
      <c r="H372" s="1">
        <v>44580</v>
      </c>
      <c r="I372" s="4">
        <v>72818.94</v>
      </c>
      <c r="J372" t="s">
        <v>24</v>
      </c>
      <c r="K372">
        <v>-3461994236</v>
      </c>
      <c r="L372" t="s">
        <v>33</v>
      </c>
      <c r="M372" t="b">
        <v>1</v>
      </c>
      <c r="N372">
        <v>3640.9470000000001</v>
      </c>
    </row>
    <row r="373" spans="1:14" x14ac:dyDescent="0.25">
      <c r="A373" t="s">
        <v>874</v>
      </c>
      <c r="B373" t="s">
        <v>35</v>
      </c>
      <c r="C373" t="s">
        <v>47</v>
      </c>
      <c r="D373">
        <v>40</v>
      </c>
      <c r="E373" s="4" t="s">
        <v>2145</v>
      </c>
      <c r="F373" s="4" t="s">
        <v>2142</v>
      </c>
      <c r="G373" t="s">
        <v>36</v>
      </c>
      <c r="H373" s="1">
        <v>45053</v>
      </c>
      <c r="I373" s="4">
        <v>77204.75</v>
      </c>
      <c r="J373" t="s">
        <v>346</v>
      </c>
      <c r="K373">
        <v>-6769459195</v>
      </c>
      <c r="L373" t="s">
        <v>33</v>
      </c>
      <c r="M373" t="b">
        <v>1</v>
      </c>
      <c r="N373">
        <v>3860.2375000000002</v>
      </c>
    </row>
    <row r="374" spans="1:14" x14ac:dyDescent="0.25">
      <c r="A374" t="s">
        <v>876</v>
      </c>
      <c r="B374" t="s">
        <v>13</v>
      </c>
      <c r="C374" t="s">
        <v>62</v>
      </c>
      <c r="D374">
        <v>35</v>
      </c>
      <c r="E374" s="4" t="s">
        <v>2147</v>
      </c>
      <c r="F374" s="4" t="s">
        <v>2144</v>
      </c>
      <c r="G374" t="s">
        <v>30</v>
      </c>
      <c r="H374" s="1">
        <v>44184</v>
      </c>
      <c r="I374" s="4">
        <v>106961.68</v>
      </c>
      <c r="J374" t="s">
        <v>237</v>
      </c>
      <c r="K374">
        <v>-6395517207</v>
      </c>
      <c r="L374" t="s">
        <v>45</v>
      </c>
      <c r="M374" t="b">
        <v>0</v>
      </c>
      <c r="N374">
        <v>0</v>
      </c>
    </row>
    <row r="375" spans="1:14" x14ac:dyDescent="0.25">
      <c r="A375" t="s">
        <v>878</v>
      </c>
      <c r="B375" t="s">
        <v>35</v>
      </c>
      <c r="C375" t="s">
        <v>47</v>
      </c>
      <c r="E375" s="4" t="s">
        <v>2145</v>
      </c>
      <c r="F375" s="4" t="s">
        <v>2140</v>
      </c>
      <c r="G375" t="s">
        <v>30</v>
      </c>
      <c r="H375" s="1">
        <v>44105</v>
      </c>
      <c r="I375" s="4">
        <v>71923</v>
      </c>
      <c r="J375" t="s">
        <v>346</v>
      </c>
      <c r="K375">
        <v>-4964985600</v>
      </c>
      <c r="L375" t="s">
        <v>33</v>
      </c>
      <c r="M375" t="b">
        <v>1</v>
      </c>
      <c r="N375">
        <v>3596.15</v>
      </c>
    </row>
    <row r="376" spans="1:14" x14ac:dyDescent="0.25">
      <c r="A376" t="s">
        <v>880</v>
      </c>
      <c r="B376" t="s">
        <v>13</v>
      </c>
      <c r="C376" t="s">
        <v>142</v>
      </c>
      <c r="D376">
        <v>30</v>
      </c>
      <c r="E376" s="4" t="s">
        <v>2147</v>
      </c>
      <c r="F376" s="4" t="s">
        <v>2142</v>
      </c>
      <c r="G376" t="s">
        <v>16</v>
      </c>
      <c r="H376" s="1">
        <v>44877</v>
      </c>
      <c r="I376" s="4">
        <v>77192.429999999993</v>
      </c>
      <c r="J376" t="s">
        <v>144</v>
      </c>
      <c r="K376">
        <v>-2562531354</v>
      </c>
      <c r="L376" t="s">
        <v>25</v>
      </c>
      <c r="M376" t="b">
        <v>0</v>
      </c>
      <c r="N376">
        <v>7719.2429999999995</v>
      </c>
    </row>
    <row r="377" spans="1:14" x14ac:dyDescent="0.25">
      <c r="A377" t="s">
        <v>882</v>
      </c>
      <c r="B377" t="s">
        <v>80</v>
      </c>
      <c r="C377" t="s">
        <v>21</v>
      </c>
      <c r="D377">
        <v>40</v>
      </c>
      <c r="E377" s="4" t="s">
        <v>2141</v>
      </c>
      <c r="F377" s="4" t="s">
        <v>2144</v>
      </c>
      <c r="G377" t="s">
        <v>30</v>
      </c>
      <c r="H377" s="1">
        <v>44931</v>
      </c>
      <c r="I377" s="4">
        <v>98540.3</v>
      </c>
      <c r="J377" t="s">
        <v>240</v>
      </c>
      <c r="K377">
        <v>-2510505378</v>
      </c>
      <c r="L377" t="s">
        <v>33</v>
      </c>
      <c r="M377" t="b">
        <v>0</v>
      </c>
      <c r="N377">
        <v>4927.0150000000003</v>
      </c>
    </row>
    <row r="378" spans="1:14" x14ac:dyDescent="0.25">
      <c r="A378" t="s">
        <v>884</v>
      </c>
      <c r="B378" t="s">
        <v>61</v>
      </c>
      <c r="C378" t="s">
        <v>21</v>
      </c>
      <c r="E378" s="4" t="s">
        <v>2141</v>
      </c>
      <c r="F378" s="4" t="s">
        <v>2144</v>
      </c>
      <c r="G378" t="s">
        <v>36</v>
      </c>
      <c r="H378" s="1">
        <v>44118</v>
      </c>
      <c r="I378" s="4">
        <v>63096.9</v>
      </c>
      <c r="J378" t="s">
        <v>147</v>
      </c>
      <c r="K378">
        <v>-5381649382</v>
      </c>
      <c r="L378" t="s">
        <v>19</v>
      </c>
      <c r="M378" t="b">
        <v>0</v>
      </c>
      <c r="N378">
        <v>1261.9380000000001</v>
      </c>
    </row>
    <row r="379" spans="1:14" x14ac:dyDescent="0.25">
      <c r="A379" t="s">
        <v>886</v>
      </c>
      <c r="B379" t="s">
        <v>27</v>
      </c>
      <c r="C379" t="s">
        <v>142</v>
      </c>
      <c r="D379">
        <v>35</v>
      </c>
      <c r="E379" s="4" t="s">
        <v>2143</v>
      </c>
      <c r="F379" s="4" t="s">
        <v>2144</v>
      </c>
      <c r="G379" t="s">
        <v>16</v>
      </c>
      <c r="H379" s="1">
        <v>44230</v>
      </c>
      <c r="I379" s="4">
        <v>107065.12</v>
      </c>
      <c r="J379" t="s">
        <v>217</v>
      </c>
      <c r="K379">
        <v>-1849196654</v>
      </c>
      <c r="L379" t="s">
        <v>19</v>
      </c>
      <c r="M379" t="b">
        <v>0</v>
      </c>
      <c r="N379">
        <v>2141.3024</v>
      </c>
    </row>
    <row r="380" spans="1:14" x14ac:dyDescent="0.25">
      <c r="A380" t="s">
        <v>888</v>
      </c>
      <c r="B380" t="s">
        <v>75</v>
      </c>
      <c r="C380" t="s">
        <v>62</v>
      </c>
      <c r="D380">
        <v>40</v>
      </c>
      <c r="E380" s="4" t="s">
        <v>2137</v>
      </c>
      <c r="F380" s="4" t="s">
        <v>2144</v>
      </c>
      <c r="G380" t="s">
        <v>36</v>
      </c>
      <c r="H380" s="1">
        <v>45285</v>
      </c>
      <c r="I380" s="4">
        <v>108792.43</v>
      </c>
      <c r="J380" t="s">
        <v>132</v>
      </c>
      <c r="K380">
        <v>-3307704610</v>
      </c>
      <c r="L380" t="s">
        <v>45</v>
      </c>
      <c r="M380" t="b">
        <v>1</v>
      </c>
      <c r="N380">
        <v>0</v>
      </c>
    </row>
    <row r="381" spans="1:14" x14ac:dyDescent="0.25">
      <c r="A381" t="s">
        <v>890</v>
      </c>
      <c r="B381" t="s">
        <v>13</v>
      </c>
      <c r="C381" t="s">
        <v>142</v>
      </c>
      <c r="E381" s="4" t="s">
        <v>2143</v>
      </c>
      <c r="F381" s="4" t="s">
        <v>2146</v>
      </c>
      <c r="G381" t="s">
        <v>36</v>
      </c>
      <c r="H381" s="1">
        <v>43897</v>
      </c>
      <c r="I381" s="4">
        <v>69239.7</v>
      </c>
      <c r="J381" t="s">
        <v>144</v>
      </c>
      <c r="K381">
        <v>-7295963903</v>
      </c>
      <c r="L381" t="s">
        <v>25</v>
      </c>
      <c r="M381" t="b">
        <v>0</v>
      </c>
      <c r="N381">
        <v>6923.97</v>
      </c>
    </row>
    <row r="382" spans="1:14" x14ac:dyDescent="0.25">
      <c r="A382" t="s">
        <v>892</v>
      </c>
      <c r="B382" t="s">
        <v>61</v>
      </c>
      <c r="C382" t="s">
        <v>47</v>
      </c>
      <c r="D382">
        <v>40</v>
      </c>
      <c r="E382" s="4" t="s">
        <v>2145</v>
      </c>
      <c r="F382" s="4" t="s">
        <v>2142</v>
      </c>
      <c r="G382" t="s">
        <v>36</v>
      </c>
      <c r="H382" s="1">
        <v>44956</v>
      </c>
      <c r="I382" s="4">
        <v>85756.42</v>
      </c>
      <c r="J382" t="s">
        <v>100</v>
      </c>
      <c r="K382">
        <v>-907426087</v>
      </c>
      <c r="L382" t="s">
        <v>19</v>
      </c>
      <c r="M382" t="b">
        <v>1</v>
      </c>
      <c r="N382">
        <v>1715.1284000000001</v>
      </c>
    </row>
    <row r="383" spans="1:14" x14ac:dyDescent="0.25">
      <c r="A383" t="s">
        <v>894</v>
      </c>
      <c r="B383" t="s">
        <v>35</v>
      </c>
      <c r="C383" t="s">
        <v>106</v>
      </c>
      <c r="E383" s="4" t="s">
        <v>2147</v>
      </c>
      <c r="F383" s="4" t="s">
        <v>2148</v>
      </c>
      <c r="G383" t="s">
        <v>16</v>
      </c>
      <c r="H383" s="1">
        <v>45387</v>
      </c>
      <c r="I383" s="4">
        <v>100328.62</v>
      </c>
      <c r="J383" t="s">
        <v>307</v>
      </c>
      <c r="K383">
        <v>-501716444</v>
      </c>
      <c r="L383" t="s">
        <v>19</v>
      </c>
      <c r="M383" t="b">
        <v>1</v>
      </c>
      <c r="N383">
        <v>2006.5724</v>
      </c>
    </row>
    <row r="384" spans="1:14" x14ac:dyDescent="0.25">
      <c r="A384" t="s">
        <v>896</v>
      </c>
      <c r="B384" t="s">
        <v>80</v>
      </c>
      <c r="C384" t="s">
        <v>21</v>
      </c>
      <c r="D384">
        <v>25</v>
      </c>
      <c r="E384" s="4" t="s">
        <v>2137</v>
      </c>
      <c r="F384" s="4" t="s">
        <v>2142</v>
      </c>
      <c r="G384" t="s">
        <v>16</v>
      </c>
      <c r="H384" s="1">
        <v>44440</v>
      </c>
      <c r="I384" s="4">
        <v>111236.69</v>
      </c>
      <c r="J384" t="s">
        <v>240</v>
      </c>
      <c r="K384">
        <v>-5618579063</v>
      </c>
      <c r="L384" t="s">
        <v>25</v>
      </c>
      <c r="M384" t="b">
        <v>1</v>
      </c>
      <c r="N384">
        <v>11123.669000000002</v>
      </c>
    </row>
    <row r="385" spans="1:14" x14ac:dyDescent="0.25">
      <c r="A385" t="s">
        <v>898</v>
      </c>
      <c r="B385" t="s">
        <v>35</v>
      </c>
      <c r="C385" t="s">
        <v>28</v>
      </c>
      <c r="D385">
        <v>35</v>
      </c>
      <c r="E385" s="4" t="s">
        <v>2143</v>
      </c>
      <c r="F385" s="4" t="s">
        <v>2144</v>
      </c>
      <c r="G385" t="s">
        <v>16</v>
      </c>
      <c r="H385" s="1">
        <v>45419</v>
      </c>
      <c r="I385" s="4">
        <v>106832.22</v>
      </c>
      <c r="J385" t="s">
        <v>323</v>
      </c>
      <c r="K385">
        <v>-7715910299</v>
      </c>
      <c r="L385" t="s">
        <v>33</v>
      </c>
      <c r="M385" t="b">
        <v>1</v>
      </c>
      <c r="N385">
        <v>5341.6110000000008</v>
      </c>
    </row>
    <row r="386" spans="1:14" x14ac:dyDescent="0.25">
      <c r="A386" t="s">
        <v>900</v>
      </c>
      <c r="B386" t="s">
        <v>40</v>
      </c>
      <c r="C386" t="s">
        <v>28</v>
      </c>
      <c r="E386" s="4" t="s">
        <v>2137</v>
      </c>
      <c r="F386" s="4" t="s">
        <v>2144</v>
      </c>
      <c r="G386" t="s">
        <v>16</v>
      </c>
      <c r="H386" s="1">
        <v>45092</v>
      </c>
      <c r="I386" s="4">
        <v>59746.45</v>
      </c>
      <c r="J386" t="s">
        <v>53</v>
      </c>
      <c r="K386">
        <v>-2156321357</v>
      </c>
      <c r="L386" t="s">
        <v>33</v>
      </c>
      <c r="M386" t="b">
        <v>1</v>
      </c>
      <c r="N386">
        <v>2987.3225000000002</v>
      </c>
    </row>
    <row r="387" spans="1:14" x14ac:dyDescent="0.25">
      <c r="A387" t="s">
        <v>902</v>
      </c>
      <c r="B387" t="s">
        <v>67</v>
      </c>
      <c r="C387" t="s">
        <v>47</v>
      </c>
      <c r="D387">
        <v>25</v>
      </c>
      <c r="E387" s="4" t="s">
        <v>2145</v>
      </c>
      <c r="F387" s="4" t="s">
        <v>2138</v>
      </c>
      <c r="G387" t="s">
        <v>30</v>
      </c>
      <c r="H387" s="1">
        <v>44406</v>
      </c>
      <c r="I387" s="4">
        <v>91780.04</v>
      </c>
      <c r="J387" t="s">
        <v>118</v>
      </c>
      <c r="K387">
        <v>-40104144</v>
      </c>
      <c r="L387" t="s">
        <v>45</v>
      </c>
      <c r="M387" t="b">
        <v>1</v>
      </c>
      <c r="N387">
        <v>0</v>
      </c>
    </row>
    <row r="388" spans="1:14" x14ac:dyDescent="0.25">
      <c r="A388" t="s">
        <v>904</v>
      </c>
      <c r="B388" t="s">
        <v>35</v>
      </c>
      <c r="C388" t="s">
        <v>41</v>
      </c>
      <c r="D388">
        <v>35</v>
      </c>
      <c r="E388" s="4" t="s">
        <v>2145</v>
      </c>
      <c r="F388" s="4" t="s">
        <v>2138</v>
      </c>
      <c r="G388" t="s">
        <v>30</v>
      </c>
      <c r="H388" s="1">
        <v>45222</v>
      </c>
      <c r="I388" s="4">
        <v>107062.66</v>
      </c>
      <c r="J388" t="s">
        <v>167</v>
      </c>
      <c r="K388">
        <v>-9642297124</v>
      </c>
      <c r="L388" t="s">
        <v>33</v>
      </c>
      <c r="M388" t="b">
        <v>1</v>
      </c>
      <c r="N388">
        <v>5353.1330000000007</v>
      </c>
    </row>
    <row r="389" spans="1:14" x14ac:dyDescent="0.25">
      <c r="A389" t="s">
        <v>906</v>
      </c>
      <c r="B389" t="s">
        <v>80</v>
      </c>
      <c r="C389" t="s">
        <v>14</v>
      </c>
      <c r="D389">
        <v>25</v>
      </c>
      <c r="E389" s="4" t="s">
        <v>2147</v>
      </c>
      <c r="F389" s="4" t="s">
        <v>2142</v>
      </c>
      <c r="G389" t="s">
        <v>16</v>
      </c>
      <c r="H389" s="1">
        <v>45267</v>
      </c>
      <c r="I389" s="4">
        <v>110625.52</v>
      </c>
      <c r="J389" t="s">
        <v>276</v>
      </c>
      <c r="K389">
        <v>-2967188396</v>
      </c>
      <c r="L389" t="s">
        <v>25</v>
      </c>
      <c r="M389" t="b">
        <v>1</v>
      </c>
      <c r="N389">
        <v>11062.552000000001</v>
      </c>
    </row>
    <row r="390" spans="1:14" x14ac:dyDescent="0.25">
      <c r="A390" t="s">
        <v>908</v>
      </c>
      <c r="B390" t="s">
        <v>40</v>
      </c>
      <c r="C390" t="s">
        <v>142</v>
      </c>
      <c r="D390">
        <v>30</v>
      </c>
      <c r="E390" s="4" t="s">
        <v>2137</v>
      </c>
      <c r="F390" s="4" t="s">
        <v>2144</v>
      </c>
      <c r="G390" t="s">
        <v>36</v>
      </c>
      <c r="H390" s="1">
        <v>44122</v>
      </c>
      <c r="I390" s="4">
        <v>90419.79</v>
      </c>
      <c r="J390" t="s">
        <v>163</v>
      </c>
      <c r="K390">
        <v>-7457314414</v>
      </c>
      <c r="L390" t="s">
        <v>19</v>
      </c>
      <c r="M390" t="b">
        <v>1</v>
      </c>
      <c r="N390">
        <v>1808.3958</v>
      </c>
    </row>
    <row r="391" spans="1:14" x14ac:dyDescent="0.25">
      <c r="A391" t="s">
        <v>910</v>
      </c>
      <c r="B391" t="s">
        <v>80</v>
      </c>
      <c r="C391" t="s">
        <v>142</v>
      </c>
      <c r="D391">
        <v>40</v>
      </c>
      <c r="E391" s="4" t="s">
        <v>2139</v>
      </c>
      <c r="F391" s="4" t="s">
        <v>2140</v>
      </c>
      <c r="G391" t="s">
        <v>30</v>
      </c>
      <c r="H391" s="1">
        <v>45458</v>
      </c>
      <c r="I391" s="4">
        <v>111608.76</v>
      </c>
      <c r="J391" t="s">
        <v>160</v>
      </c>
      <c r="K391">
        <v>-8331170302</v>
      </c>
      <c r="L391" t="s">
        <v>33</v>
      </c>
      <c r="M391" t="b">
        <v>1</v>
      </c>
      <c r="N391">
        <v>5580.4380000000001</v>
      </c>
    </row>
    <row r="392" spans="1:14" x14ac:dyDescent="0.25">
      <c r="A392" t="s">
        <v>912</v>
      </c>
      <c r="B392" t="s">
        <v>35</v>
      </c>
      <c r="C392" t="s">
        <v>41</v>
      </c>
      <c r="D392">
        <v>35</v>
      </c>
      <c r="E392" s="4" t="s">
        <v>2139</v>
      </c>
      <c r="F392" s="4" t="s">
        <v>2144</v>
      </c>
      <c r="G392" t="s">
        <v>36</v>
      </c>
      <c r="H392" s="1">
        <v>45022</v>
      </c>
      <c r="I392" s="4">
        <v>50173.120000000003</v>
      </c>
      <c r="J392" t="s">
        <v>167</v>
      </c>
      <c r="K392">
        <v>-7637153987</v>
      </c>
      <c r="L392" t="s">
        <v>45</v>
      </c>
      <c r="M392" t="b">
        <v>0</v>
      </c>
      <c r="N392">
        <v>0</v>
      </c>
    </row>
    <row r="393" spans="1:14" x14ac:dyDescent="0.25">
      <c r="A393" t="s">
        <v>914</v>
      </c>
      <c r="B393" t="s">
        <v>13</v>
      </c>
      <c r="C393" t="s">
        <v>41</v>
      </c>
      <c r="D393">
        <v>40</v>
      </c>
      <c r="E393" s="4" t="s">
        <v>2137</v>
      </c>
      <c r="F393" s="4" t="s">
        <v>2142</v>
      </c>
      <c r="G393" t="s">
        <v>30</v>
      </c>
      <c r="H393" s="1">
        <v>44564</v>
      </c>
      <c r="I393" s="4">
        <v>109507.44</v>
      </c>
      <c r="J393" t="s">
        <v>170</v>
      </c>
      <c r="K393">
        <v>-5472812355</v>
      </c>
      <c r="L393" t="s">
        <v>33</v>
      </c>
      <c r="M393" t="b">
        <v>0</v>
      </c>
      <c r="N393">
        <v>5475.3720000000003</v>
      </c>
    </row>
    <row r="394" spans="1:14" x14ac:dyDescent="0.25">
      <c r="A394" t="s">
        <v>916</v>
      </c>
      <c r="B394" t="s">
        <v>80</v>
      </c>
      <c r="C394" t="s">
        <v>47</v>
      </c>
      <c r="D394">
        <v>30</v>
      </c>
      <c r="E394" s="4" t="s">
        <v>2139</v>
      </c>
      <c r="F394" s="4" t="s">
        <v>2146</v>
      </c>
      <c r="G394" t="s">
        <v>36</v>
      </c>
      <c r="H394" s="1">
        <v>44380</v>
      </c>
      <c r="I394" s="4">
        <v>72600.56</v>
      </c>
      <c r="J394" t="s">
        <v>96</v>
      </c>
      <c r="K394">
        <v>-7983631461</v>
      </c>
      <c r="L394" t="s">
        <v>25</v>
      </c>
      <c r="M394" t="b">
        <v>0</v>
      </c>
      <c r="N394">
        <v>7260.0560000000005</v>
      </c>
    </row>
    <row r="395" spans="1:14" x14ac:dyDescent="0.25">
      <c r="A395" t="s">
        <v>918</v>
      </c>
      <c r="B395" t="s">
        <v>61</v>
      </c>
      <c r="C395" t="s">
        <v>47</v>
      </c>
      <c r="E395" s="4" t="s">
        <v>2139</v>
      </c>
      <c r="F395" s="4" t="s">
        <v>2138</v>
      </c>
      <c r="G395" t="s">
        <v>30</v>
      </c>
      <c r="H395" s="1">
        <v>45392</v>
      </c>
      <c r="I395" s="4">
        <v>53388.65</v>
      </c>
      <c r="J395" t="s">
        <v>100</v>
      </c>
      <c r="K395">
        <v>-4912711306</v>
      </c>
      <c r="L395" t="s">
        <v>45</v>
      </c>
      <c r="M395" t="b">
        <v>1</v>
      </c>
      <c r="N395">
        <v>0</v>
      </c>
    </row>
    <row r="396" spans="1:14" x14ac:dyDescent="0.25">
      <c r="A396" t="s">
        <v>920</v>
      </c>
      <c r="B396" t="s">
        <v>75</v>
      </c>
      <c r="C396" t="s">
        <v>41</v>
      </c>
      <c r="D396">
        <v>25</v>
      </c>
      <c r="E396" s="4" t="s">
        <v>2143</v>
      </c>
      <c r="F396" s="4" t="s">
        <v>2146</v>
      </c>
      <c r="G396" t="s">
        <v>36</v>
      </c>
      <c r="H396" s="1">
        <v>44765</v>
      </c>
      <c r="I396" s="4">
        <v>50047.32</v>
      </c>
      <c r="J396" t="s">
        <v>78</v>
      </c>
      <c r="K396">
        <v>-2407875417</v>
      </c>
      <c r="L396" t="s">
        <v>33</v>
      </c>
      <c r="M396" t="b">
        <v>0</v>
      </c>
      <c r="N396">
        <v>2502.366</v>
      </c>
    </row>
    <row r="397" spans="1:14" x14ac:dyDescent="0.25">
      <c r="A397" t="s">
        <v>922</v>
      </c>
      <c r="B397" t="s">
        <v>67</v>
      </c>
      <c r="C397" t="s">
        <v>21</v>
      </c>
      <c r="D397">
        <v>30</v>
      </c>
      <c r="E397" s="4" t="s">
        <v>2137</v>
      </c>
      <c r="F397" s="4" t="s">
        <v>2138</v>
      </c>
      <c r="G397" t="s">
        <v>16</v>
      </c>
      <c r="H397" s="1">
        <v>45621</v>
      </c>
      <c r="I397" s="4">
        <v>115290.79</v>
      </c>
      <c r="J397" t="s">
        <v>265</v>
      </c>
      <c r="K397">
        <v>-1563268684</v>
      </c>
      <c r="L397" t="s">
        <v>45</v>
      </c>
      <c r="M397" t="b">
        <v>0</v>
      </c>
      <c r="N397">
        <v>0</v>
      </c>
    </row>
    <row r="398" spans="1:14" x14ac:dyDescent="0.25">
      <c r="A398" t="s">
        <v>924</v>
      </c>
      <c r="B398" t="s">
        <v>40</v>
      </c>
      <c r="C398" t="s">
        <v>47</v>
      </c>
      <c r="D398">
        <v>35</v>
      </c>
      <c r="E398" s="4" t="s">
        <v>2143</v>
      </c>
      <c r="F398" s="4" t="s">
        <v>2138</v>
      </c>
      <c r="G398" t="s">
        <v>30</v>
      </c>
      <c r="H398" s="1">
        <v>45159</v>
      </c>
      <c r="I398" s="4">
        <v>61586.76</v>
      </c>
      <c r="J398" t="s">
        <v>214</v>
      </c>
      <c r="K398">
        <v>-745106633</v>
      </c>
      <c r="L398" t="s">
        <v>25</v>
      </c>
      <c r="M398" t="b">
        <v>0</v>
      </c>
      <c r="N398">
        <v>6158.6760000000004</v>
      </c>
    </row>
    <row r="399" spans="1:14" x14ac:dyDescent="0.25">
      <c r="A399" t="s">
        <v>926</v>
      </c>
      <c r="B399" t="s">
        <v>35</v>
      </c>
      <c r="C399" t="s">
        <v>106</v>
      </c>
      <c r="D399">
        <v>30</v>
      </c>
      <c r="E399" s="4" t="s">
        <v>2139</v>
      </c>
      <c r="F399" s="4" t="s">
        <v>2142</v>
      </c>
      <c r="G399" t="s">
        <v>16</v>
      </c>
      <c r="H399" s="1">
        <v>45272</v>
      </c>
      <c r="I399" s="4">
        <v>56662.86</v>
      </c>
      <c r="J399" t="s">
        <v>307</v>
      </c>
      <c r="K399">
        <v>-3629489785</v>
      </c>
      <c r="L399" t="s">
        <v>19</v>
      </c>
      <c r="M399" t="b">
        <v>1</v>
      </c>
      <c r="N399">
        <v>1133.2572</v>
      </c>
    </row>
    <row r="400" spans="1:14" x14ac:dyDescent="0.25">
      <c r="A400" t="s">
        <v>928</v>
      </c>
      <c r="B400" t="s">
        <v>13</v>
      </c>
      <c r="C400" t="s">
        <v>47</v>
      </c>
      <c r="D400">
        <v>30</v>
      </c>
      <c r="E400" s="4" t="s">
        <v>2145</v>
      </c>
      <c r="F400" s="4" t="s">
        <v>2146</v>
      </c>
      <c r="G400" t="s">
        <v>30</v>
      </c>
      <c r="H400" s="1">
        <v>45223</v>
      </c>
      <c r="I400" s="4"/>
      <c r="J400" t="s">
        <v>180</v>
      </c>
      <c r="K400">
        <v>-1031310093</v>
      </c>
      <c r="L400" t="s">
        <v>25</v>
      </c>
      <c r="M400" t="b">
        <v>1</v>
      </c>
    </row>
    <row r="401" spans="1:14" x14ac:dyDescent="0.25">
      <c r="A401" t="s">
        <v>929</v>
      </c>
      <c r="B401" t="s">
        <v>40</v>
      </c>
      <c r="C401" t="s">
        <v>142</v>
      </c>
      <c r="D401">
        <v>25</v>
      </c>
      <c r="E401" s="4" t="s">
        <v>2139</v>
      </c>
      <c r="F401" s="4" t="s">
        <v>2142</v>
      </c>
      <c r="G401" t="s">
        <v>16</v>
      </c>
      <c r="H401" s="1">
        <v>44809</v>
      </c>
      <c r="I401" s="4">
        <v>54957.98</v>
      </c>
      <c r="J401" t="s">
        <v>163</v>
      </c>
      <c r="K401">
        <v>-3181439665</v>
      </c>
      <c r="L401" t="s">
        <v>25</v>
      </c>
      <c r="M401" t="b">
        <v>1</v>
      </c>
      <c r="N401">
        <v>5495.7980000000007</v>
      </c>
    </row>
    <row r="402" spans="1:14" x14ac:dyDescent="0.25">
      <c r="A402" t="s">
        <v>931</v>
      </c>
      <c r="B402" t="s">
        <v>13</v>
      </c>
      <c r="C402" t="s">
        <v>47</v>
      </c>
      <c r="D402">
        <v>25</v>
      </c>
      <c r="E402" s="4" t="s">
        <v>2147</v>
      </c>
      <c r="F402" s="4" t="s">
        <v>2138</v>
      </c>
      <c r="G402" t="s">
        <v>36</v>
      </c>
      <c r="H402" s="1">
        <v>44111</v>
      </c>
      <c r="I402" s="4">
        <v>76790.47</v>
      </c>
      <c r="J402" t="s">
        <v>180</v>
      </c>
      <c r="K402">
        <v>-1347323548</v>
      </c>
      <c r="L402" t="s">
        <v>25</v>
      </c>
      <c r="M402" t="b">
        <v>1</v>
      </c>
      <c r="N402">
        <v>7679.0470000000005</v>
      </c>
    </row>
    <row r="403" spans="1:14" x14ac:dyDescent="0.25">
      <c r="A403" t="s">
        <v>933</v>
      </c>
      <c r="B403" t="s">
        <v>61</v>
      </c>
      <c r="C403" t="s">
        <v>21</v>
      </c>
      <c r="D403">
        <v>30</v>
      </c>
      <c r="E403" s="4" t="s">
        <v>2143</v>
      </c>
      <c r="F403" s="4" t="s">
        <v>2148</v>
      </c>
      <c r="G403" t="s">
        <v>30</v>
      </c>
      <c r="H403" s="1">
        <v>43848</v>
      </c>
      <c r="I403" s="4">
        <v>92722.35</v>
      </c>
      <c r="J403" t="s">
        <v>147</v>
      </c>
      <c r="K403">
        <v>-4012897431</v>
      </c>
      <c r="L403" t="s">
        <v>25</v>
      </c>
      <c r="M403" t="b">
        <v>0</v>
      </c>
      <c r="N403">
        <v>9272.2350000000006</v>
      </c>
    </row>
    <row r="404" spans="1:14" x14ac:dyDescent="0.25">
      <c r="A404" t="s">
        <v>935</v>
      </c>
      <c r="B404" t="s">
        <v>40</v>
      </c>
      <c r="C404" t="s">
        <v>41</v>
      </c>
      <c r="D404">
        <v>30</v>
      </c>
      <c r="E404" s="4" t="s">
        <v>2137</v>
      </c>
      <c r="F404" s="4" t="s">
        <v>2142</v>
      </c>
      <c r="G404" t="s">
        <v>16</v>
      </c>
      <c r="H404" s="1">
        <v>44674</v>
      </c>
      <c r="I404" s="4">
        <v>93125.32</v>
      </c>
      <c r="J404" t="s">
        <v>44</v>
      </c>
      <c r="K404">
        <v>-5122572075</v>
      </c>
      <c r="L404" t="s">
        <v>19</v>
      </c>
      <c r="M404" t="b">
        <v>0</v>
      </c>
      <c r="N404">
        <v>1862.5064000000002</v>
      </c>
    </row>
    <row r="405" spans="1:14" x14ac:dyDescent="0.25">
      <c r="A405" t="s">
        <v>937</v>
      </c>
      <c r="B405" t="s">
        <v>67</v>
      </c>
      <c r="C405" t="s">
        <v>142</v>
      </c>
      <c r="D405">
        <v>25</v>
      </c>
      <c r="E405" s="4" t="s">
        <v>2143</v>
      </c>
      <c r="F405" s="4" t="s">
        <v>2146</v>
      </c>
      <c r="G405" t="s">
        <v>16</v>
      </c>
      <c r="H405" s="1">
        <v>45038</v>
      </c>
      <c r="I405" s="4">
        <v>101100.64</v>
      </c>
      <c r="J405" t="s">
        <v>402</v>
      </c>
      <c r="K405">
        <v>-5024120956</v>
      </c>
      <c r="L405" t="s">
        <v>19</v>
      </c>
      <c r="M405" t="b">
        <v>0</v>
      </c>
      <c r="N405">
        <v>2022.0128</v>
      </c>
    </row>
    <row r="406" spans="1:14" x14ac:dyDescent="0.25">
      <c r="A406" t="s">
        <v>939</v>
      </c>
      <c r="B406" t="s">
        <v>80</v>
      </c>
      <c r="C406" t="s">
        <v>47</v>
      </c>
      <c r="D406">
        <v>35</v>
      </c>
      <c r="E406" s="4" t="s">
        <v>2141</v>
      </c>
      <c r="F406" s="4" t="s">
        <v>2146</v>
      </c>
      <c r="G406" t="s">
        <v>36</v>
      </c>
      <c r="H406" s="1">
        <v>45151</v>
      </c>
      <c r="I406" s="4">
        <v>55897.41</v>
      </c>
      <c r="J406" t="s">
        <v>96</v>
      </c>
      <c r="K406">
        <v>-9073710093</v>
      </c>
      <c r="L406" t="s">
        <v>45</v>
      </c>
      <c r="M406" t="b">
        <v>0</v>
      </c>
      <c r="N406">
        <v>0</v>
      </c>
    </row>
    <row r="407" spans="1:14" x14ac:dyDescent="0.25">
      <c r="A407" t="s">
        <v>941</v>
      </c>
      <c r="B407" t="s">
        <v>35</v>
      </c>
      <c r="C407" t="s">
        <v>21</v>
      </c>
      <c r="D407">
        <v>25</v>
      </c>
      <c r="E407" s="4" t="s">
        <v>2137</v>
      </c>
      <c r="F407" s="4" t="s">
        <v>2138</v>
      </c>
      <c r="G407" t="s">
        <v>16</v>
      </c>
      <c r="H407" s="1">
        <v>44891</v>
      </c>
      <c r="I407" s="4">
        <v>92484.88</v>
      </c>
      <c r="J407" t="s">
        <v>183</v>
      </c>
      <c r="K407">
        <v>-3882211456</v>
      </c>
      <c r="L407" t="s">
        <v>33</v>
      </c>
      <c r="M407" t="b">
        <v>1</v>
      </c>
      <c r="N407">
        <v>4624.2440000000006</v>
      </c>
    </row>
    <row r="408" spans="1:14" x14ac:dyDescent="0.25">
      <c r="A408" t="s">
        <v>943</v>
      </c>
      <c r="B408" t="s">
        <v>80</v>
      </c>
      <c r="C408" t="s">
        <v>106</v>
      </c>
      <c r="D408">
        <v>35</v>
      </c>
      <c r="E408" s="4" t="s">
        <v>2137</v>
      </c>
      <c r="F408" s="4" t="s">
        <v>2140</v>
      </c>
      <c r="G408" t="s">
        <v>16</v>
      </c>
      <c r="H408" s="1">
        <v>44844</v>
      </c>
      <c r="I408" s="4">
        <v>77011.990000000005</v>
      </c>
      <c r="J408" t="s">
        <v>197</v>
      </c>
      <c r="K408">
        <v>-7584745704</v>
      </c>
      <c r="L408" t="s">
        <v>19</v>
      </c>
      <c r="M408" t="b">
        <v>1</v>
      </c>
      <c r="N408">
        <v>1540.2398000000001</v>
      </c>
    </row>
    <row r="409" spans="1:14" x14ac:dyDescent="0.25">
      <c r="A409" t="s">
        <v>945</v>
      </c>
      <c r="B409" t="s">
        <v>13</v>
      </c>
      <c r="C409" t="s">
        <v>47</v>
      </c>
      <c r="E409" s="4" t="s">
        <v>2143</v>
      </c>
      <c r="F409" s="4" t="s">
        <v>2138</v>
      </c>
      <c r="G409" t="s">
        <v>36</v>
      </c>
      <c r="H409" s="1">
        <v>44101</v>
      </c>
      <c r="I409" s="4">
        <v>77078.679999999993</v>
      </c>
      <c r="J409" t="s">
        <v>180</v>
      </c>
      <c r="K409">
        <v>-4589714801</v>
      </c>
      <c r="L409" t="s">
        <v>19</v>
      </c>
      <c r="M409" t="b">
        <v>1</v>
      </c>
      <c r="N409">
        <v>1541.5735999999999</v>
      </c>
    </row>
    <row r="410" spans="1:14" x14ac:dyDescent="0.25">
      <c r="A410" t="s">
        <v>947</v>
      </c>
      <c r="B410" t="s">
        <v>80</v>
      </c>
      <c r="C410" t="s">
        <v>21</v>
      </c>
      <c r="D410">
        <v>35</v>
      </c>
      <c r="E410" s="4" t="s">
        <v>2145</v>
      </c>
      <c r="F410" s="4" t="s">
        <v>2142</v>
      </c>
      <c r="G410" t="s">
        <v>16</v>
      </c>
      <c r="H410" s="1">
        <v>45393</v>
      </c>
      <c r="I410" s="4">
        <v>82971.02</v>
      </c>
      <c r="J410" t="s">
        <v>240</v>
      </c>
      <c r="K410">
        <v>-6325703964</v>
      </c>
      <c r="L410" t="s">
        <v>33</v>
      </c>
      <c r="M410" t="b">
        <v>0</v>
      </c>
      <c r="N410">
        <v>4148.5510000000004</v>
      </c>
    </row>
    <row r="411" spans="1:14" x14ac:dyDescent="0.25">
      <c r="A411" t="s">
        <v>949</v>
      </c>
      <c r="B411" t="s">
        <v>13</v>
      </c>
      <c r="C411" t="s">
        <v>106</v>
      </c>
      <c r="D411">
        <v>25</v>
      </c>
      <c r="E411" s="4" t="s">
        <v>2145</v>
      </c>
      <c r="F411" s="4" t="s">
        <v>2140</v>
      </c>
      <c r="G411" t="s">
        <v>16</v>
      </c>
      <c r="H411" s="1">
        <v>44367</v>
      </c>
      <c r="I411" s="4">
        <v>65102.01</v>
      </c>
      <c r="J411" t="s">
        <v>108</v>
      </c>
      <c r="K411">
        <v>-3136148781</v>
      </c>
      <c r="L411" t="s">
        <v>19</v>
      </c>
      <c r="M411" t="b">
        <v>1</v>
      </c>
      <c r="N411">
        <v>1302.0402000000001</v>
      </c>
    </row>
    <row r="412" spans="1:14" x14ac:dyDescent="0.25">
      <c r="A412" t="s">
        <v>951</v>
      </c>
      <c r="B412" t="s">
        <v>80</v>
      </c>
      <c r="C412" t="s">
        <v>41</v>
      </c>
      <c r="E412" s="4" t="s">
        <v>2147</v>
      </c>
      <c r="F412" s="4" t="s">
        <v>2142</v>
      </c>
      <c r="G412" t="s">
        <v>30</v>
      </c>
      <c r="H412" s="1">
        <v>44857</v>
      </c>
      <c r="I412" s="4">
        <v>103697.7</v>
      </c>
      <c r="J412" t="s">
        <v>83</v>
      </c>
      <c r="K412">
        <v>-4556964429</v>
      </c>
      <c r="L412" t="s">
        <v>25</v>
      </c>
      <c r="M412" t="b">
        <v>1</v>
      </c>
      <c r="N412">
        <v>10369.77</v>
      </c>
    </row>
    <row r="413" spans="1:14" x14ac:dyDescent="0.25">
      <c r="A413" t="s">
        <v>953</v>
      </c>
      <c r="B413" t="s">
        <v>80</v>
      </c>
      <c r="C413" t="s">
        <v>47</v>
      </c>
      <c r="D413">
        <v>25</v>
      </c>
      <c r="E413" s="4" t="s">
        <v>2137</v>
      </c>
      <c r="F413" s="4" t="s">
        <v>2148</v>
      </c>
      <c r="G413" t="s">
        <v>30</v>
      </c>
      <c r="H413" s="1">
        <v>45092</v>
      </c>
      <c r="I413" s="4">
        <v>60687.63</v>
      </c>
      <c r="J413" t="s">
        <v>96</v>
      </c>
      <c r="K413">
        <v>-9859167953</v>
      </c>
      <c r="L413" t="s">
        <v>25</v>
      </c>
      <c r="M413" t="b">
        <v>0</v>
      </c>
      <c r="N413">
        <v>6068.7629999999999</v>
      </c>
    </row>
    <row r="414" spans="1:14" x14ac:dyDescent="0.25">
      <c r="A414" t="s">
        <v>955</v>
      </c>
      <c r="B414" t="s">
        <v>13</v>
      </c>
      <c r="C414" t="s">
        <v>106</v>
      </c>
      <c r="E414" s="4" t="s">
        <v>2141</v>
      </c>
      <c r="F414" s="4" t="s">
        <v>2146</v>
      </c>
      <c r="G414" t="s">
        <v>30</v>
      </c>
      <c r="H414" s="1">
        <v>44500</v>
      </c>
      <c r="I414" s="4">
        <v>77351.210000000006</v>
      </c>
      <c r="J414" t="s">
        <v>108</v>
      </c>
      <c r="K414">
        <v>-1072728497</v>
      </c>
      <c r="L414" t="s">
        <v>33</v>
      </c>
      <c r="M414" t="b">
        <v>0</v>
      </c>
      <c r="N414">
        <v>3867.5605000000005</v>
      </c>
    </row>
    <row r="415" spans="1:14" x14ac:dyDescent="0.25">
      <c r="A415" t="s">
        <v>957</v>
      </c>
      <c r="B415" t="s">
        <v>13</v>
      </c>
      <c r="C415" t="s">
        <v>142</v>
      </c>
      <c r="D415">
        <v>35</v>
      </c>
      <c r="E415" s="4" t="s">
        <v>2137</v>
      </c>
      <c r="F415" s="4" t="s">
        <v>2144</v>
      </c>
      <c r="G415" t="s">
        <v>30</v>
      </c>
      <c r="H415" s="1">
        <v>45564</v>
      </c>
      <c r="I415" s="4">
        <v>66704.62</v>
      </c>
      <c r="J415" t="s">
        <v>144</v>
      </c>
      <c r="K415">
        <v>-2474140702</v>
      </c>
      <c r="L415" t="s">
        <v>45</v>
      </c>
      <c r="M415" t="b">
        <v>1</v>
      </c>
      <c r="N415">
        <v>0</v>
      </c>
    </row>
    <row r="416" spans="1:14" x14ac:dyDescent="0.25">
      <c r="A416" t="s">
        <v>959</v>
      </c>
      <c r="B416" t="s">
        <v>80</v>
      </c>
      <c r="C416" t="s">
        <v>41</v>
      </c>
      <c r="D416">
        <v>25</v>
      </c>
      <c r="E416" s="4" t="s">
        <v>2139</v>
      </c>
      <c r="F416" s="4" t="s">
        <v>2148</v>
      </c>
      <c r="G416" t="s">
        <v>30</v>
      </c>
      <c r="H416" s="1">
        <v>43943</v>
      </c>
      <c r="I416" s="4">
        <v>71650.3</v>
      </c>
      <c r="J416" t="s">
        <v>83</v>
      </c>
      <c r="K416">
        <v>-4910740649</v>
      </c>
      <c r="L416" t="s">
        <v>45</v>
      </c>
      <c r="M416" t="b">
        <v>1</v>
      </c>
      <c r="N416">
        <v>0</v>
      </c>
    </row>
    <row r="417" spans="1:14" x14ac:dyDescent="0.25">
      <c r="A417" t="s">
        <v>961</v>
      </c>
      <c r="B417" t="s">
        <v>61</v>
      </c>
      <c r="C417" t="s">
        <v>142</v>
      </c>
      <c r="D417">
        <v>25</v>
      </c>
      <c r="E417" s="4" t="s">
        <v>2143</v>
      </c>
      <c r="F417" s="4" t="s">
        <v>2142</v>
      </c>
      <c r="G417" t="s">
        <v>16</v>
      </c>
      <c r="H417" s="1">
        <v>45267</v>
      </c>
      <c r="I417" s="4">
        <v>50794.54</v>
      </c>
      <c r="J417" t="s">
        <v>231</v>
      </c>
      <c r="K417">
        <v>-425488213</v>
      </c>
      <c r="L417" t="s">
        <v>33</v>
      </c>
      <c r="M417" t="b">
        <v>1</v>
      </c>
      <c r="N417">
        <v>2539.7270000000003</v>
      </c>
    </row>
    <row r="418" spans="1:14" x14ac:dyDescent="0.25">
      <c r="A418" t="s">
        <v>963</v>
      </c>
      <c r="B418" t="s">
        <v>40</v>
      </c>
      <c r="C418" t="s">
        <v>28</v>
      </c>
      <c r="E418" s="4" t="s">
        <v>2145</v>
      </c>
      <c r="F418" s="4" t="s">
        <v>2142</v>
      </c>
      <c r="G418" t="s">
        <v>36</v>
      </c>
      <c r="H418" s="1">
        <v>44172</v>
      </c>
      <c r="I418" s="4">
        <v>76030.86</v>
      </c>
      <c r="J418" t="s">
        <v>53</v>
      </c>
      <c r="K418">
        <v>-2369143074</v>
      </c>
      <c r="L418" t="s">
        <v>33</v>
      </c>
      <c r="M418" t="b">
        <v>1</v>
      </c>
      <c r="N418">
        <v>3801.5430000000001</v>
      </c>
    </row>
    <row r="419" spans="1:14" x14ac:dyDescent="0.25">
      <c r="A419" t="s">
        <v>965</v>
      </c>
      <c r="B419" t="s">
        <v>35</v>
      </c>
      <c r="C419" t="s">
        <v>62</v>
      </c>
      <c r="D419">
        <v>25</v>
      </c>
      <c r="E419" s="4" t="s">
        <v>2143</v>
      </c>
      <c r="F419" s="4" t="s">
        <v>2138</v>
      </c>
      <c r="G419" t="s">
        <v>36</v>
      </c>
      <c r="H419" s="1">
        <v>44388</v>
      </c>
      <c r="I419" s="4">
        <v>86669.79</v>
      </c>
      <c r="J419" t="s">
        <v>380</v>
      </c>
      <c r="K419">
        <v>-3666144941</v>
      </c>
      <c r="L419" t="s">
        <v>25</v>
      </c>
      <c r="M419" t="b">
        <v>1</v>
      </c>
      <c r="N419">
        <v>8666.9789999999994</v>
      </c>
    </row>
    <row r="420" spans="1:14" x14ac:dyDescent="0.25">
      <c r="A420" t="s">
        <v>967</v>
      </c>
      <c r="B420" t="s">
        <v>13</v>
      </c>
      <c r="C420" t="s">
        <v>47</v>
      </c>
      <c r="D420">
        <v>40</v>
      </c>
      <c r="E420" s="4" t="s">
        <v>2139</v>
      </c>
      <c r="F420" s="4" t="s">
        <v>2148</v>
      </c>
      <c r="G420" t="s">
        <v>36</v>
      </c>
      <c r="H420" s="1">
        <v>43944</v>
      </c>
      <c r="I420" s="4">
        <v>84972.7</v>
      </c>
      <c r="J420" t="s">
        <v>180</v>
      </c>
      <c r="K420">
        <v>-9659234267</v>
      </c>
      <c r="L420" t="s">
        <v>45</v>
      </c>
      <c r="M420" t="b">
        <v>1</v>
      </c>
      <c r="N420">
        <v>0</v>
      </c>
    </row>
    <row r="421" spans="1:14" x14ac:dyDescent="0.25">
      <c r="A421" t="s">
        <v>969</v>
      </c>
      <c r="B421" t="s">
        <v>40</v>
      </c>
      <c r="C421" t="s">
        <v>106</v>
      </c>
      <c r="D421">
        <v>30</v>
      </c>
      <c r="E421" s="4" t="s">
        <v>2147</v>
      </c>
      <c r="F421" s="4" t="s">
        <v>2140</v>
      </c>
      <c r="G421" t="s">
        <v>30</v>
      </c>
      <c r="H421" s="1">
        <v>45211</v>
      </c>
      <c r="I421" s="4">
        <v>100594.49</v>
      </c>
      <c r="J421" t="s">
        <v>128</v>
      </c>
      <c r="K421">
        <v>-3441497825</v>
      </c>
      <c r="L421" t="s">
        <v>19</v>
      </c>
      <c r="M421" t="b">
        <v>0</v>
      </c>
      <c r="N421">
        <v>2011.8898000000002</v>
      </c>
    </row>
    <row r="422" spans="1:14" x14ac:dyDescent="0.25">
      <c r="A422" t="s">
        <v>971</v>
      </c>
      <c r="B422" t="s">
        <v>27</v>
      </c>
      <c r="C422" t="s">
        <v>62</v>
      </c>
      <c r="D422">
        <v>25</v>
      </c>
      <c r="E422" s="4" t="s">
        <v>2143</v>
      </c>
      <c r="F422" s="4" t="s">
        <v>2146</v>
      </c>
      <c r="G422" t="s">
        <v>16</v>
      </c>
      <c r="H422" s="1">
        <v>44797</v>
      </c>
      <c r="I422" s="4">
        <v>75478.350000000006</v>
      </c>
      <c r="J422" t="s">
        <v>177</v>
      </c>
      <c r="K422">
        <v>-6128758574</v>
      </c>
      <c r="L422" t="s">
        <v>25</v>
      </c>
      <c r="M422" t="b">
        <v>0</v>
      </c>
      <c r="N422">
        <v>7547.8350000000009</v>
      </c>
    </row>
    <row r="423" spans="1:14" x14ac:dyDescent="0.25">
      <c r="A423" t="s">
        <v>973</v>
      </c>
      <c r="B423" t="s">
        <v>61</v>
      </c>
      <c r="C423" t="s">
        <v>62</v>
      </c>
      <c r="D423">
        <v>25</v>
      </c>
      <c r="E423" s="4" t="s">
        <v>2145</v>
      </c>
      <c r="F423" s="4" t="s">
        <v>2142</v>
      </c>
      <c r="G423" t="s">
        <v>30</v>
      </c>
      <c r="H423" s="1">
        <v>45173</v>
      </c>
      <c r="I423" s="4">
        <v>79355.850000000006</v>
      </c>
      <c r="J423" t="s">
        <v>65</v>
      </c>
      <c r="K423">
        <v>-6766708060</v>
      </c>
      <c r="L423" t="s">
        <v>33</v>
      </c>
      <c r="M423" t="b">
        <v>0</v>
      </c>
      <c r="N423">
        <v>3967.7925000000005</v>
      </c>
    </row>
    <row r="424" spans="1:14" x14ac:dyDescent="0.25">
      <c r="A424" t="s">
        <v>975</v>
      </c>
      <c r="B424" t="s">
        <v>80</v>
      </c>
      <c r="C424" t="s">
        <v>106</v>
      </c>
      <c r="D424">
        <v>35</v>
      </c>
      <c r="E424" s="4" t="s">
        <v>2147</v>
      </c>
      <c r="F424" s="4" t="s">
        <v>2140</v>
      </c>
      <c r="G424" t="s">
        <v>30</v>
      </c>
      <c r="H424" s="1">
        <v>44594</v>
      </c>
      <c r="I424" s="4">
        <v>58358.07</v>
      </c>
      <c r="J424" t="s">
        <v>197</v>
      </c>
      <c r="K424">
        <v>-2943985297</v>
      </c>
      <c r="L424" t="s">
        <v>45</v>
      </c>
      <c r="M424" t="b">
        <v>1</v>
      </c>
      <c r="N424">
        <v>0</v>
      </c>
    </row>
    <row r="425" spans="1:14" x14ac:dyDescent="0.25">
      <c r="A425" t="s">
        <v>977</v>
      </c>
      <c r="B425" t="s">
        <v>27</v>
      </c>
      <c r="C425" t="s">
        <v>41</v>
      </c>
      <c r="D425">
        <v>30</v>
      </c>
      <c r="E425" s="4" t="s">
        <v>2141</v>
      </c>
      <c r="F425" s="4" t="s">
        <v>2148</v>
      </c>
      <c r="G425" t="s">
        <v>16</v>
      </c>
      <c r="H425" s="1">
        <v>44652</v>
      </c>
      <c r="I425" s="4">
        <v>54824.85</v>
      </c>
      <c r="J425" t="s">
        <v>431</v>
      </c>
      <c r="K425">
        <v>-9406260786</v>
      </c>
      <c r="L425" t="s">
        <v>19</v>
      </c>
      <c r="M425" t="b">
        <v>0</v>
      </c>
      <c r="N425">
        <v>1096.4970000000001</v>
      </c>
    </row>
    <row r="426" spans="1:14" x14ac:dyDescent="0.25">
      <c r="A426" t="s">
        <v>979</v>
      </c>
      <c r="B426" t="s">
        <v>35</v>
      </c>
      <c r="C426" t="s">
        <v>47</v>
      </c>
      <c r="D426">
        <v>35</v>
      </c>
      <c r="E426" s="4" t="s">
        <v>2147</v>
      </c>
      <c r="F426" s="4" t="s">
        <v>2140</v>
      </c>
      <c r="G426" t="s">
        <v>30</v>
      </c>
      <c r="H426" s="1">
        <v>44766</v>
      </c>
      <c r="I426" s="4">
        <v>50557.84</v>
      </c>
      <c r="J426" t="s">
        <v>346</v>
      </c>
      <c r="K426">
        <v>-104159148</v>
      </c>
      <c r="L426" t="s">
        <v>19</v>
      </c>
      <c r="M426" t="b">
        <v>1</v>
      </c>
      <c r="N426">
        <v>1011.1568</v>
      </c>
    </row>
    <row r="427" spans="1:14" x14ac:dyDescent="0.25">
      <c r="A427" t="s">
        <v>981</v>
      </c>
      <c r="B427" t="s">
        <v>35</v>
      </c>
      <c r="C427" t="s">
        <v>28</v>
      </c>
      <c r="E427" s="4" t="s">
        <v>2141</v>
      </c>
      <c r="F427" s="4" t="s">
        <v>2144</v>
      </c>
      <c r="G427" t="s">
        <v>36</v>
      </c>
      <c r="H427" s="1">
        <v>45042</v>
      </c>
      <c r="I427" s="4">
        <v>118030.04</v>
      </c>
      <c r="J427" t="s">
        <v>323</v>
      </c>
      <c r="K427">
        <v>-7501980381</v>
      </c>
      <c r="L427" t="s">
        <v>25</v>
      </c>
      <c r="M427" t="b">
        <v>1</v>
      </c>
      <c r="N427">
        <v>11803.004000000001</v>
      </c>
    </row>
    <row r="428" spans="1:14" x14ac:dyDescent="0.25">
      <c r="A428" t="s">
        <v>983</v>
      </c>
      <c r="B428" t="s">
        <v>67</v>
      </c>
      <c r="C428" t="s">
        <v>142</v>
      </c>
      <c r="E428" s="4" t="s">
        <v>2141</v>
      </c>
      <c r="F428" s="4" t="s">
        <v>2146</v>
      </c>
      <c r="G428" t="s">
        <v>16</v>
      </c>
      <c r="H428" s="1">
        <v>44670</v>
      </c>
      <c r="I428" s="4">
        <v>51673.72</v>
      </c>
      <c r="J428" t="s">
        <v>402</v>
      </c>
      <c r="K428">
        <v>-8723244078</v>
      </c>
      <c r="L428" t="s">
        <v>45</v>
      </c>
      <c r="M428" t="b">
        <v>0</v>
      </c>
      <c r="N428">
        <v>0</v>
      </c>
    </row>
    <row r="429" spans="1:14" x14ac:dyDescent="0.25">
      <c r="A429" t="s">
        <v>985</v>
      </c>
      <c r="B429" t="s">
        <v>27</v>
      </c>
      <c r="C429" t="s">
        <v>21</v>
      </c>
      <c r="D429">
        <v>35</v>
      </c>
      <c r="E429" s="4" t="s">
        <v>2143</v>
      </c>
      <c r="F429" s="4" t="s">
        <v>2142</v>
      </c>
      <c r="G429" t="s">
        <v>36</v>
      </c>
      <c r="H429" s="1">
        <v>45569</v>
      </c>
      <c r="I429" s="4">
        <v>101665.79</v>
      </c>
      <c r="J429" t="s">
        <v>93</v>
      </c>
      <c r="K429">
        <v>-3110291812</v>
      </c>
      <c r="L429" t="s">
        <v>45</v>
      </c>
      <c r="M429" t="b">
        <v>1</v>
      </c>
      <c r="N429">
        <v>0</v>
      </c>
    </row>
    <row r="430" spans="1:14" x14ac:dyDescent="0.25">
      <c r="A430" t="s">
        <v>987</v>
      </c>
      <c r="B430" t="s">
        <v>67</v>
      </c>
      <c r="C430" t="s">
        <v>142</v>
      </c>
      <c r="E430" s="4" t="s">
        <v>2141</v>
      </c>
      <c r="F430" s="4" t="s">
        <v>2144</v>
      </c>
      <c r="G430" t="s">
        <v>36</v>
      </c>
      <c r="H430" s="1">
        <v>43953</v>
      </c>
      <c r="I430" s="4">
        <v>118079.15</v>
      </c>
      <c r="J430" t="s">
        <v>402</v>
      </c>
      <c r="K430">
        <v>-3170876013</v>
      </c>
      <c r="L430" t="s">
        <v>33</v>
      </c>
      <c r="M430" t="b">
        <v>1</v>
      </c>
      <c r="N430">
        <v>5903.9575000000004</v>
      </c>
    </row>
    <row r="431" spans="1:14" x14ac:dyDescent="0.25">
      <c r="A431" t="s">
        <v>989</v>
      </c>
      <c r="B431" t="s">
        <v>35</v>
      </c>
      <c r="C431" t="s">
        <v>21</v>
      </c>
      <c r="D431">
        <v>25</v>
      </c>
      <c r="E431" s="4" t="s">
        <v>2143</v>
      </c>
      <c r="F431" s="4" t="s">
        <v>2146</v>
      </c>
      <c r="G431" t="s">
        <v>30</v>
      </c>
      <c r="H431" s="1">
        <v>44676</v>
      </c>
      <c r="I431" s="4">
        <v>99059.28</v>
      </c>
      <c r="J431" t="s">
        <v>183</v>
      </c>
      <c r="K431">
        <v>-6723849790</v>
      </c>
      <c r="L431" t="s">
        <v>45</v>
      </c>
      <c r="M431" t="b">
        <v>0</v>
      </c>
      <c r="N431">
        <v>0</v>
      </c>
    </row>
    <row r="432" spans="1:14" x14ac:dyDescent="0.25">
      <c r="A432" t="s">
        <v>991</v>
      </c>
      <c r="B432" t="s">
        <v>13</v>
      </c>
      <c r="C432" t="s">
        <v>142</v>
      </c>
      <c r="E432" s="4" t="s">
        <v>2143</v>
      </c>
      <c r="F432" s="4" t="s">
        <v>2148</v>
      </c>
      <c r="G432" t="s">
        <v>16</v>
      </c>
      <c r="H432" s="1">
        <v>45136</v>
      </c>
      <c r="I432" s="4">
        <v>107397.4</v>
      </c>
      <c r="J432" t="s">
        <v>144</v>
      </c>
      <c r="K432">
        <v>-6202232882</v>
      </c>
      <c r="L432" t="s">
        <v>45</v>
      </c>
      <c r="M432" t="b">
        <v>0</v>
      </c>
      <c r="N432">
        <v>0</v>
      </c>
    </row>
    <row r="433" spans="1:14" x14ac:dyDescent="0.25">
      <c r="A433" t="s">
        <v>993</v>
      </c>
      <c r="B433" t="s">
        <v>27</v>
      </c>
      <c r="C433" t="s">
        <v>106</v>
      </c>
      <c r="D433">
        <v>40</v>
      </c>
      <c r="E433" s="4" t="s">
        <v>2137</v>
      </c>
      <c r="F433" s="4" t="s">
        <v>2146</v>
      </c>
      <c r="G433" t="s">
        <v>16</v>
      </c>
      <c r="H433" s="1">
        <v>44428</v>
      </c>
      <c r="I433" s="4">
        <v>68269.37</v>
      </c>
      <c r="J433" t="s">
        <v>194</v>
      </c>
      <c r="K433">
        <v>-7744197545</v>
      </c>
      <c r="L433" t="s">
        <v>25</v>
      </c>
      <c r="M433" t="b">
        <v>0</v>
      </c>
      <c r="N433">
        <v>6826.9369999999999</v>
      </c>
    </row>
    <row r="434" spans="1:14" x14ac:dyDescent="0.25">
      <c r="A434" t="s">
        <v>995</v>
      </c>
      <c r="B434" t="s">
        <v>80</v>
      </c>
      <c r="C434" t="s">
        <v>28</v>
      </c>
      <c r="D434">
        <v>35</v>
      </c>
      <c r="E434" s="4" t="s">
        <v>2147</v>
      </c>
      <c r="F434" s="4" t="s">
        <v>2144</v>
      </c>
      <c r="G434" t="s">
        <v>36</v>
      </c>
      <c r="H434" s="1">
        <v>44309</v>
      </c>
      <c r="I434" s="4">
        <v>55228.12</v>
      </c>
      <c r="J434" t="s">
        <v>89</v>
      </c>
      <c r="K434">
        <v>-6176620470</v>
      </c>
      <c r="L434" t="s">
        <v>45</v>
      </c>
      <c r="M434" t="b">
        <v>1</v>
      </c>
      <c r="N434">
        <v>0</v>
      </c>
    </row>
    <row r="435" spans="1:14" x14ac:dyDescent="0.25">
      <c r="A435" t="s">
        <v>997</v>
      </c>
      <c r="B435" t="s">
        <v>13</v>
      </c>
      <c r="C435" t="s">
        <v>47</v>
      </c>
      <c r="D435">
        <v>30</v>
      </c>
      <c r="E435" s="4" t="s">
        <v>2143</v>
      </c>
      <c r="F435" s="4" t="s">
        <v>2146</v>
      </c>
      <c r="G435" t="s">
        <v>36</v>
      </c>
      <c r="H435" s="1">
        <v>44785</v>
      </c>
      <c r="I435" s="4">
        <v>71982.33</v>
      </c>
      <c r="J435" t="s">
        <v>180</v>
      </c>
      <c r="K435">
        <v>-9609409704</v>
      </c>
      <c r="L435" t="s">
        <v>19</v>
      </c>
      <c r="M435" t="b">
        <v>0</v>
      </c>
      <c r="N435">
        <v>1439.6466</v>
      </c>
    </row>
    <row r="436" spans="1:14" x14ac:dyDescent="0.25">
      <c r="A436" t="s">
        <v>999</v>
      </c>
      <c r="B436" t="s">
        <v>40</v>
      </c>
      <c r="C436" t="s">
        <v>21</v>
      </c>
      <c r="D436">
        <v>30</v>
      </c>
      <c r="E436" s="4" t="s">
        <v>2139</v>
      </c>
      <c r="F436" s="4" t="s">
        <v>2138</v>
      </c>
      <c r="G436" t="s">
        <v>36</v>
      </c>
      <c r="H436" s="1">
        <v>44373</v>
      </c>
      <c r="I436" s="4">
        <v>109673.75</v>
      </c>
      <c r="J436" t="s">
        <v>280</v>
      </c>
      <c r="K436">
        <v>-2774025882</v>
      </c>
      <c r="L436" t="s">
        <v>25</v>
      </c>
      <c r="M436" t="b">
        <v>0</v>
      </c>
      <c r="N436">
        <v>10967.375</v>
      </c>
    </row>
    <row r="437" spans="1:14" x14ac:dyDescent="0.25">
      <c r="A437" t="s">
        <v>1001</v>
      </c>
      <c r="B437" t="s">
        <v>35</v>
      </c>
      <c r="C437" t="s">
        <v>47</v>
      </c>
      <c r="E437" s="4" t="s">
        <v>2143</v>
      </c>
      <c r="F437" s="4" t="s">
        <v>2146</v>
      </c>
      <c r="G437" t="s">
        <v>36</v>
      </c>
      <c r="H437" s="1">
        <v>44134</v>
      </c>
      <c r="I437" s="4">
        <v>56384.9</v>
      </c>
      <c r="J437" t="s">
        <v>346</v>
      </c>
      <c r="K437">
        <v>-5868122594</v>
      </c>
      <c r="L437" t="s">
        <v>25</v>
      </c>
      <c r="M437" t="b">
        <v>1</v>
      </c>
      <c r="N437">
        <v>5638.4900000000007</v>
      </c>
    </row>
    <row r="438" spans="1:14" x14ac:dyDescent="0.25">
      <c r="A438" t="s">
        <v>1003</v>
      </c>
      <c r="B438" t="s">
        <v>40</v>
      </c>
      <c r="C438" t="s">
        <v>47</v>
      </c>
      <c r="D438">
        <v>40</v>
      </c>
      <c r="E438" s="4" t="s">
        <v>2145</v>
      </c>
      <c r="F438" s="4" t="s">
        <v>2140</v>
      </c>
      <c r="G438" t="s">
        <v>30</v>
      </c>
      <c r="H438" s="1">
        <v>44443</v>
      </c>
      <c r="I438" s="4">
        <v>68211.679999999993</v>
      </c>
      <c r="J438" t="s">
        <v>214</v>
      </c>
      <c r="K438">
        <v>-7244617678</v>
      </c>
      <c r="L438" t="s">
        <v>33</v>
      </c>
      <c r="M438" t="b">
        <v>0</v>
      </c>
      <c r="N438">
        <v>3410.5839999999998</v>
      </c>
    </row>
    <row r="439" spans="1:14" x14ac:dyDescent="0.25">
      <c r="A439" t="s">
        <v>1005</v>
      </c>
      <c r="B439" t="s">
        <v>27</v>
      </c>
      <c r="C439" t="s">
        <v>47</v>
      </c>
      <c r="D439">
        <v>40</v>
      </c>
      <c r="E439" s="4" t="s">
        <v>2139</v>
      </c>
      <c r="F439" s="4" t="s">
        <v>2148</v>
      </c>
      <c r="G439" t="s">
        <v>30</v>
      </c>
      <c r="H439" s="1">
        <v>44957</v>
      </c>
      <c r="I439" s="4">
        <v>67489.679999999993</v>
      </c>
      <c r="J439" t="s">
        <v>50</v>
      </c>
      <c r="K439">
        <v>-2988425994</v>
      </c>
      <c r="L439" t="s">
        <v>45</v>
      </c>
      <c r="M439" t="b">
        <v>0</v>
      </c>
      <c r="N439">
        <v>0</v>
      </c>
    </row>
    <row r="440" spans="1:14" x14ac:dyDescent="0.25">
      <c r="A440" t="s">
        <v>1007</v>
      </c>
      <c r="B440" t="s">
        <v>61</v>
      </c>
      <c r="C440" t="s">
        <v>14</v>
      </c>
      <c r="D440">
        <v>25</v>
      </c>
      <c r="E440" s="4" t="s">
        <v>2143</v>
      </c>
      <c r="F440" s="4" t="s">
        <v>2140</v>
      </c>
      <c r="G440" t="s">
        <v>16</v>
      </c>
      <c r="H440" s="1">
        <v>44098</v>
      </c>
      <c r="I440" s="4">
        <v>63869.31</v>
      </c>
      <c r="J440" t="s">
        <v>200</v>
      </c>
      <c r="K440">
        <v>-9961002310</v>
      </c>
      <c r="L440" t="s">
        <v>33</v>
      </c>
      <c r="M440" t="b">
        <v>0</v>
      </c>
      <c r="N440">
        <v>3193.4655000000002</v>
      </c>
    </row>
    <row r="441" spans="1:14" x14ac:dyDescent="0.25">
      <c r="A441" t="s">
        <v>1009</v>
      </c>
      <c r="B441" t="s">
        <v>13</v>
      </c>
      <c r="C441" t="s">
        <v>41</v>
      </c>
      <c r="E441" s="4" t="s">
        <v>2145</v>
      </c>
      <c r="F441" s="4" t="s">
        <v>2138</v>
      </c>
      <c r="G441" t="s">
        <v>16</v>
      </c>
      <c r="H441" s="1">
        <v>43875</v>
      </c>
      <c r="I441" s="4">
        <v>119801.3</v>
      </c>
      <c r="J441" t="s">
        <v>170</v>
      </c>
      <c r="K441">
        <v>-7753312660</v>
      </c>
      <c r="L441" t="s">
        <v>19</v>
      </c>
      <c r="M441" t="b">
        <v>1</v>
      </c>
      <c r="N441">
        <v>2396.0260000000003</v>
      </c>
    </row>
    <row r="442" spans="1:14" x14ac:dyDescent="0.25">
      <c r="A442" t="s">
        <v>1011</v>
      </c>
      <c r="B442" t="s">
        <v>75</v>
      </c>
      <c r="C442" t="s">
        <v>142</v>
      </c>
      <c r="D442">
        <v>30</v>
      </c>
      <c r="E442" s="4" t="s">
        <v>2143</v>
      </c>
      <c r="F442" s="4" t="s">
        <v>2138</v>
      </c>
      <c r="G442" t="s">
        <v>16</v>
      </c>
      <c r="H442" s="1">
        <v>43918</v>
      </c>
      <c r="I442" s="4">
        <v>115959.65</v>
      </c>
      <c r="J442" t="s">
        <v>436</v>
      </c>
      <c r="K442">
        <v>-941017589</v>
      </c>
      <c r="L442" t="s">
        <v>25</v>
      </c>
      <c r="M442" t="b">
        <v>1</v>
      </c>
      <c r="N442">
        <v>11595.965</v>
      </c>
    </row>
    <row r="443" spans="1:14" x14ac:dyDescent="0.25">
      <c r="A443" t="s">
        <v>1013</v>
      </c>
      <c r="B443" t="s">
        <v>80</v>
      </c>
      <c r="C443" t="s">
        <v>47</v>
      </c>
      <c r="D443">
        <v>40</v>
      </c>
      <c r="E443" s="4" t="s">
        <v>2139</v>
      </c>
      <c r="F443" s="4" t="s">
        <v>2140</v>
      </c>
      <c r="G443" t="s">
        <v>36</v>
      </c>
      <c r="H443" s="1">
        <v>45230</v>
      </c>
      <c r="I443" s="4">
        <v>79866.48</v>
      </c>
      <c r="J443" t="s">
        <v>96</v>
      </c>
      <c r="K443">
        <v>-2517629832</v>
      </c>
      <c r="L443" t="s">
        <v>25</v>
      </c>
      <c r="M443" t="b">
        <v>1</v>
      </c>
      <c r="N443">
        <v>7986.6480000000001</v>
      </c>
    </row>
    <row r="444" spans="1:14" x14ac:dyDescent="0.25">
      <c r="A444" t="s">
        <v>1015</v>
      </c>
      <c r="B444" t="s">
        <v>61</v>
      </c>
      <c r="C444" t="s">
        <v>142</v>
      </c>
      <c r="D444">
        <v>35</v>
      </c>
      <c r="E444" s="4" t="s">
        <v>2147</v>
      </c>
      <c r="F444" s="4" t="s">
        <v>2144</v>
      </c>
      <c r="G444" t="s">
        <v>16</v>
      </c>
      <c r="H444" s="1">
        <v>43901</v>
      </c>
      <c r="I444" s="4">
        <v>92987.46</v>
      </c>
      <c r="J444" t="s">
        <v>231</v>
      </c>
      <c r="K444">
        <v>-4774332682</v>
      </c>
      <c r="L444" t="s">
        <v>25</v>
      </c>
      <c r="M444" t="b">
        <v>1</v>
      </c>
      <c r="N444">
        <v>9298.746000000001</v>
      </c>
    </row>
    <row r="445" spans="1:14" x14ac:dyDescent="0.25">
      <c r="A445" t="s">
        <v>1017</v>
      </c>
      <c r="B445" t="s">
        <v>35</v>
      </c>
      <c r="C445" t="s">
        <v>47</v>
      </c>
      <c r="D445">
        <v>40</v>
      </c>
      <c r="E445" s="4" t="s">
        <v>2139</v>
      </c>
      <c r="F445" s="4" t="s">
        <v>2148</v>
      </c>
      <c r="G445" t="s">
        <v>36</v>
      </c>
      <c r="H445" s="1">
        <v>43955</v>
      </c>
      <c r="I445" s="4">
        <v>56140.51</v>
      </c>
      <c r="J445" t="s">
        <v>346</v>
      </c>
      <c r="K445">
        <v>-1901302055</v>
      </c>
      <c r="L445" t="s">
        <v>19</v>
      </c>
      <c r="M445" t="b">
        <v>0</v>
      </c>
      <c r="N445">
        <v>1122.8102000000001</v>
      </c>
    </row>
    <row r="446" spans="1:14" x14ac:dyDescent="0.25">
      <c r="A446" t="s">
        <v>1019</v>
      </c>
      <c r="B446" t="s">
        <v>80</v>
      </c>
      <c r="C446" t="s">
        <v>21</v>
      </c>
      <c r="D446">
        <v>30</v>
      </c>
      <c r="E446" s="4" t="s">
        <v>2137</v>
      </c>
      <c r="F446" s="4" t="s">
        <v>2148</v>
      </c>
      <c r="G446" t="s">
        <v>16</v>
      </c>
      <c r="H446" s="1">
        <v>45122</v>
      </c>
      <c r="I446" s="4">
        <v>119586.11</v>
      </c>
      <c r="J446" t="s">
        <v>240</v>
      </c>
      <c r="K446">
        <v>-9815287338</v>
      </c>
      <c r="L446" t="s">
        <v>19</v>
      </c>
      <c r="M446" t="b">
        <v>1</v>
      </c>
      <c r="N446">
        <v>2391.7222000000002</v>
      </c>
    </row>
    <row r="447" spans="1:14" x14ac:dyDescent="0.25">
      <c r="A447" t="s">
        <v>1021</v>
      </c>
      <c r="B447" t="s">
        <v>27</v>
      </c>
      <c r="C447" t="s">
        <v>41</v>
      </c>
      <c r="D447">
        <v>40</v>
      </c>
      <c r="E447" s="4" t="s">
        <v>2137</v>
      </c>
      <c r="F447" s="4" t="s">
        <v>2138</v>
      </c>
      <c r="G447" t="s">
        <v>36</v>
      </c>
      <c r="H447" s="1">
        <v>44946</v>
      </c>
      <c r="I447" s="4">
        <v>104700.46</v>
      </c>
      <c r="J447" t="s">
        <v>431</v>
      </c>
      <c r="K447">
        <v>-7855982175</v>
      </c>
      <c r="L447" t="s">
        <v>33</v>
      </c>
      <c r="M447" t="b">
        <v>1</v>
      </c>
      <c r="N447">
        <v>5235.023000000001</v>
      </c>
    </row>
    <row r="448" spans="1:14" x14ac:dyDescent="0.25">
      <c r="A448" t="s">
        <v>1023</v>
      </c>
      <c r="B448" t="s">
        <v>40</v>
      </c>
      <c r="C448" t="s">
        <v>41</v>
      </c>
      <c r="D448">
        <v>40</v>
      </c>
      <c r="E448" s="4" t="s">
        <v>2147</v>
      </c>
      <c r="F448" s="4" t="s">
        <v>2146</v>
      </c>
      <c r="G448" t="s">
        <v>16</v>
      </c>
      <c r="H448" s="1">
        <v>44484</v>
      </c>
      <c r="I448" s="4">
        <v>91798.14</v>
      </c>
      <c r="J448" t="s">
        <v>44</v>
      </c>
      <c r="K448">
        <v>-6191284116</v>
      </c>
      <c r="L448" t="s">
        <v>33</v>
      </c>
      <c r="M448" t="b">
        <v>0</v>
      </c>
      <c r="N448">
        <v>4589.9070000000002</v>
      </c>
    </row>
    <row r="449" spans="1:14" x14ac:dyDescent="0.25">
      <c r="A449" t="s">
        <v>1025</v>
      </c>
      <c r="B449" t="s">
        <v>35</v>
      </c>
      <c r="C449" t="s">
        <v>106</v>
      </c>
      <c r="D449">
        <v>25</v>
      </c>
      <c r="E449" s="4" t="s">
        <v>2139</v>
      </c>
      <c r="F449" s="4" t="s">
        <v>2148</v>
      </c>
      <c r="G449" t="s">
        <v>36</v>
      </c>
      <c r="H449" s="1">
        <v>45401</v>
      </c>
      <c r="I449" s="4">
        <v>90879.22</v>
      </c>
      <c r="J449" t="s">
        <v>307</v>
      </c>
      <c r="K449">
        <v>-3098503445</v>
      </c>
      <c r="L449" t="s">
        <v>33</v>
      </c>
      <c r="M449" t="b">
        <v>0</v>
      </c>
      <c r="N449">
        <v>4543.9610000000002</v>
      </c>
    </row>
    <row r="450" spans="1:14" x14ac:dyDescent="0.25">
      <c r="A450" t="s">
        <v>1027</v>
      </c>
      <c r="B450" t="s">
        <v>61</v>
      </c>
      <c r="C450" t="s">
        <v>14</v>
      </c>
      <c r="D450">
        <v>25</v>
      </c>
      <c r="E450" s="4" t="s">
        <v>2141</v>
      </c>
      <c r="F450" s="4" t="s">
        <v>2142</v>
      </c>
      <c r="G450" t="s">
        <v>16</v>
      </c>
      <c r="H450" s="1">
        <v>44376</v>
      </c>
      <c r="I450" s="4">
        <v>87358.27</v>
      </c>
      <c r="J450" t="s">
        <v>200</v>
      </c>
      <c r="K450">
        <v>-5124189388</v>
      </c>
      <c r="L450" t="s">
        <v>45</v>
      </c>
      <c r="M450" t="b">
        <v>0</v>
      </c>
      <c r="N450">
        <v>0</v>
      </c>
    </row>
    <row r="451" spans="1:14" x14ac:dyDescent="0.25">
      <c r="A451" t="s">
        <v>1029</v>
      </c>
      <c r="B451" t="s">
        <v>27</v>
      </c>
      <c r="C451" t="s">
        <v>106</v>
      </c>
      <c r="D451">
        <v>30</v>
      </c>
      <c r="E451" s="4" t="s">
        <v>2145</v>
      </c>
      <c r="F451" s="4" t="s">
        <v>2144</v>
      </c>
      <c r="G451" t="s">
        <v>36</v>
      </c>
      <c r="H451" s="1">
        <v>45549</v>
      </c>
      <c r="I451" s="4">
        <v>119407.93</v>
      </c>
      <c r="J451" t="s">
        <v>194</v>
      </c>
      <c r="K451">
        <v>-8469081973</v>
      </c>
      <c r="L451" t="s">
        <v>25</v>
      </c>
      <c r="M451" t="b">
        <v>1</v>
      </c>
      <c r="N451">
        <v>11940.793</v>
      </c>
    </row>
    <row r="452" spans="1:14" x14ac:dyDescent="0.25">
      <c r="A452" t="s">
        <v>1031</v>
      </c>
      <c r="B452" t="s">
        <v>67</v>
      </c>
      <c r="C452" t="s">
        <v>106</v>
      </c>
      <c r="E452" s="4" t="s">
        <v>2147</v>
      </c>
      <c r="F452" s="4" t="s">
        <v>2142</v>
      </c>
      <c r="G452" t="s">
        <v>30</v>
      </c>
      <c r="H452" s="1">
        <v>44565</v>
      </c>
      <c r="I452" s="4">
        <v>113978.6</v>
      </c>
      <c r="J452" t="s">
        <v>124</v>
      </c>
      <c r="K452">
        <v>-56435022</v>
      </c>
      <c r="L452" t="s">
        <v>25</v>
      </c>
      <c r="M452" t="b">
        <v>1</v>
      </c>
      <c r="N452">
        <v>11397.86</v>
      </c>
    </row>
    <row r="453" spans="1:14" x14ac:dyDescent="0.25">
      <c r="A453" t="s">
        <v>1033</v>
      </c>
      <c r="B453" t="s">
        <v>40</v>
      </c>
      <c r="C453" t="s">
        <v>106</v>
      </c>
      <c r="E453" s="4" t="s">
        <v>2145</v>
      </c>
      <c r="F453" s="4" t="s">
        <v>2146</v>
      </c>
      <c r="G453" t="s">
        <v>30</v>
      </c>
      <c r="H453" s="1">
        <v>44216</v>
      </c>
      <c r="I453" s="4">
        <v>108568.78</v>
      </c>
      <c r="J453" t="s">
        <v>128</v>
      </c>
      <c r="K453">
        <v>-8503719904</v>
      </c>
      <c r="L453" t="s">
        <v>33</v>
      </c>
      <c r="M453" t="b">
        <v>1</v>
      </c>
      <c r="N453">
        <v>5428.4390000000003</v>
      </c>
    </row>
    <row r="454" spans="1:14" x14ac:dyDescent="0.25">
      <c r="A454" t="s">
        <v>1035</v>
      </c>
      <c r="B454" t="s">
        <v>75</v>
      </c>
      <c r="C454" t="s">
        <v>106</v>
      </c>
      <c r="E454" s="4" t="s">
        <v>2147</v>
      </c>
      <c r="F454" s="4" t="s">
        <v>2146</v>
      </c>
      <c r="G454" t="s">
        <v>36</v>
      </c>
      <c r="H454" s="1">
        <v>43908</v>
      </c>
      <c r="I454" s="4">
        <v>56318.02</v>
      </c>
      <c r="J454" t="s">
        <v>153</v>
      </c>
      <c r="K454">
        <v>-1699187239</v>
      </c>
      <c r="L454" t="s">
        <v>25</v>
      </c>
      <c r="M454" t="b">
        <v>0</v>
      </c>
      <c r="N454">
        <v>5631.8019999999997</v>
      </c>
    </row>
    <row r="455" spans="1:14" x14ac:dyDescent="0.25">
      <c r="A455" t="s">
        <v>1037</v>
      </c>
      <c r="B455" t="s">
        <v>67</v>
      </c>
      <c r="C455" t="s">
        <v>106</v>
      </c>
      <c r="D455">
        <v>25</v>
      </c>
      <c r="E455" s="4" t="s">
        <v>2145</v>
      </c>
      <c r="F455" s="4" t="s">
        <v>2144</v>
      </c>
      <c r="G455" t="s">
        <v>16</v>
      </c>
      <c r="H455" s="1">
        <v>44510</v>
      </c>
      <c r="I455" s="4">
        <v>114252.73</v>
      </c>
      <c r="J455" t="s">
        <v>124</v>
      </c>
      <c r="K455">
        <v>-1078356742</v>
      </c>
      <c r="L455" t="s">
        <v>33</v>
      </c>
      <c r="M455" t="b">
        <v>0</v>
      </c>
      <c r="N455">
        <v>5712.6365000000005</v>
      </c>
    </row>
    <row r="456" spans="1:14" x14ac:dyDescent="0.25">
      <c r="A456" t="s">
        <v>1039</v>
      </c>
      <c r="B456" t="s">
        <v>61</v>
      </c>
      <c r="C456" t="s">
        <v>28</v>
      </c>
      <c r="D456">
        <v>35</v>
      </c>
      <c r="E456" s="4" t="s">
        <v>2137</v>
      </c>
      <c r="F456" s="4" t="s">
        <v>2146</v>
      </c>
      <c r="G456" t="s">
        <v>36</v>
      </c>
      <c r="H456" s="1">
        <v>43952</v>
      </c>
      <c r="I456" s="4">
        <v>51533.9</v>
      </c>
      <c r="J456" t="s">
        <v>140</v>
      </c>
      <c r="K456">
        <v>-3896086</v>
      </c>
      <c r="L456" t="s">
        <v>45</v>
      </c>
      <c r="M456" t="b">
        <v>1</v>
      </c>
      <c r="N456">
        <v>0</v>
      </c>
    </row>
    <row r="457" spans="1:14" x14ac:dyDescent="0.25">
      <c r="A457" t="s">
        <v>1041</v>
      </c>
      <c r="B457" t="s">
        <v>61</v>
      </c>
      <c r="C457" t="s">
        <v>41</v>
      </c>
      <c r="D457">
        <v>25</v>
      </c>
      <c r="E457" s="4" t="s">
        <v>2145</v>
      </c>
      <c r="F457" s="4" t="s">
        <v>2138</v>
      </c>
      <c r="G457" t="s">
        <v>16</v>
      </c>
      <c r="H457" s="1">
        <v>44596</v>
      </c>
      <c r="I457" s="4">
        <v>99317.66</v>
      </c>
      <c r="J457" t="s">
        <v>104</v>
      </c>
      <c r="K457">
        <v>-662668216</v>
      </c>
      <c r="L457" t="s">
        <v>45</v>
      </c>
      <c r="M457" t="b">
        <v>0</v>
      </c>
      <c r="N457">
        <v>0</v>
      </c>
    </row>
    <row r="458" spans="1:14" x14ac:dyDescent="0.25">
      <c r="A458" t="s">
        <v>1043</v>
      </c>
      <c r="B458" t="s">
        <v>13</v>
      </c>
      <c r="C458" t="s">
        <v>106</v>
      </c>
      <c r="D458">
        <v>35</v>
      </c>
      <c r="E458" s="4" t="s">
        <v>2147</v>
      </c>
      <c r="F458" s="4" t="s">
        <v>2138</v>
      </c>
      <c r="G458" t="s">
        <v>16</v>
      </c>
      <c r="H458" s="1">
        <v>44153</v>
      </c>
      <c r="I458" s="4">
        <v>101264.64</v>
      </c>
      <c r="J458" t="s">
        <v>108</v>
      </c>
      <c r="K458">
        <v>-1955356032</v>
      </c>
      <c r="L458" t="s">
        <v>19</v>
      </c>
      <c r="M458" t="b">
        <v>0</v>
      </c>
      <c r="N458">
        <v>2025.2927999999999</v>
      </c>
    </row>
    <row r="459" spans="1:14" x14ac:dyDescent="0.25">
      <c r="A459" t="s">
        <v>1045</v>
      </c>
      <c r="B459" t="s">
        <v>75</v>
      </c>
      <c r="C459" t="s">
        <v>47</v>
      </c>
      <c r="D459">
        <v>35</v>
      </c>
      <c r="E459" s="4" t="s">
        <v>2141</v>
      </c>
      <c r="F459" s="4" t="s">
        <v>2142</v>
      </c>
      <c r="G459" t="s">
        <v>30</v>
      </c>
      <c r="H459" s="1">
        <v>45251</v>
      </c>
      <c r="I459" s="4">
        <v>112272.02</v>
      </c>
      <c r="J459" t="s">
        <v>300</v>
      </c>
      <c r="K459">
        <v>-1903689002</v>
      </c>
      <c r="L459" t="s">
        <v>45</v>
      </c>
      <c r="M459" t="b">
        <v>0</v>
      </c>
      <c r="N459">
        <v>0</v>
      </c>
    </row>
    <row r="460" spans="1:14" x14ac:dyDescent="0.25">
      <c r="A460" t="s">
        <v>1047</v>
      </c>
      <c r="B460" t="s">
        <v>40</v>
      </c>
      <c r="C460" t="s">
        <v>41</v>
      </c>
      <c r="D460">
        <v>30</v>
      </c>
      <c r="E460" s="4" t="s">
        <v>2137</v>
      </c>
      <c r="F460" s="4" t="s">
        <v>2148</v>
      </c>
      <c r="G460" t="s">
        <v>16</v>
      </c>
      <c r="H460" s="1">
        <v>44605</v>
      </c>
      <c r="I460" s="4">
        <v>71477.63</v>
      </c>
      <c r="J460" t="s">
        <v>44</v>
      </c>
      <c r="K460">
        <v>-102724054</v>
      </c>
      <c r="L460" t="s">
        <v>33</v>
      </c>
      <c r="M460" t="b">
        <v>1</v>
      </c>
      <c r="N460">
        <v>3573.8815000000004</v>
      </c>
    </row>
    <row r="461" spans="1:14" x14ac:dyDescent="0.25">
      <c r="A461" t="s">
        <v>1049</v>
      </c>
      <c r="B461" t="s">
        <v>61</v>
      </c>
      <c r="C461" t="s">
        <v>41</v>
      </c>
      <c r="D461">
        <v>30</v>
      </c>
      <c r="E461" s="4" t="s">
        <v>2137</v>
      </c>
      <c r="F461" s="4" t="s">
        <v>2140</v>
      </c>
      <c r="G461" t="s">
        <v>30</v>
      </c>
      <c r="H461" s="1">
        <v>45004</v>
      </c>
      <c r="I461" s="4">
        <v>77412.100000000006</v>
      </c>
      <c r="J461" t="s">
        <v>104</v>
      </c>
      <c r="K461">
        <v>-9342967110</v>
      </c>
      <c r="L461" t="s">
        <v>45</v>
      </c>
      <c r="M461" t="b">
        <v>0</v>
      </c>
      <c r="N461">
        <v>0</v>
      </c>
    </row>
    <row r="462" spans="1:14" x14ac:dyDescent="0.25">
      <c r="A462" t="s">
        <v>1051</v>
      </c>
      <c r="B462" t="s">
        <v>27</v>
      </c>
      <c r="C462" t="s">
        <v>62</v>
      </c>
      <c r="D462">
        <v>30</v>
      </c>
      <c r="E462" s="4" t="s">
        <v>2145</v>
      </c>
      <c r="F462" s="4" t="s">
        <v>2138</v>
      </c>
      <c r="G462" t="s">
        <v>30</v>
      </c>
      <c r="H462" s="1">
        <v>44283</v>
      </c>
      <c r="I462" s="4">
        <v>94775.27</v>
      </c>
      <c r="J462" t="s">
        <v>177</v>
      </c>
      <c r="K462">
        <v>-4837537457</v>
      </c>
      <c r="L462" t="s">
        <v>19</v>
      </c>
      <c r="M462" t="b">
        <v>0</v>
      </c>
      <c r="N462">
        <v>1895.5054</v>
      </c>
    </row>
    <row r="463" spans="1:14" x14ac:dyDescent="0.25">
      <c r="A463" t="s">
        <v>1053</v>
      </c>
      <c r="B463" t="s">
        <v>75</v>
      </c>
      <c r="C463" t="s">
        <v>28</v>
      </c>
      <c r="D463">
        <v>30</v>
      </c>
      <c r="E463" s="4" t="s">
        <v>2147</v>
      </c>
      <c r="F463" s="4" t="s">
        <v>2142</v>
      </c>
      <c r="G463" t="s">
        <v>16</v>
      </c>
      <c r="H463" s="1">
        <v>44318</v>
      </c>
      <c r="I463" s="4">
        <v>74276.710000000006</v>
      </c>
      <c r="J463" t="s">
        <v>375</v>
      </c>
      <c r="K463">
        <v>-4384588104</v>
      </c>
      <c r="L463" t="s">
        <v>25</v>
      </c>
      <c r="M463" t="b">
        <v>1</v>
      </c>
      <c r="N463">
        <v>7427.6710000000012</v>
      </c>
    </row>
    <row r="464" spans="1:14" x14ac:dyDescent="0.25">
      <c r="A464" t="s">
        <v>1055</v>
      </c>
      <c r="B464" t="s">
        <v>13</v>
      </c>
      <c r="C464" t="s">
        <v>106</v>
      </c>
      <c r="D464">
        <v>35</v>
      </c>
      <c r="E464" s="4" t="s">
        <v>2139</v>
      </c>
      <c r="F464" s="4" t="s">
        <v>2140</v>
      </c>
      <c r="G464" t="s">
        <v>36</v>
      </c>
      <c r="H464" s="1">
        <v>44260</v>
      </c>
      <c r="I464" s="4">
        <v>67467.86</v>
      </c>
      <c r="J464" t="s">
        <v>108</v>
      </c>
      <c r="K464">
        <v>-6974132833</v>
      </c>
      <c r="L464" t="s">
        <v>33</v>
      </c>
      <c r="M464" t="b">
        <v>1</v>
      </c>
      <c r="N464">
        <v>3373.393</v>
      </c>
    </row>
    <row r="465" spans="1:14" x14ac:dyDescent="0.25">
      <c r="A465" t="s">
        <v>1057</v>
      </c>
      <c r="B465" t="s">
        <v>35</v>
      </c>
      <c r="C465" t="s">
        <v>142</v>
      </c>
      <c r="D465">
        <v>25</v>
      </c>
      <c r="E465" s="4" t="s">
        <v>2137</v>
      </c>
      <c r="F465" s="4" t="s">
        <v>2140</v>
      </c>
      <c r="G465" t="s">
        <v>16</v>
      </c>
      <c r="H465" s="1">
        <v>44621</v>
      </c>
      <c r="I465" s="4">
        <v>80675.41</v>
      </c>
      <c r="J465" t="s">
        <v>632</v>
      </c>
      <c r="K465">
        <v>-8315203770</v>
      </c>
      <c r="L465" t="s">
        <v>25</v>
      </c>
      <c r="M465" t="b">
        <v>0</v>
      </c>
      <c r="N465">
        <v>8067.5410000000011</v>
      </c>
    </row>
    <row r="466" spans="1:14" x14ac:dyDescent="0.25">
      <c r="A466" t="s">
        <v>1059</v>
      </c>
      <c r="B466" t="s">
        <v>61</v>
      </c>
      <c r="C466" t="s">
        <v>21</v>
      </c>
      <c r="D466">
        <v>40</v>
      </c>
      <c r="E466" s="4" t="s">
        <v>2139</v>
      </c>
      <c r="F466" s="4" t="s">
        <v>2144</v>
      </c>
      <c r="G466" t="s">
        <v>36</v>
      </c>
      <c r="H466" s="1">
        <v>44949</v>
      </c>
      <c r="I466" s="4">
        <v>76274.33</v>
      </c>
      <c r="J466" t="s">
        <v>147</v>
      </c>
      <c r="K466">
        <v>-704496409</v>
      </c>
      <c r="L466" t="s">
        <v>19</v>
      </c>
      <c r="M466" t="b">
        <v>0</v>
      </c>
      <c r="N466">
        <v>1525.4866</v>
      </c>
    </row>
    <row r="467" spans="1:14" x14ac:dyDescent="0.25">
      <c r="A467" t="s">
        <v>1061</v>
      </c>
      <c r="B467" t="s">
        <v>67</v>
      </c>
      <c r="C467" t="s">
        <v>14</v>
      </c>
      <c r="D467">
        <v>30</v>
      </c>
      <c r="E467" s="4" t="s">
        <v>2139</v>
      </c>
      <c r="F467" s="4" t="s">
        <v>2140</v>
      </c>
      <c r="G467" t="s">
        <v>16</v>
      </c>
      <c r="H467" s="1">
        <v>44434</v>
      </c>
      <c r="I467" s="4">
        <v>51405.46</v>
      </c>
      <c r="J467" t="s">
        <v>73</v>
      </c>
      <c r="K467">
        <v>-4967066702</v>
      </c>
      <c r="L467" t="s">
        <v>19</v>
      </c>
      <c r="M467" t="b">
        <v>1</v>
      </c>
      <c r="N467">
        <v>1028.1092000000001</v>
      </c>
    </row>
    <row r="468" spans="1:14" x14ac:dyDescent="0.25">
      <c r="A468" t="s">
        <v>1063</v>
      </c>
      <c r="B468" t="s">
        <v>13</v>
      </c>
      <c r="C468" t="s">
        <v>47</v>
      </c>
      <c r="D468">
        <v>25</v>
      </c>
      <c r="E468" s="4" t="s">
        <v>2147</v>
      </c>
      <c r="F468" s="4" t="s">
        <v>2146</v>
      </c>
      <c r="G468" t="s">
        <v>36</v>
      </c>
      <c r="H468" s="1">
        <v>44160</v>
      </c>
      <c r="I468" s="4">
        <v>101238.96</v>
      </c>
      <c r="J468" t="s">
        <v>180</v>
      </c>
      <c r="K468">
        <v>-3626804084</v>
      </c>
      <c r="L468" t="s">
        <v>19</v>
      </c>
      <c r="M468" t="b">
        <v>1</v>
      </c>
      <c r="N468">
        <v>2024.7792000000002</v>
      </c>
    </row>
    <row r="469" spans="1:14" x14ac:dyDescent="0.25">
      <c r="A469" t="s">
        <v>1065</v>
      </c>
      <c r="B469" t="s">
        <v>13</v>
      </c>
      <c r="C469" t="s">
        <v>142</v>
      </c>
      <c r="D469">
        <v>35</v>
      </c>
      <c r="E469" s="4" t="s">
        <v>2145</v>
      </c>
      <c r="F469" s="4" t="s">
        <v>2148</v>
      </c>
      <c r="G469" t="s">
        <v>36</v>
      </c>
      <c r="H469" s="1">
        <v>45273</v>
      </c>
      <c r="I469" s="4">
        <v>52169.52</v>
      </c>
      <c r="J469" t="s">
        <v>144</v>
      </c>
      <c r="K469">
        <v>-954930595</v>
      </c>
      <c r="L469" t="s">
        <v>25</v>
      </c>
      <c r="M469" t="b">
        <v>0</v>
      </c>
      <c r="N469">
        <v>5216.9520000000002</v>
      </c>
    </row>
    <row r="470" spans="1:14" x14ac:dyDescent="0.25">
      <c r="A470" t="s">
        <v>1067</v>
      </c>
      <c r="B470" t="s">
        <v>61</v>
      </c>
      <c r="C470" t="s">
        <v>28</v>
      </c>
      <c r="E470" s="4" t="s">
        <v>2139</v>
      </c>
      <c r="F470" s="4" t="s">
        <v>2146</v>
      </c>
      <c r="G470" t="s">
        <v>16</v>
      </c>
      <c r="H470" s="1">
        <v>44038</v>
      </c>
      <c r="I470" s="4">
        <v>73176.62</v>
      </c>
      <c r="J470" t="s">
        <v>140</v>
      </c>
      <c r="K470">
        <v>-6018648768</v>
      </c>
      <c r="L470" t="s">
        <v>25</v>
      </c>
      <c r="M470" t="b">
        <v>0</v>
      </c>
      <c r="N470">
        <v>7317.6620000000003</v>
      </c>
    </row>
    <row r="471" spans="1:14" x14ac:dyDescent="0.25">
      <c r="A471" t="s">
        <v>1069</v>
      </c>
      <c r="B471" t="s">
        <v>80</v>
      </c>
      <c r="C471" t="s">
        <v>21</v>
      </c>
      <c r="E471" s="4" t="s">
        <v>2137</v>
      </c>
      <c r="F471" s="4" t="s">
        <v>2142</v>
      </c>
      <c r="G471" t="s">
        <v>30</v>
      </c>
      <c r="H471" s="1">
        <v>44374</v>
      </c>
      <c r="I471" s="4">
        <v>96241.85</v>
      </c>
      <c r="J471" t="s">
        <v>240</v>
      </c>
      <c r="K471">
        <v>-9842673203</v>
      </c>
      <c r="L471" t="s">
        <v>25</v>
      </c>
      <c r="M471" t="b">
        <v>0</v>
      </c>
      <c r="N471">
        <v>9624.1850000000013</v>
      </c>
    </row>
    <row r="472" spans="1:14" x14ac:dyDescent="0.25">
      <c r="A472" t="s">
        <v>1071</v>
      </c>
      <c r="B472" t="s">
        <v>13</v>
      </c>
      <c r="C472" t="s">
        <v>28</v>
      </c>
      <c r="D472">
        <v>25</v>
      </c>
      <c r="E472" s="4" t="s">
        <v>2139</v>
      </c>
      <c r="F472" s="4" t="s">
        <v>2148</v>
      </c>
      <c r="G472" t="s">
        <v>30</v>
      </c>
      <c r="H472" s="1">
        <v>45551</v>
      </c>
      <c r="I472" s="4">
        <v>84366.38</v>
      </c>
      <c r="J472" t="s">
        <v>56</v>
      </c>
      <c r="K472">
        <v>-4138459608</v>
      </c>
      <c r="L472" t="s">
        <v>25</v>
      </c>
      <c r="M472" t="b">
        <v>0</v>
      </c>
      <c r="N472">
        <v>8436.6380000000008</v>
      </c>
    </row>
    <row r="473" spans="1:14" x14ac:dyDescent="0.25">
      <c r="A473" t="s">
        <v>1073</v>
      </c>
      <c r="B473" t="s">
        <v>27</v>
      </c>
      <c r="C473" t="s">
        <v>47</v>
      </c>
      <c r="D473">
        <v>40</v>
      </c>
      <c r="E473" s="4" t="s">
        <v>2143</v>
      </c>
      <c r="F473" s="4" t="s">
        <v>2138</v>
      </c>
      <c r="G473" t="s">
        <v>30</v>
      </c>
      <c r="H473" s="1">
        <v>45111</v>
      </c>
      <c r="I473" s="4">
        <v>92015.09</v>
      </c>
      <c r="J473" t="s">
        <v>50</v>
      </c>
      <c r="K473">
        <v>-4544901494</v>
      </c>
      <c r="L473" t="s">
        <v>19</v>
      </c>
      <c r="M473" t="b">
        <v>1</v>
      </c>
      <c r="N473">
        <v>1840.3018</v>
      </c>
    </row>
    <row r="474" spans="1:14" x14ac:dyDescent="0.25">
      <c r="A474" t="s">
        <v>1075</v>
      </c>
      <c r="B474" t="s">
        <v>27</v>
      </c>
      <c r="C474" t="s">
        <v>41</v>
      </c>
      <c r="D474">
        <v>30</v>
      </c>
      <c r="E474" s="4" t="s">
        <v>2141</v>
      </c>
      <c r="F474" s="4" t="s">
        <v>2142</v>
      </c>
      <c r="G474" t="s">
        <v>36</v>
      </c>
      <c r="H474" s="1">
        <v>43998</v>
      </c>
      <c r="I474" s="4">
        <v>83149.95</v>
      </c>
      <c r="J474" t="s">
        <v>431</v>
      </c>
      <c r="K474">
        <v>-4277070704</v>
      </c>
      <c r="L474" t="s">
        <v>19</v>
      </c>
      <c r="M474" t="b">
        <v>0</v>
      </c>
      <c r="N474">
        <v>1662.999</v>
      </c>
    </row>
    <row r="475" spans="1:14" x14ac:dyDescent="0.25">
      <c r="A475" t="s">
        <v>1077</v>
      </c>
      <c r="B475" t="s">
        <v>80</v>
      </c>
      <c r="C475" t="s">
        <v>21</v>
      </c>
      <c r="D475">
        <v>40</v>
      </c>
      <c r="E475" s="4" t="s">
        <v>2139</v>
      </c>
      <c r="F475" s="4" t="s">
        <v>2142</v>
      </c>
      <c r="G475" t="s">
        <v>36</v>
      </c>
      <c r="H475" s="1">
        <v>44017</v>
      </c>
      <c r="I475" s="4">
        <v>94930.65</v>
      </c>
      <c r="J475" t="s">
        <v>240</v>
      </c>
      <c r="K475">
        <v>-7836091497</v>
      </c>
      <c r="L475" t="s">
        <v>33</v>
      </c>
      <c r="M475" t="b">
        <v>0</v>
      </c>
      <c r="N475">
        <v>4746.5325000000003</v>
      </c>
    </row>
    <row r="476" spans="1:14" x14ac:dyDescent="0.25">
      <c r="A476" t="s">
        <v>1079</v>
      </c>
      <c r="B476" t="s">
        <v>40</v>
      </c>
      <c r="C476" t="s">
        <v>41</v>
      </c>
      <c r="D476">
        <v>40</v>
      </c>
      <c r="E476" s="4" t="s">
        <v>2147</v>
      </c>
      <c r="F476" s="4" t="s">
        <v>2146</v>
      </c>
      <c r="G476" t="s">
        <v>36</v>
      </c>
      <c r="H476" s="1">
        <v>43922</v>
      </c>
      <c r="I476" s="4">
        <v>68430.720000000001</v>
      </c>
      <c r="J476" t="s">
        <v>44</v>
      </c>
      <c r="K476">
        <v>-5172444722</v>
      </c>
      <c r="L476" t="s">
        <v>33</v>
      </c>
      <c r="M476" t="b">
        <v>1</v>
      </c>
      <c r="N476">
        <v>3421.5360000000001</v>
      </c>
    </row>
    <row r="477" spans="1:14" x14ac:dyDescent="0.25">
      <c r="A477" t="s">
        <v>1081</v>
      </c>
      <c r="B477" t="s">
        <v>67</v>
      </c>
      <c r="C477" t="s">
        <v>47</v>
      </c>
      <c r="D477">
        <v>35</v>
      </c>
      <c r="E477" s="4" t="s">
        <v>2145</v>
      </c>
      <c r="F477" s="4" t="s">
        <v>2140</v>
      </c>
      <c r="G477" t="s">
        <v>16</v>
      </c>
      <c r="H477" s="1">
        <v>45371</v>
      </c>
      <c r="I477" s="4">
        <v>98752.97</v>
      </c>
      <c r="J477" t="s">
        <v>118</v>
      </c>
      <c r="K477">
        <v>-2290310286</v>
      </c>
      <c r="L477" t="s">
        <v>25</v>
      </c>
      <c r="M477" t="b">
        <v>0</v>
      </c>
      <c r="N477">
        <v>9875.2970000000005</v>
      </c>
    </row>
    <row r="478" spans="1:14" x14ac:dyDescent="0.25">
      <c r="A478" t="s">
        <v>1083</v>
      </c>
      <c r="B478" t="s">
        <v>40</v>
      </c>
      <c r="C478" t="s">
        <v>142</v>
      </c>
      <c r="E478" s="4" t="s">
        <v>2139</v>
      </c>
      <c r="F478" s="4" t="s">
        <v>2148</v>
      </c>
      <c r="G478" t="s">
        <v>16</v>
      </c>
      <c r="H478" s="1">
        <v>44964</v>
      </c>
      <c r="I478" s="4">
        <v>54268.86</v>
      </c>
      <c r="J478" t="s">
        <v>163</v>
      </c>
      <c r="K478">
        <v>-9508304404</v>
      </c>
      <c r="L478" t="s">
        <v>45</v>
      </c>
      <c r="M478" t="b">
        <v>1</v>
      </c>
      <c r="N478">
        <v>0</v>
      </c>
    </row>
    <row r="479" spans="1:14" x14ac:dyDescent="0.25">
      <c r="A479" t="s">
        <v>1085</v>
      </c>
      <c r="B479" t="s">
        <v>80</v>
      </c>
      <c r="C479" t="s">
        <v>47</v>
      </c>
      <c r="E479" s="4" t="s">
        <v>2137</v>
      </c>
      <c r="F479" s="4" t="s">
        <v>2144</v>
      </c>
      <c r="G479" t="s">
        <v>30</v>
      </c>
      <c r="H479" s="1">
        <v>45636</v>
      </c>
      <c r="I479" s="4">
        <v>66494.94</v>
      </c>
      <c r="J479" t="s">
        <v>96</v>
      </c>
      <c r="K479">
        <v>-8093511870</v>
      </c>
      <c r="L479" t="s">
        <v>45</v>
      </c>
      <c r="M479" t="b">
        <v>0</v>
      </c>
      <c r="N479">
        <v>0</v>
      </c>
    </row>
    <row r="480" spans="1:14" x14ac:dyDescent="0.25">
      <c r="A480" t="s">
        <v>1087</v>
      </c>
      <c r="B480" t="s">
        <v>80</v>
      </c>
      <c r="C480" t="s">
        <v>142</v>
      </c>
      <c r="D480">
        <v>25</v>
      </c>
      <c r="E480" s="4" t="s">
        <v>2145</v>
      </c>
      <c r="F480" s="4" t="s">
        <v>2148</v>
      </c>
      <c r="G480" t="s">
        <v>30</v>
      </c>
      <c r="H480" s="1">
        <v>45470</v>
      </c>
      <c r="I480" s="4">
        <v>90003.98</v>
      </c>
      <c r="J480" t="s">
        <v>160</v>
      </c>
      <c r="K480">
        <v>-8133595615</v>
      </c>
      <c r="L480" t="s">
        <v>19</v>
      </c>
      <c r="M480" t="b">
        <v>0</v>
      </c>
      <c r="N480">
        <v>1800.0796</v>
      </c>
    </row>
    <row r="481" spans="1:14" x14ac:dyDescent="0.25">
      <c r="A481" t="s">
        <v>1089</v>
      </c>
      <c r="B481" t="s">
        <v>61</v>
      </c>
      <c r="C481" t="s">
        <v>21</v>
      </c>
      <c r="D481">
        <v>25</v>
      </c>
      <c r="E481" s="4" t="s">
        <v>2139</v>
      </c>
      <c r="F481" s="4" t="s">
        <v>2146</v>
      </c>
      <c r="G481" t="s">
        <v>16</v>
      </c>
      <c r="H481" s="1">
        <v>44264</v>
      </c>
      <c r="I481" s="4">
        <v>106592.25</v>
      </c>
      <c r="J481" t="s">
        <v>147</v>
      </c>
      <c r="K481">
        <v>-4205955656</v>
      </c>
      <c r="L481" t="s">
        <v>19</v>
      </c>
      <c r="M481" t="b">
        <v>1</v>
      </c>
      <c r="N481">
        <v>2131.8450000000003</v>
      </c>
    </row>
    <row r="482" spans="1:14" x14ac:dyDescent="0.25">
      <c r="A482" t="s">
        <v>1091</v>
      </c>
      <c r="B482" t="s">
        <v>80</v>
      </c>
      <c r="C482" t="s">
        <v>21</v>
      </c>
      <c r="D482">
        <v>25</v>
      </c>
      <c r="E482" s="4" t="s">
        <v>2137</v>
      </c>
      <c r="F482" s="4" t="s">
        <v>2144</v>
      </c>
      <c r="G482" t="s">
        <v>16</v>
      </c>
      <c r="H482" s="1">
        <v>45515</v>
      </c>
      <c r="I482" s="4">
        <v>93905.83</v>
      </c>
      <c r="J482" t="s">
        <v>240</v>
      </c>
      <c r="K482">
        <v>-4902504289</v>
      </c>
      <c r="L482" t="s">
        <v>19</v>
      </c>
      <c r="M482" t="b">
        <v>1</v>
      </c>
      <c r="N482">
        <v>1878.1166000000001</v>
      </c>
    </row>
    <row r="483" spans="1:14" x14ac:dyDescent="0.25">
      <c r="A483" t="s">
        <v>1093</v>
      </c>
      <c r="B483" t="s">
        <v>35</v>
      </c>
      <c r="C483" t="s">
        <v>106</v>
      </c>
      <c r="D483">
        <v>35</v>
      </c>
      <c r="E483" s="4" t="s">
        <v>2137</v>
      </c>
      <c r="F483" s="4" t="s">
        <v>2140</v>
      </c>
      <c r="G483" t="s">
        <v>16</v>
      </c>
      <c r="H483" s="1">
        <v>44625</v>
      </c>
      <c r="I483" s="4">
        <v>88945.49</v>
      </c>
      <c r="J483" t="s">
        <v>307</v>
      </c>
      <c r="K483">
        <v>-1935889535</v>
      </c>
      <c r="L483" t="s">
        <v>33</v>
      </c>
      <c r="M483" t="b">
        <v>0</v>
      </c>
      <c r="N483">
        <v>4447.2745000000004</v>
      </c>
    </row>
    <row r="484" spans="1:14" x14ac:dyDescent="0.25">
      <c r="A484" t="s">
        <v>1095</v>
      </c>
      <c r="B484" t="s">
        <v>35</v>
      </c>
      <c r="C484" t="s">
        <v>28</v>
      </c>
      <c r="E484" s="4" t="s">
        <v>2139</v>
      </c>
      <c r="F484" s="4" t="s">
        <v>2140</v>
      </c>
      <c r="G484" t="s">
        <v>30</v>
      </c>
      <c r="H484" s="1">
        <v>45107</v>
      </c>
      <c r="I484" s="4">
        <v>91130.33</v>
      </c>
      <c r="J484" t="s">
        <v>323</v>
      </c>
      <c r="K484">
        <v>-9026113988</v>
      </c>
      <c r="L484" t="s">
        <v>33</v>
      </c>
      <c r="M484" t="b">
        <v>0</v>
      </c>
      <c r="N484">
        <v>4556.5165000000006</v>
      </c>
    </row>
    <row r="485" spans="1:14" x14ac:dyDescent="0.25">
      <c r="A485" t="s">
        <v>1097</v>
      </c>
      <c r="B485" t="s">
        <v>13</v>
      </c>
      <c r="C485" t="s">
        <v>106</v>
      </c>
      <c r="D485">
        <v>40</v>
      </c>
      <c r="E485" s="4" t="s">
        <v>2141</v>
      </c>
      <c r="F485" s="4" t="s">
        <v>2146</v>
      </c>
      <c r="G485" t="s">
        <v>30</v>
      </c>
      <c r="H485" s="1">
        <v>45035</v>
      </c>
      <c r="I485" s="4">
        <v>90787.4</v>
      </c>
      <c r="J485" t="s">
        <v>108</v>
      </c>
      <c r="K485">
        <v>-8681809787</v>
      </c>
      <c r="L485" t="s">
        <v>19</v>
      </c>
      <c r="M485" t="b">
        <v>0</v>
      </c>
      <c r="N485">
        <v>1815.7479999999998</v>
      </c>
    </row>
    <row r="486" spans="1:14" x14ac:dyDescent="0.25">
      <c r="A486" t="s">
        <v>1099</v>
      </c>
      <c r="B486" t="s">
        <v>13</v>
      </c>
      <c r="C486" t="s">
        <v>28</v>
      </c>
      <c r="D486">
        <v>25</v>
      </c>
      <c r="E486" s="4" t="s">
        <v>2145</v>
      </c>
      <c r="F486" s="4" t="s">
        <v>2140</v>
      </c>
      <c r="G486" t="s">
        <v>36</v>
      </c>
      <c r="H486" s="1">
        <v>45607</v>
      </c>
      <c r="I486" s="4">
        <v>87494.34</v>
      </c>
      <c r="J486" t="s">
        <v>56</v>
      </c>
      <c r="K486">
        <v>-7543943534</v>
      </c>
      <c r="L486" t="s">
        <v>19</v>
      </c>
      <c r="M486" t="b">
        <v>1</v>
      </c>
      <c r="N486">
        <v>1749.8868</v>
      </c>
    </row>
    <row r="487" spans="1:14" x14ac:dyDescent="0.25">
      <c r="A487" t="s">
        <v>1101</v>
      </c>
      <c r="B487" t="s">
        <v>80</v>
      </c>
      <c r="C487" t="s">
        <v>106</v>
      </c>
      <c r="D487">
        <v>35</v>
      </c>
      <c r="E487" s="4" t="s">
        <v>2139</v>
      </c>
      <c r="F487" s="4" t="s">
        <v>2142</v>
      </c>
      <c r="G487" t="s">
        <v>36</v>
      </c>
      <c r="H487" s="1">
        <v>45002</v>
      </c>
      <c r="I487" s="4">
        <v>92627.35</v>
      </c>
      <c r="J487" t="s">
        <v>197</v>
      </c>
      <c r="K487">
        <v>-3751376514</v>
      </c>
      <c r="L487" t="s">
        <v>19</v>
      </c>
      <c r="M487" t="b">
        <v>0</v>
      </c>
      <c r="N487">
        <v>1852.5470000000003</v>
      </c>
    </row>
    <row r="488" spans="1:14" x14ac:dyDescent="0.25">
      <c r="A488" t="s">
        <v>1103</v>
      </c>
      <c r="B488" t="s">
        <v>35</v>
      </c>
      <c r="C488" t="s">
        <v>41</v>
      </c>
      <c r="D488">
        <v>40</v>
      </c>
      <c r="E488" s="4" t="s">
        <v>2141</v>
      </c>
      <c r="F488" s="4" t="s">
        <v>2148</v>
      </c>
      <c r="G488" t="s">
        <v>30</v>
      </c>
      <c r="H488" s="1">
        <v>45225</v>
      </c>
      <c r="I488" s="4">
        <v>98556.29</v>
      </c>
      <c r="J488" t="s">
        <v>167</v>
      </c>
      <c r="K488">
        <v>-8815793762</v>
      </c>
      <c r="L488" t="s">
        <v>45</v>
      </c>
      <c r="M488" t="b">
        <v>1</v>
      </c>
      <c r="N488">
        <v>0</v>
      </c>
    </row>
    <row r="489" spans="1:14" x14ac:dyDescent="0.25">
      <c r="A489" t="s">
        <v>1105</v>
      </c>
      <c r="B489" t="s">
        <v>40</v>
      </c>
      <c r="C489" t="s">
        <v>21</v>
      </c>
      <c r="D489">
        <v>30</v>
      </c>
      <c r="E489" s="4" t="s">
        <v>2143</v>
      </c>
      <c r="F489" s="4" t="s">
        <v>2142</v>
      </c>
      <c r="G489" t="s">
        <v>36</v>
      </c>
      <c r="H489" s="1">
        <v>44381</v>
      </c>
      <c r="I489" s="4">
        <v>112792.2</v>
      </c>
      <c r="J489" t="s">
        <v>280</v>
      </c>
      <c r="K489">
        <v>-9283692943</v>
      </c>
      <c r="L489" t="s">
        <v>33</v>
      </c>
      <c r="M489" t="b">
        <v>1</v>
      </c>
      <c r="N489">
        <v>5639.6100000000006</v>
      </c>
    </row>
    <row r="490" spans="1:14" x14ac:dyDescent="0.25">
      <c r="A490" t="s">
        <v>1107</v>
      </c>
      <c r="B490" t="s">
        <v>35</v>
      </c>
      <c r="C490" t="s">
        <v>142</v>
      </c>
      <c r="D490">
        <v>35</v>
      </c>
      <c r="E490" s="4" t="s">
        <v>2147</v>
      </c>
      <c r="F490" s="4" t="s">
        <v>2144</v>
      </c>
      <c r="G490" t="s">
        <v>30</v>
      </c>
      <c r="H490" s="1">
        <v>45233</v>
      </c>
      <c r="I490" s="4">
        <v>56875.22</v>
      </c>
      <c r="J490" t="s">
        <v>632</v>
      </c>
      <c r="K490">
        <v>-5511668296</v>
      </c>
      <c r="L490" t="s">
        <v>45</v>
      </c>
      <c r="M490" t="b">
        <v>0</v>
      </c>
      <c r="N490">
        <v>0</v>
      </c>
    </row>
    <row r="491" spans="1:14" x14ac:dyDescent="0.25">
      <c r="A491" t="s">
        <v>1109</v>
      </c>
      <c r="B491" t="s">
        <v>61</v>
      </c>
      <c r="C491" t="s">
        <v>28</v>
      </c>
      <c r="D491">
        <v>35</v>
      </c>
      <c r="E491" s="4" t="s">
        <v>2137</v>
      </c>
      <c r="F491" s="4" t="s">
        <v>2144</v>
      </c>
      <c r="G491" t="s">
        <v>36</v>
      </c>
      <c r="H491" s="1">
        <v>44382</v>
      </c>
      <c r="I491" s="4">
        <v>101015.96</v>
      </c>
      <c r="J491" t="s">
        <v>140</v>
      </c>
      <c r="K491">
        <v>-3270216486</v>
      </c>
      <c r="L491" t="s">
        <v>45</v>
      </c>
      <c r="M491" t="b">
        <v>1</v>
      </c>
      <c r="N491">
        <v>0</v>
      </c>
    </row>
    <row r="492" spans="1:14" x14ac:dyDescent="0.25">
      <c r="A492" t="s">
        <v>1111</v>
      </c>
      <c r="B492" t="s">
        <v>13</v>
      </c>
      <c r="C492" t="s">
        <v>47</v>
      </c>
      <c r="D492">
        <v>30</v>
      </c>
      <c r="E492" s="4" t="s">
        <v>2139</v>
      </c>
      <c r="F492" s="4" t="s">
        <v>2146</v>
      </c>
      <c r="G492" t="s">
        <v>36</v>
      </c>
      <c r="H492" s="1">
        <v>45348</v>
      </c>
      <c r="I492" s="4">
        <v>83912.22</v>
      </c>
      <c r="J492" t="s">
        <v>180</v>
      </c>
      <c r="K492">
        <v>-1206021287</v>
      </c>
      <c r="L492" t="s">
        <v>19</v>
      </c>
      <c r="M492" t="b">
        <v>0</v>
      </c>
      <c r="N492">
        <v>1678.2444</v>
      </c>
    </row>
    <row r="493" spans="1:14" x14ac:dyDescent="0.25">
      <c r="A493" t="s">
        <v>1113</v>
      </c>
      <c r="B493" t="s">
        <v>40</v>
      </c>
      <c r="C493" t="s">
        <v>28</v>
      </c>
      <c r="D493">
        <v>25</v>
      </c>
      <c r="E493" s="4" t="s">
        <v>2145</v>
      </c>
      <c r="F493" s="4" t="s">
        <v>2146</v>
      </c>
      <c r="G493" t="s">
        <v>16</v>
      </c>
      <c r="H493" s="1">
        <v>44468</v>
      </c>
      <c r="I493" s="4">
        <v>99669.86</v>
      </c>
      <c r="J493" t="s">
        <v>53</v>
      </c>
      <c r="K493">
        <v>-6652683414</v>
      </c>
      <c r="L493" t="s">
        <v>19</v>
      </c>
      <c r="M493" t="b">
        <v>0</v>
      </c>
      <c r="N493">
        <v>1993.3972000000001</v>
      </c>
    </row>
    <row r="494" spans="1:14" x14ac:dyDescent="0.25">
      <c r="A494" t="s">
        <v>1115</v>
      </c>
      <c r="B494" t="s">
        <v>27</v>
      </c>
      <c r="C494" t="s">
        <v>142</v>
      </c>
      <c r="D494">
        <v>30</v>
      </c>
      <c r="E494" s="4" t="s">
        <v>2141</v>
      </c>
      <c r="F494" s="4" t="s">
        <v>2146</v>
      </c>
      <c r="G494" t="s">
        <v>16</v>
      </c>
      <c r="H494" s="1">
        <v>44341</v>
      </c>
      <c r="I494" s="4">
        <v>52314.97</v>
      </c>
      <c r="J494" t="s">
        <v>217</v>
      </c>
      <c r="K494">
        <v>-5999101575</v>
      </c>
      <c r="L494" t="s">
        <v>25</v>
      </c>
      <c r="M494" t="b">
        <v>0</v>
      </c>
      <c r="N494">
        <v>5231.4970000000003</v>
      </c>
    </row>
    <row r="495" spans="1:14" x14ac:dyDescent="0.25">
      <c r="A495" t="s">
        <v>1117</v>
      </c>
      <c r="B495" t="s">
        <v>40</v>
      </c>
      <c r="C495" t="s">
        <v>106</v>
      </c>
      <c r="D495">
        <v>30</v>
      </c>
      <c r="E495" s="4" t="s">
        <v>2147</v>
      </c>
      <c r="F495" s="4" t="s">
        <v>2138</v>
      </c>
      <c r="G495" t="s">
        <v>36</v>
      </c>
      <c r="H495" s="1">
        <v>44865</v>
      </c>
      <c r="I495" s="4">
        <v>77785.960000000006</v>
      </c>
      <c r="J495" t="s">
        <v>128</v>
      </c>
      <c r="K495">
        <v>-7647229811</v>
      </c>
      <c r="L495" t="s">
        <v>25</v>
      </c>
      <c r="M495" t="b">
        <v>0</v>
      </c>
      <c r="N495">
        <v>7778.5960000000014</v>
      </c>
    </row>
    <row r="496" spans="1:14" x14ac:dyDescent="0.25">
      <c r="A496" t="s">
        <v>1119</v>
      </c>
      <c r="B496" t="s">
        <v>27</v>
      </c>
      <c r="C496" t="s">
        <v>28</v>
      </c>
      <c r="D496">
        <v>30</v>
      </c>
      <c r="E496" s="4" t="s">
        <v>2147</v>
      </c>
      <c r="F496" s="4" t="s">
        <v>2144</v>
      </c>
      <c r="G496" t="s">
        <v>30</v>
      </c>
      <c r="H496" s="1">
        <v>44744</v>
      </c>
      <c r="I496" s="4">
        <v>62430.86</v>
      </c>
      <c r="J496" t="s">
        <v>32</v>
      </c>
      <c r="K496">
        <v>-995765727</v>
      </c>
      <c r="L496" t="s">
        <v>45</v>
      </c>
      <c r="M496" t="b">
        <v>0</v>
      </c>
      <c r="N496">
        <v>0</v>
      </c>
    </row>
    <row r="497" spans="1:14" x14ac:dyDescent="0.25">
      <c r="A497" t="s">
        <v>1121</v>
      </c>
      <c r="B497" t="s">
        <v>40</v>
      </c>
      <c r="C497" t="s">
        <v>14</v>
      </c>
      <c r="D497">
        <v>35</v>
      </c>
      <c r="E497" s="4" t="s">
        <v>2141</v>
      </c>
      <c r="F497" s="4" t="s">
        <v>2138</v>
      </c>
      <c r="G497" t="s">
        <v>30</v>
      </c>
      <c r="H497" s="1">
        <v>45532</v>
      </c>
      <c r="I497" s="4">
        <v>98219.54</v>
      </c>
      <c r="J497" t="s">
        <v>59</v>
      </c>
      <c r="K497">
        <v>-9413475097</v>
      </c>
      <c r="L497" t="s">
        <v>33</v>
      </c>
      <c r="M497" t="b">
        <v>1</v>
      </c>
      <c r="N497">
        <v>4910.9769999999999</v>
      </c>
    </row>
    <row r="498" spans="1:14" x14ac:dyDescent="0.25">
      <c r="A498" t="s">
        <v>1123</v>
      </c>
      <c r="B498" t="s">
        <v>80</v>
      </c>
      <c r="C498" t="s">
        <v>41</v>
      </c>
      <c r="D498">
        <v>25</v>
      </c>
      <c r="E498" s="4" t="s">
        <v>2141</v>
      </c>
      <c r="F498" s="4" t="s">
        <v>2148</v>
      </c>
      <c r="G498" t="s">
        <v>16</v>
      </c>
      <c r="H498" s="1">
        <v>45586</v>
      </c>
      <c r="I498" s="4">
        <v>65494.58</v>
      </c>
      <c r="J498" t="s">
        <v>83</v>
      </c>
      <c r="K498">
        <v>-8986456521</v>
      </c>
      <c r="L498" t="s">
        <v>19</v>
      </c>
      <c r="M498" t="b">
        <v>1</v>
      </c>
      <c r="N498">
        <v>1309.8916000000002</v>
      </c>
    </row>
    <row r="499" spans="1:14" x14ac:dyDescent="0.25">
      <c r="A499" t="s">
        <v>1125</v>
      </c>
      <c r="B499" t="s">
        <v>67</v>
      </c>
      <c r="C499" t="s">
        <v>21</v>
      </c>
      <c r="D499">
        <v>35</v>
      </c>
      <c r="E499" s="4" t="s">
        <v>2137</v>
      </c>
      <c r="F499" s="4" t="s">
        <v>2144</v>
      </c>
      <c r="G499" t="s">
        <v>30</v>
      </c>
      <c r="H499" s="1">
        <v>43872</v>
      </c>
      <c r="I499" s="4">
        <v>110524.1</v>
      </c>
      <c r="J499" t="s">
        <v>265</v>
      </c>
      <c r="K499">
        <v>-368499514</v>
      </c>
      <c r="L499" t="s">
        <v>19</v>
      </c>
      <c r="M499" t="b">
        <v>0</v>
      </c>
      <c r="N499">
        <v>2210.482</v>
      </c>
    </row>
    <row r="500" spans="1:14" x14ac:dyDescent="0.25">
      <c r="A500" t="s">
        <v>1127</v>
      </c>
      <c r="B500" t="s">
        <v>27</v>
      </c>
      <c r="C500" t="s">
        <v>142</v>
      </c>
      <c r="D500">
        <v>40</v>
      </c>
      <c r="E500" s="4" t="s">
        <v>2141</v>
      </c>
      <c r="F500" s="4" t="s">
        <v>2142</v>
      </c>
      <c r="G500" t="s">
        <v>16</v>
      </c>
      <c r="H500" s="1">
        <v>45062</v>
      </c>
      <c r="I500" s="4">
        <v>106060.54</v>
      </c>
      <c r="J500" t="s">
        <v>217</v>
      </c>
      <c r="K500">
        <v>-4214477323</v>
      </c>
      <c r="L500" t="s">
        <v>45</v>
      </c>
      <c r="M500" t="b">
        <v>0</v>
      </c>
      <c r="N500">
        <v>0</v>
      </c>
    </row>
    <row r="501" spans="1:14" x14ac:dyDescent="0.25">
      <c r="A501" t="s">
        <v>1129</v>
      </c>
      <c r="B501" t="s">
        <v>35</v>
      </c>
      <c r="C501" t="s">
        <v>21</v>
      </c>
      <c r="D501">
        <v>35</v>
      </c>
      <c r="E501" s="4" t="s">
        <v>2139</v>
      </c>
      <c r="F501" s="4" t="s">
        <v>2144</v>
      </c>
      <c r="G501" t="s">
        <v>36</v>
      </c>
      <c r="H501" s="1">
        <v>44771</v>
      </c>
      <c r="I501" s="4">
        <v>67639.91</v>
      </c>
      <c r="J501" t="s">
        <v>183</v>
      </c>
      <c r="K501">
        <v>-4913421387</v>
      </c>
      <c r="L501" t="s">
        <v>25</v>
      </c>
      <c r="M501" t="b">
        <v>1</v>
      </c>
      <c r="N501">
        <v>6763.9910000000009</v>
      </c>
    </row>
    <row r="502" spans="1:14" x14ac:dyDescent="0.25">
      <c r="A502" t="s">
        <v>1131</v>
      </c>
      <c r="B502" t="s">
        <v>80</v>
      </c>
      <c r="C502" t="s">
        <v>14</v>
      </c>
      <c r="E502" s="4" t="s">
        <v>2143</v>
      </c>
      <c r="F502" s="4" t="s">
        <v>2140</v>
      </c>
      <c r="G502" t="s">
        <v>30</v>
      </c>
      <c r="H502" s="1">
        <v>45187</v>
      </c>
      <c r="I502" s="4">
        <v>117653.98</v>
      </c>
      <c r="J502" t="s">
        <v>276</v>
      </c>
      <c r="K502">
        <v>-2090883069</v>
      </c>
      <c r="L502" t="s">
        <v>33</v>
      </c>
      <c r="M502" t="b">
        <v>1</v>
      </c>
      <c r="N502">
        <v>5882.6990000000005</v>
      </c>
    </row>
    <row r="503" spans="1:14" x14ac:dyDescent="0.25">
      <c r="A503" t="s">
        <v>1133</v>
      </c>
      <c r="B503" t="s">
        <v>35</v>
      </c>
      <c r="C503" t="s">
        <v>28</v>
      </c>
      <c r="D503">
        <v>35</v>
      </c>
      <c r="E503" s="4" t="s">
        <v>2137</v>
      </c>
      <c r="F503" s="4" t="s">
        <v>2140</v>
      </c>
      <c r="G503" t="s">
        <v>36</v>
      </c>
      <c r="H503" s="1">
        <v>43961</v>
      </c>
      <c r="I503" s="4">
        <v>73539.86</v>
      </c>
      <c r="J503" t="s">
        <v>323</v>
      </c>
      <c r="K503">
        <v>-5349678273</v>
      </c>
      <c r="L503" t="s">
        <v>25</v>
      </c>
      <c r="M503" t="b">
        <v>1</v>
      </c>
      <c r="N503">
        <v>7353.9860000000008</v>
      </c>
    </row>
    <row r="504" spans="1:14" x14ac:dyDescent="0.25">
      <c r="A504" t="s">
        <v>1135</v>
      </c>
      <c r="B504" t="s">
        <v>40</v>
      </c>
      <c r="C504" t="s">
        <v>28</v>
      </c>
      <c r="D504">
        <v>35</v>
      </c>
      <c r="E504" s="4" t="s">
        <v>2147</v>
      </c>
      <c r="F504" s="4" t="s">
        <v>2142</v>
      </c>
      <c r="G504" t="s">
        <v>30</v>
      </c>
      <c r="H504" s="1">
        <v>45165</v>
      </c>
      <c r="I504" s="4">
        <v>70915.38</v>
      </c>
      <c r="J504" t="s">
        <v>53</v>
      </c>
      <c r="K504">
        <v>-1176741240</v>
      </c>
      <c r="L504" t="s">
        <v>25</v>
      </c>
      <c r="M504" t="b">
        <v>1</v>
      </c>
      <c r="N504">
        <v>7091.5380000000005</v>
      </c>
    </row>
    <row r="505" spans="1:14" x14ac:dyDescent="0.25">
      <c r="A505" t="s">
        <v>1137</v>
      </c>
      <c r="B505" t="s">
        <v>67</v>
      </c>
      <c r="C505" t="s">
        <v>47</v>
      </c>
      <c r="D505">
        <v>25</v>
      </c>
      <c r="E505" s="4" t="s">
        <v>2145</v>
      </c>
      <c r="F505" s="4" t="s">
        <v>2144</v>
      </c>
      <c r="G505" t="s">
        <v>30</v>
      </c>
      <c r="H505" s="1">
        <v>44485</v>
      </c>
      <c r="I505" s="4">
        <v>97652.9</v>
      </c>
      <c r="J505" t="s">
        <v>118</v>
      </c>
      <c r="K505">
        <v>-5131528546</v>
      </c>
      <c r="L505" t="s">
        <v>25</v>
      </c>
      <c r="M505" t="b">
        <v>0</v>
      </c>
      <c r="N505">
        <v>9765.2899999999991</v>
      </c>
    </row>
    <row r="506" spans="1:14" x14ac:dyDescent="0.25">
      <c r="A506" t="s">
        <v>1139</v>
      </c>
      <c r="B506" t="s">
        <v>75</v>
      </c>
      <c r="C506" t="s">
        <v>14</v>
      </c>
      <c r="D506">
        <v>35</v>
      </c>
      <c r="E506" s="4" t="s">
        <v>2147</v>
      </c>
      <c r="F506" s="4" t="s">
        <v>2144</v>
      </c>
      <c r="G506" t="s">
        <v>36</v>
      </c>
      <c r="H506" s="1">
        <v>44626</v>
      </c>
      <c r="I506" s="4">
        <v>101571.25</v>
      </c>
      <c r="J506" t="s">
        <v>469</v>
      </c>
      <c r="K506">
        <v>-8150618537</v>
      </c>
      <c r="L506" t="s">
        <v>25</v>
      </c>
      <c r="M506" t="b">
        <v>0</v>
      </c>
      <c r="N506">
        <v>10157.125</v>
      </c>
    </row>
    <row r="507" spans="1:14" x14ac:dyDescent="0.25">
      <c r="A507" t="s">
        <v>1141</v>
      </c>
      <c r="B507" t="s">
        <v>67</v>
      </c>
      <c r="C507" t="s">
        <v>142</v>
      </c>
      <c r="D507">
        <v>35</v>
      </c>
      <c r="E507" s="4" t="s">
        <v>2137</v>
      </c>
      <c r="F507" s="4" t="s">
        <v>2142</v>
      </c>
      <c r="G507" t="s">
        <v>16</v>
      </c>
      <c r="H507" s="1">
        <v>45236</v>
      </c>
      <c r="I507" s="4">
        <v>87424.46</v>
      </c>
      <c r="J507" t="s">
        <v>402</v>
      </c>
      <c r="K507">
        <v>-32963346</v>
      </c>
      <c r="L507" t="s">
        <v>19</v>
      </c>
      <c r="M507" t="b">
        <v>1</v>
      </c>
      <c r="N507">
        <v>1748.4892000000002</v>
      </c>
    </row>
    <row r="508" spans="1:14" x14ac:dyDescent="0.25">
      <c r="A508" t="s">
        <v>1143</v>
      </c>
      <c r="B508" t="s">
        <v>40</v>
      </c>
      <c r="C508" t="s">
        <v>47</v>
      </c>
      <c r="E508" s="4" t="s">
        <v>2147</v>
      </c>
      <c r="F508" s="4" t="s">
        <v>2146</v>
      </c>
      <c r="G508" t="s">
        <v>30</v>
      </c>
      <c r="H508" s="1">
        <v>45626</v>
      </c>
      <c r="I508" s="4">
        <v>89077.36</v>
      </c>
      <c r="J508" t="s">
        <v>214</v>
      </c>
      <c r="K508">
        <v>-2727423182</v>
      </c>
      <c r="L508" t="s">
        <v>19</v>
      </c>
      <c r="M508" t="b">
        <v>0</v>
      </c>
      <c r="N508">
        <v>1781.5472</v>
      </c>
    </row>
    <row r="509" spans="1:14" x14ac:dyDescent="0.25">
      <c r="A509" t="s">
        <v>1145</v>
      </c>
      <c r="B509" t="s">
        <v>75</v>
      </c>
      <c r="C509" t="s">
        <v>41</v>
      </c>
      <c r="D509">
        <v>30</v>
      </c>
      <c r="E509" s="4" t="s">
        <v>2137</v>
      </c>
      <c r="F509" s="4" t="s">
        <v>2138</v>
      </c>
      <c r="G509" t="s">
        <v>30</v>
      </c>
      <c r="H509" s="1">
        <v>45486</v>
      </c>
      <c r="I509" s="4">
        <v>89132.22</v>
      </c>
      <c r="J509" t="s">
        <v>78</v>
      </c>
      <c r="K509">
        <v>-617893205</v>
      </c>
      <c r="L509" t="s">
        <v>25</v>
      </c>
      <c r="M509" t="b">
        <v>1</v>
      </c>
      <c r="N509">
        <v>8913.2219999999998</v>
      </c>
    </row>
    <row r="510" spans="1:14" x14ac:dyDescent="0.25">
      <c r="A510" t="s">
        <v>1147</v>
      </c>
      <c r="B510" t="s">
        <v>40</v>
      </c>
      <c r="C510" t="s">
        <v>47</v>
      </c>
      <c r="D510">
        <v>25</v>
      </c>
      <c r="E510" s="4" t="s">
        <v>2141</v>
      </c>
      <c r="F510" s="4" t="s">
        <v>2138</v>
      </c>
      <c r="G510" t="s">
        <v>16</v>
      </c>
      <c r="H510" s="1">
        <v>45355</v>
      </c>
      <c r="I510" s="4">
        <v>111000.26</v>
      </c>
      <c r="J510" t="s">
        <v>214</v>
      </c>
      <c r="K510">
        <v>-4969357823</v>
      </c>
      <c r="L510" t="s">
        <v>33</v>
      </c>
      <c r="M510" t="b">
        <v>0</v>
      </c>
      <c r="N510">
        <v>5550.0129999999999</v>
      </c>
    </row>
    <row r="511" spans="1:14" x14ac:dyDescent="0.25">
      <c r="A511" t="s">
        <v>1149</v>
      </c>
      <c r="B511" t="s">
        <v>40</v>
      </c>
      <c r="C511" t="s">
        <v>62</v>
      </c>
      <c r="D511">
        <v>35</v>
      </c>
      <c r="E511" s="4" t="s">
        <v>2147</v>
      </c>
      <c r="F511" s="4" t="s">
        <v>2148</v>
      </c>
      <c r="G511" t="s">
        <v>36</v>
      </c>
      <c r="H511" s="1">
        <v>44780</v>
      </c>
      <c r="I511" s="4">
        <v>109584.97</v>
      </c>
      <c r="J511" t="s">
        <v>316</v>
      </c>
      <c r="K511">
        <v>-3477695873</v>
      </c>
      <c r="L511" t="s">
        <v>45</v>
      </c>
      <c r="M511" t="b">
        <v>1</v>
      </c>
      <c r="N511">
        <v>0</v>
      </c>
    </row>
    <row r="512" spans="1:14" x14ac:dyDescent="0.25">
      <c r="A512" t="s">
        <v>1151</v>
      </c>
      <c r="B512" t="s">
        <v>13</v>
      </c>
      <c r="C512" t="s">
        <v>142</v>
      </c>
      <c r="D512">
        <v>40</v>
      </c>
      <c r="E512" s="4" t="s">
        <v>2141</v>
      </c>
      <c r="F512" s="4" t="s">
        <v>2148</v>
      </c>
      <c r="G512" t="s">
        <v>16</v>
      </c>
      <c r="H512" s="1">
        <v>45607</v>
      </c>
      <c r="I512" s="4">
        <v>97648.84</v>
      </c>
      <c r="J512" t="s">
        <v>144</v>
      </c>
      <c r="K512">
        <v>-1314675360</v>
      </c>
      <c r="L512" t="s">
        <v>33</v>
      </c>
      <c r="M512" t="b">
        <v>0</v>
      </c>
      <c r="N512">
        <v>4882.442</v>
      </c>
    </row>
    <row r="513" spans="1:14" x14ac:dyDescent="0.25">
      <c r="A513" t="s">
        <v>1153</v>
      </c>
      <c r="B513" t="s">
        <v>80</v>
      </c>
      <c r="C513" t="s">
        <v>62</v>
      </c>
      <c r="D513">
        <v>25</v>
      </c>
      <c r="E513" s="4" t="s">
        <v>2141</v>
      </c>
      <c r="F513" s="4" t="s">
        <v>2146</v>
      </c>
      <c r="G513" t="s">
        <v>16</v>
      </c>
      <c r="H513" s="1">
        <v>44532</v>
      </c>
      <c r="I513" s="4">
        <v>78643.429999999993</v>
      </c>
      <c r="J513" t="s">
        <v>150</v>
      </c>
      <c r="K513">
        <v>-2751562778</v>
      </c>
      <c r="L513" t="s">
        <v>33</v>
      </c>
      <c r="M513" t="b">
        <v>1</v>
      </c>
      <c r="N513">
        <v>3932.1714999999999</v>
      </c>
    </row>
    <row r="514" spans="1:14" x14ac:dyDescent="0.25">
      <c r="A514" t="s">
        <v>1155</v>
      </c>
      <c r="B514" t="s">
        <v>75</v>
      </c>
      <c r="C514" t="s">
        <v>14</v>
      </c>
      <c r="D514">
        <v>30</v>
      </c>
      <c r="E514" s="4" t="s">
        <v>2147</v>
      </c>
      <c r="F514" s="4" t="s">
        <v>2142</v>
      </c>
      <c r="G514" t="s">
        <v>16</v>
      </c>
      <c r="H514" s="1">
        <v>45426</v>
      </c>
      <c r="I514" s="4">
        <v>55656.800000000003</v>
      </c>
      <c r="J514" t="s">
        <v>469</v>
      </c>
      <c r="K514">
        <v>-6304483607</v>
      </c>
      <c r="L514" t="s">
        <v>33</v>
      </c>
      <c r="M514" t="b">
        <v>1</v>
      </c>
      <c r="N514">
        <v>2782.84</v>
      </c>
    </row>
    <row r="515" spans="1:14" x14ac:dyDescent="0.25">
      <c r="A515" t="s">
        <v>1157</v>
      </c>
      <c r="B515" t="s">
        <v>61</v>
      </c>
      <c r="C515" t="s">
        <v>106</v>
      </c>
      <c r="D515">
        <v>35</v>
      </c>
      <c r="E515" s="4" t="s">
        <v>2137</v>
      </c>
      <c r="F515" s="4" t="s">
        <v>2140</v>
      </c>
      <c r="G515" t="s">
        <v>16</v>
      </c>
      <c r="H515" s="1">
        <v>44756</v>
      </c>
      <c r="I515" s="4">
        <v>69146.95</v>
      </c>
      <c r="J515" t="s">
        <v>607</v>
      </c>
      <c r="K515">
        <v>-5456676639</v>
      </c>
      <c r="L515" t="s">
        <v>25</v>
      </c>
      <c r="M515" t="b">
        <v>0</v>
      </c>
      <c r="N515">
        <v>6914.6949999999997</v>
      </c>
    </row>
    <row r="516" spans="1:14" x14ac:dyDescent="0.25">
      <c r="A516" t="s">
        <v>1159</v>
      </c>
      <c r="B516" t="s">
        <v>61</v>
      </c>
      <c r="C516" t="s">
        <v>62</v>
      </c>
      <c r="E516" s="4" t="s">
        <v>2141</v>
      </c>
      <c r="F516" s="4" t="s">
        <v>2144</v>
      </c>
      <c r="G516" t="s">
        <v>16</v>
      </c>
      <c r="H516" s="1">
        <v>44096</v>
      </c>
      <c r="I516" s="4">
        <v>93013.58</v>
      </c>
      <c r="J516" t="s">
        <v>65</v>
      </c>
      <c r="K516">
        <v>-4735047638</v>
      </c>
      <c r="L516" t="s">
        <v>19</v>
      </c>
      <c r="M516" t="b">
        <v>1</v>
      </c>
      <c r="N516">
        <v>1860.2716</v>
      </c>
    </row>
    <row r="517" spans="1:14" x14ac:dyDescent="0.25">
      <c r="A517" t="s">
        <v>1161</v>
      </c>
      <c r="B517" t="s">
        <v>80</v>
      </c>
      <c r="C517" t="s">
        <v>41</v>
      </c>
      <c r="D517">
        <v>40</v>
      </c>
      <c r="E517" s="4" t="s">
        <v>2139</v>
      </c>
      <c r="F517" s="4" t="s">
        <v>2144</v>
      </c>
      <c r="G517" t="s">
        <v>16</v>
      </c>
      <c r="H517" s="1">
        <v>43908</v>
      </c>
      <c r="I517" s="4">
        <v>87364.78</v>
      </c>
      <c r="J517" t="s">
        <v>83</v>
      </c>
      <c r="K517">
        <v>-2831995297</v>
      </c>
      <c r="L517" t="s">
        <v>33</v>
      </c>
      <c r="M517" t="b">
        <v>0</v>
      </c>
      <c r="N517">
        <v>4368.2390000000005</v>
      </c>
    </row>
    <row r="518" spans="1:14" x14ac:dyDescent="0.25">
      <c r="A518" t="s">
        <v>1163</v>
      </c>
      <c r="B518" t="s">
        <v>27</v>
      </c>
      <c r="C518" t="s">
        <v>47</v>
      </c>
      <c r="D518">
        <v>35</v>
      </c>
      <c r="E518" s="4" t="s">
        <v>2145</v>
      </c>
      <c r="F518" s="4" t="s">
        <v>2146</v>
      </c>
      <c r="G518" t="s">
        <v>16</v>
      </c>
      <c r="H518" s="1">
        <v>45216</v>
      </c>
      <c r="I518" s="4">
        <v>50288.67</v>
      </c>
      <c r="J518" t="s">
        <v>50</v>
      </c>
      <c r="K518">
        <v>-61558107</v>
      </c>
      <c r="L518" t="s">
        <v>25</v>
      </c>
      <c r="M518" t="b">
        <v>0</v>
      </c>
      <c r="N518">
        <v>5028.8670000000002</v>
      </c>
    </row>
    <row r="519" spans="1:14" x14ac:dyDescent="0.25">
      <c r="A519" t="s">
        <v>1165</v>
      </c>
      <c r="B519" t="s">
        <v>67</v>
      </c>
      <c r="C519" t="s">
        <v>106</v>
      </c>
      <c r="D519">
        <v>35</v>
      </c>
      <c r="E519" s="4" t="s">
        <v>2147</v>
      </c>
      <c r="F519" s="4" t="s">
        <v>2146</v>
      </c>
      <c r="G519" t="s">
        <v>16</v>
      </c>
      <c r="H519" s="1">
        <v>44616</v>
      </c>
      <c r="I519" s="4">
        <v>85233.55</v>
      </c>
      <c r="J519" t="s">
        <v>124</v>
      </c>
      <c r="K519">
        <v>-3583286341</v>
      </c>
      <c r="L519" t="s">
        <v>33</v>
      </c>
      <c r="M519" t="b">
        <v>1</v>
      </c>
      <c r="N519">
        <v>4261.6775000000007</v>
      </c>
    </row>
    <row r="520" spans="1:14" x14ac:dyDescent="0.25">
      <c r="A520" t="s">
        <v>1167</v>
      </c>
      <c r="B520" t="s">
        <v>13</v>
      </c>
      <c r="C520" t="s">
        <v>47</v>
      </c>
      <c r="D520">
        <v>25</v>
      </c>
      <c r="E520" s="4" t="s">
        <v>2147</v>
      </c>
      <c r="F520" s="4" t="s">
        <v>2138</v>
      </c>
      <c r="G520" t="s">
        <v>36</v>
      </c>
      <c r="H520" s="1">
        <v>45321</v>
      </c>
      <c r="I520" s="4">
        <v>86420.19</v>
      </c>
      <c r="J520" t="s">
        <v>180</v>
      </c>
      <c r="K520">
        <v>-5563830007</v>
      </c>
      <c r="L520" t="s">
        <v>33</v>
      </c>
      <c r="M520" t="b">
        <v>0</v>
      </c>
      <c r="N520">
        <v>4321.0095000000001</v>
      </c>
    </row>
    <row r="521" spans="1:14" x14ac:dyDescent="0.25">
      <c r="A521" t="s">
        <v>1169</v>
      </c>
      <c r="B521" t="s">
        <v>80</v>
      </c>
      <c r="C521" t="s">
        <v>62</v>
      </c>
      <c r="D521">
        <v>30</v>
      </c>
      <c r="E521" s="4" t="s">
        <v>2147</v>
      </c>
      <c r="F521" s="4" t="s">
        <v>2144</v>
      </c>
      <c r="G521" t="s">
        <v>36</v>
      </c>
      <c r="H521" s="1">
        <v>45367</v>
      </c>
      <c r="I521" s="4">
        <v>63189.82</v>
      </c>
      <c r="J521" t="s">
        <v>150</v>
      </c>
      <c r="K521">
        <v>-1867024402</v>
      </c>
      <c r="L521" t="s">
        <v>25</v>
      </c>
      <c r="M521" t="b">
        <v>0</v>
      </c>
      <c r="N521">
        <v>6318.982</v>
      </c>
    </row>
    <row r="522" spans="1:14" x14ac:dyDescent="0.25">
      <c r="A522" t="s">
        <v>1171</v>
      </c>
      <c r="B522" t="s">
        <v>80</v>
      </c>
      <c r="C522" t="s">
        <v>47</v>
      </c>
      <c r="D522">
        <v>25</v>
      </c>
      <c r="E522" s="4" t="s">
        <v>2141</v>
      </c>
      <c r="F522" s="4" t="s">
        <v>2146</v>
      </c>
      <c r="G522" t="s">
        <v>30</v>
      </c>
      <c r="H522" s="1">
        <v>44099</v>
      </c>
      <c r="I522" s="4">
        <v>64783.32</v>
      </c>
      <c r="J522" t="s">
        <v>96</v>
      </c>
      <c r="K522">
        <v>-3041662410</v>
      </c>
      <c r="L522" t="s">
        <v>19</v>
      </c>
      <c r="M522" t="b">
        <v>0</v>
      </c>
      <c r="N522">
        <v>1295.6664000000001</v>
      </c>
    </row>
    <row r="523" spans="1:14" x14ac:dyDescent="0.25">
      <c r="A523" t="s">
        <v>1173</v>
      </c>
      <c r="B523" t="s">
        <v>61</v>
      </c>
      <c r="C523" t="s">
        <v>14</v>
      </c>
      <c r="D523">
        <v>25</v>
      </c>
      <c r="E523" s="4" t="s">
        <v>2147</v>
      </c>
      <c r="F523" s="4" t="s">
        <v>2142</v>
      </c>
      <c r="G523" t="s">
        <v>30</v>
      </c>
      <c r="H523" s="1">
        <v>45453</v>
      </c>
      <c r="I523" s="4">
        <v>52615.44</v>
      </c>
      <c r="J523" t="s">
        <v>200</v>
      </c>
      <c r="K523">
        <v>-1860089218</v>
      </c>
      <c r="L523" t="s">
        <v>19</v>
      </c>
      <c r="M523" t="b">
        <v>0</v>
      </c>
      <c r="N523">
        <v>1052.3088</v>
      </c>
    </row>
    <row r="524" spans="1:14" x14ac:dyDescent="0.25">
      <c r="A524" t="s">
        <v>1175</v>
      </c>
      <c r="B524" t="s">
        <v>35</v>
      </c>
      <c r="C524" t="s">
        <v>106</v>
      </c>
      <c r="E524" s="4" t="s">
        <v>2145</v>
      </c>
      <c r="F524" s="4" t="s">
        <v>2140</v>
      </c>
      <c r="G524" t="s">
        <v>30</v>
      </c>
      <c r="H524" s="1">
        <v>43929</v>
      </c>
      <c r="I524" s="4">
        <v>96337.89</v>
      </c>
      <c r="J524" t="s">
        <v>307</v>
      </c>
      <c r="K524">
        <v>-6394568043</v>
      </c>
      <c r="L524" t="s">
        <v>45</v>
      </c>
      <c r="M524" t="b">
        <v>0</v>
      </c>
      <c r="N524">
        <v>0</v>
      </c>
    </row>
    <row r="525" spans="1:14" x14ac:dyDescent="0.25">
      <c r="A525" t="s">
        <v>1177</v>
      </c>
      <c r="B525" t="s">
        <v>27</v>
      </c>
      <c r="C525" t="s">
        <v>14</v>
      </c>
      <c r="D525">
        <v>25</v>
      </c>
      <c r="E525" s="4" t="s">
        <v>2137</v>
      </c>
      <c r="F525" s="4" t="s">
        <v>2140</v>
      </c>
      <c r="G525" t="s">
        <v>36</v>
      </c>
      <c r="H525" s="1">
        <v>44740</v>
      </c>
      <c r="I525" s="4">
        <v>76617.759999999995</v>
      </c>
      <c r="J525" t="s">
        <v>191</v>
      </c>
      <c r="K525">
        <v>-7314976460</v>
      </c>
      <c r="L525" t="s">
        <v>25</v>
      </c>
      <c r="M525" t="b">
        <v>1</v>
      </c>
      <c r="N525">
        <v>7661.7759999999998</v>
      </c>
    </row>
    <row r="526" spans="1:14" x14ac:dyDescent="0.25">
      <c r="A526" t="s">
        <v>1179</v>
      </c>
      <c r="B526" t="s">
        <v>75</v>
      </c>
      <c r="C526" t="s">
        <v>62</v>
      </c>
      <c r="D526">
        <v>30</v>
      </c>
      <c r="E526" s="4" t="s">
        <v>2141</v>
      </c>
      <c r="F526" s="4" t="s">
        <v>2142</v>
      </c>
      <c r="G526" t="s">
        <v>30</v>
      </c>
      <c r="H526" s="1">
        <v>45121</v>
      </c>
      <c r="I526" s="4">
        <v>50651.32</v>
      </c>
      <c r="J526" t="s">
        <v>132</v>
      </c>
      <c r="K526">
        <v>-3684748835</v>
      </c>
      <c r="L526" t="s">
        <v>45</v>
      </c>
      <c r="M526" t="b">
        <v>0</v>
      </c>
      <c r="N526">
        <v>0</v>
      </c>
    </row>
    <row r="527" spans="1:14" x14ac:dyDescent="0.25">
      <c r="A527" t="s">
        <v>1181</v>
      </c>
      <c r="B527" t="s">
        <v>13</v>
      </c>
      <c r="C527" t="s">
        <v>14</v>
      </c>
      <c r="E527" s="4" t="s">
        <v>2147</v>
      </c>
      <c r="F527" s="4" t="s">
        <v>2148</v>
      </c>
      <c r="G527" t="s">
        <v>30</v>
      </c>
      <c r="H527" s="1">
        <v>45266</v>
      </c>
      <c r="I527" s="4">
        <v>59601.45</v>
      </c>
      <c r="J527" t="s">
        <v>18</v>
      </c>
      <c r="K527">
        <v>-765817389</v>
      </c>
      <c r="L527" t="s">
        <v>45</v>
      </c>
      <c r="M527" t="b">
        <v>0</v>
      </c>
      <c r="N527">
        <v>0</v>
      </c>
    </row>
    <row r="528" spans="1:14" x14ac:dyDescent="0.25">
      <c r="A528" t="s">
        <v>1183</v>
      </c>
      <c r="B528" t="s">
        <v>13</v>
      </c>
      <c r="C528" t="s">
        <v>41</v>
      </c>
      <c r="E528" s="4" t="s">
        <v>2137</v>
      </c>
      <c r="F528" s="4" t="s">
        <v>2148</v>
      </c>
      <c r="G528" t="s">
        <v>16</v>
      </c>
      <c r="H528" s="1">
        <v>44409</v>
      </c>
      <c r="I528" s="4">
        <v>57980.88</v>
      </c>
      <c r="J528" t="s">
        <v>170</v>
      </c>
      <c r="K528">
        <v>-6375791451</v>
      </c>
      <c r="L528" t="s">
        <v>45</v>
      </c>
      <c r="M528" t="b">
        <v>0</v>
      </c>
      <c r="N528">
        <v>0</v>
      </c>
    </row>
    <row r="529" spans="1:14" x14ac:dyDescent="0.25">
      <c r="A529" t="s">
        <v>1185</v>
      </c>
      <c r="B529" t="s">
        <v>67</v>
      </c>
      <c r="C529" t="s">
        <v>62</v>
      </c>
      <c r="E529" s="4" t="s">
        <v>2141</v>
      </c>
      <c r="F529" s="4" t="s">
        <v>2138</v>
      </c>
      <c r="G529" t="s">
        <v>30</v>
      </c>
      <c r="H529" s="1">
        <v>44244</v>
      </c>
      <c r="I529" s="4">
        <v>75054.53</v>
      </c>
      <c r="J529" t="s">
        <v>257</v>
      </c>
      <c r="K529">
        <v>-1182379311</v>
      </c>
      <c r="L529" t="s">
        <v>19</v>
      </c>
      <c r="M529" t="b">
        <v>0</v>
      </c>
      <c r="N529">
        <v>1501.0906</v>
      </c>
    </row>
    <row r="530" spans="1:14" x14ac:dyDescent="0.25">
      <c r="A530" t="s">
        <v>1187</v>
      </c>
      <c r="B530" t="s">
        <v>61</v>
      </c>
      <c r="C530" t="s">
        <v>62</v>
      </c>
      <c r="D530">
        <v>25</v>
      </c>
      <c r="E530" s="4" t="s">
        <v>2145</v>
      </c>
      <c r="F530" s="4" t="s">
        <v>2144</v>
      </c>
      <c r="G530" t="s">
        <v>16</v>
      </c>
      <c r="H530" s="1">
        <v>45240</v>
      </c>
      <c r="I530" s="4">
        <v>115318.7</v>
      </c>
      <c r="J530" t="s">
        <v>65</v>
      </c>
      <c r="K530">
        <v>-6978930745</v>
      </c>
      <c r="L530" t="s">
        <v>25</v>
      </c>
      <c r="M530" t="b">
        <v>0</v>
      </c>
      <c r="N530">
        <v>11531.87</v>
      </c>
    </row>
    <row r="531" spans="1:14" x14ac:dyDescent="0.25">
      <c r="A531" t="s">
        <v>1189</v>
      </c>
      <c r="B531" t="s">
        <v>27</v>
      </c>
      <c r="C531" t="s">
        <v>62</v>
      </c>
      <c r="D531">
        <v>25</v>
      </c>
      <c r="E531" s="4" t="s">
        <v>2137</v>
      </c>
      <c r="F531" s="4" t="s">
        <v>2140</v>
      </c>
      <c r="G531" t="s">
        <v>16</v>
      </c>
      <c r="H531" s="1">
        <v>45541</v>
      </c>
      <c r="I531" s="4">
        <v>90190.69</v>
      </c>
      <c r="J531" t="s">
        <v>177</v>
      </c>
      <c r="K531">
        <v>-4520599603</v>
      </c>
      <c r="L531" t="s">
        <v>45</v>
      </c>
      <c r="M531" t="b">
        <v>1</v>
      </c>
      <c r="N531">
        <v>0</v>
      </c>
    </row>
    <row r="532" spans="1:14" x14ac:dyDescent="0.25">
      <c r="A532" t="s">
        <v>1191</v>
      </c>
      <c r="B532" t="s">
        <v>13</v>
      </c>
      <c r="C532" t="s">
        <v>142</v>
      </c>
      <c r="E532" s="4" t="s">
        <v>2143</v>
      </c>
      <c r="F532" s="4" t="s">
        <v>2142</v>
      </c>
      <c r="G532" t="s">
        <v>30</v>
      </c>
      <c r="H532" s="1">
        <v>44038</v>
      </c>
      <c r="I532" s="4">
        <v>113334.56</v>
      </c>
      <c r="J532" t="s">
        <v>144</v>
      </c>
      <c r="K532">
        <v>-3878753576</v>
      </c>
      <c r="L532" t="s">
        <v>25</v>
      </c>
      <c r="M532" t="b">
        <v>0</v>
      </c>
      <c r="N532">
        <v>11333.456</v>
      </c>
    </row>
    <row r="533" spans="1:14" x14ac:dyDescent="0.25">
      <c r="A533" t="s">
        <v>1193</v>
      </c>
      <c r="B533" t="s">
        <v>75</v>
      </c>
      <c r="C533" t="s">
        <v>47</v>
      </c>
      <c r="D533">
        <v>35</v>
      </c>
      <c r="E533" s="4" t="s">
        <v>2147</v>
      </c>
      <c r="F533" s="4" t="s">
        <v>2144</v>
      </c>
      <c r="G533" t="s">
        <v>16</v>
      </c>
      <c r="H533" s="1">
        <v>44035</v>
      </c>
      <c r="I533" s="4">
        <v>106922.49</v>
      </c>
      <c r="J533" t="s">
        <v>300</v>
      </c>
      <c r="K533">
        <v>-8811616201</v>
      </c>
      <c r="L533" t="s">
        <v>25</v>
      </c>
      <c r="M533" t="b">
        <v>1</v>
      </c>
      <c r="N533">
        <v>10692.249000000002</v>
      </c>
    </row>
    <row r="534" spans="1:14" x14ac:dyDescent="0.25">
      <c r="A534" t="s">
        <v>1195</v>
      </c>
      <c r="B534" t="s">
        <v>35</v>
      </c>
      <c r="C534" t="s">
        <v>142</v>
      </c>
      <c r="D534">
        <v>35</v>
      </c>
      <c r="E534" s="4" t="s">
        <v>2137</v>
      </c>
      <c r="F534" s="4" t="s">
        <v>2138</v>
      </c>
      <c r="G534" t="s">
        <v>36</v>
      </c>
      <c r="H534" s="1">
        <v>45343</v>
      </c>
      <c r="I534" s="4">
        <v>58113.07</v>
      </c>
      <c r="J534" t="s">
        <v>632</v>
      </c>
      <c r="K534">
        <v>-8123710671</v>
      </c>
      <c r="L534" t="s">
        <v>19</v>
      </c>
      <c r="M534" t="b">
        <v>1</v>
      </c>
      <c r="N534">
        <v>1162.2614000000001</v>
      </c>
    </row>
    <row r="535" spans="1:14" x14ac:dyDescent="0.25">
      <c r="A535" t="s">
        <v>1197</v>
      </c>
      <c r="B535" t="s">
        <v>27</v>
      </c>
      <c r="C535" t="s">
        <v>142</v>
      </c>
      <c r="D535">
        <v>25</v>
      </c>
      <c r="E535" s="4" t="s">
        <v>2141</v>
      </c>
      <c r="F535" s="4" t="s">
        <v>2142</v>
      </c>
      <c r="G535" t="s">
        <v>30</v>
      </c>
      <c r="H535" s="1">
        <v>44180</v>
      </c>
      <c r="I535" s="4">
        <v>73006.259999999995</v>
      </c>
      <c r="J535" t="s">
        <v>217</v>
      </c>
      <c r="K535">
        <v>-8728660415</v>
      </c>
      <c r="L535" t="s">
        <v>45</v>
      </c>
      <c r="M535" t="b">
        <v>1</v>
      </c>
      <c r="N535">
        <v>0</v>
      </c>
    </row>
    <row r="536" spans="1:14" x14ac:dyDescent="0.25">
      <c r="A536" t="s">
        <v>1199</v>
      </c>
      <c r="B536" t="s">
        <v>35</v>
      </c>
      <c r="C536" t="s">
        <v>41</v>
      </c>
      <c r="D536">
        <v>25</v>
      </c>
      <c r="E536" s="4" t="s">
        <v>2147</v>
      </c>
      <c r="F536" s="4" t="s">
        <v>2138</v>
      </c>
      <c r="G536" t="s">
        <v>16</v>
      </c>
      <c r="H536" s="1">
        <v>44064</v>
      </c>
      <c r="I536" s="4">
        <v>78054.429999999993</v>
      </c>
      <c r="J536" t="s">
        <v>167</v>
      </c>
      <c r="K536">
        <v>-4485959223</v>
      </c>
      <c r="L536" t="s">
        <v>45</v>
      </c>
      <c r="M536" t="b">
        <v>1</v>
      </c>
      <c r="N536">
        <v>0</v>
      </c>
    </row>
    <row r="537" spans="1:14" x14ac:dyDescent="0.25">
      <c r="A537" t="s">
        <v>1201</v>
      </c>
      <c r="B537" t="s">
        <v>35</v>
      </c>
      <c r="C537" t="s">
        <v>106</v>
      </c>
      <c r="D537">
        <v>40</v>
      </c>
      <c r="E537" s="4" t="s">
        <v>2137</v>
      </c>
      <c r="F537" s="4" t="s">
        <v>2144</v>
      </c>
      <c r="G537" t="s">
        <v>36</v>
      </c>
      <c r="H537" s="1">
        <v>45159</v>
      </c>
      <c r="I537" s="4">
        <v>112028.67</v>
      </c>
      <c r="J537" t="s">
        <v>307</v>
      </c>
      <c r="K537">
        <v>-8395894772</v>
      </c>
      <c r="L537" t="s">
        <v>25</v>
      </c>
      <c r="M537" t="b">
        <v>0</v>
      </c>
      <c r="N537">
        <v>11202.867</v>
      </c>
    </row>
    <row r="538" spans="1:14" x14ac:dyDescent="0.25">
      <c r="A538" t="s">
        <v>1203</v>
      </c>
      <c r="B538" t="s">
        <v>61</v>
      </c>
      <c r="C538" t="s">
        <v>47</v>
      </c>
      <c r="D538">
        <v>25</v>
      </c>
      <c r="E538" s="4" t="s">
        <v>2141</v>
      </c>
      <c r="F538" s="4" t="s">
        <v>2140</v>
      </c>
      <c r="G538" t="s">
        <v>36</v>
      </c>
      <c r="H538" s="1">
        <v>45040</v>
      </c>
      <c r="I538" s="4">
        <v>83787.240000000005</v>
      </c>
      <c r="J538" t="s">
        <v>100</v>
      </c>
      <c r="K538">
        <v>-5228705621</v>
      </c>
      <c r="L538" t="s">
        <v>33</v>
      </c>
      <c r="M538" t="b">
        <v>1</v>
      </c>
      <c r="N538">
        <v>4189.3620000000001</v>
      </c>
    </row>
    <row r="539" spans="1:14" x14ac:dyDescent="0.25">
      <c r="A539" t="s">
        <v>1205</v>
      </c>
      <c r="B539" t="s">
        <v>75</v>
      </c>
      <c r="C539" t="s">
        <v>14</v>
      </c>
      <c r="D539">
        <v>30</v>
      </c>
      <c r="E539" s="4" t="s">
        <v>2145</v>
      </c>
      <c r="F539" s="4" t="s">
        <v>2144</v>
      </c>
      <c r="G539" t="s">
        <v>36</v>
      </c>
      <c r="H539" s="1">
        <v>45083</v>
      </c>
      <c r="I539" s="4">
        <v>52017.14</v>
      </c>
      <c r="J539" t="s">
        <v>469</v>
      </c>
      <c r="K539">
        <v>-7104331874</v>
      </c>
      <c r="L539" t="s">
        <v>19</v>
      </c>
      <c r="M539" t="b">
        <v>1</v>
      </c>
      <c r="N539">
        <v>1040.3427999999999</v>
      </c>
    </row>
    <row r="540" spans="1:14" x14ac:dyDescent="0.25">
      <c r="A540" t="s">
        <v>1207</v>
      </c>
      <c r="B540" t="s">
        <v>61</v>
      </c>
      <c r="C540" t="s">
        <v>28</v>
      </c>
      <c r="D540">
        <v>40</v>
      </c>
      <c r="E540" s="4" t="s">
        <v>2139</v>
      </c>
      <c r="F540" s="4" t="s">
        <v>2140</v>
      </c>
      <c r="G540" t="s">
        <v>36</v>
      </c>
      <c r="H540" s="1">
        <v>44733</v>
      </c>
      <c r="I540" s="4">
        <v>53218.06</v>
      </c>
      <c r="J540" t="s">
        <v>140</v>
      </c>
      <c r="K540">
        <v>-1097921582</v>
      </c>
      <c r="L540" t="s">
        <v>19</v>
      </c>
      <c r="M540" t="b">
        <v>0</v>
      </c>
      <c r="N540">
        <v>1064.3612000000001</v>
      </c>
    </row>
    <row r="541" spans="1:14" x14ac:dyDescent="0.25">
      <c r="A541" t="s">
        <v>1209</v>
      </c>
      <c r="B541" t="s">
        <v>40</v>
      </c>
      <c r="C541" t="s">
        <v>62</v>
      </c>
      <c r="D541">
        <v>25</v>
      </c>
      <c r="E541" s="4" t="s">
        <v>2137</v>
      </c>
      <c r="F541" s="4" t="s">
        <v>2142</v>
      </c>
      <c r="G541" t="s">
        <v>30</v>
      </c>
      <c r="H541" s="1">
        <v>45402</v>
      </c>
      <c r="I541" s="4">
        <v>102053.67</v>
      </c>
      <c r="J541" t="s">
        <v>316</v>
      </c>
      <c r="K541">
        <v>-5034469458</v>
      </c>
      <c r="L541" t="s">
        <v>19</v>
      </c>
      <c r="M541" t="b">
        <v>0</v>
      </c>
      <c r="N541">
        <v>2041.0734</v>
      </c>
    </row>
    <row r="542" spans="1:14" x14ac:dyDescent="0.25">
      <c r="A542" t="s">
        <v>1211</v>
      </c>
      <c r="B542" t="s">
        <v>67</v>
      </c>
      <c r="C542" t="s">
        <v>14</v>
      </c>
      <c r="D542">
        <v>35</v>
      </c>
      <c r="E542" s="4" t="s">
        <v>2145</v>
      </c>
      <c r="F542" s="4" t="s">
        <v>2148</v>
      </c>
      <c r="G542" t="s">
        <v>30</v>
      </c>
      <c r="H542" s="1">
        <v>45265</v>
      </c>
      <c r="I542" s="4">
        <v>93276.73</v>
      </c>
      <c r="J542" t="s">
        <v>73</v>
      </c>
      <c r="K542">
        <v>-6488319212</v>
      </c>
      <c r="L542" t="s">
        <v>19</v>
      </c>
      <c r="M542" t="b">
        <v>0</v>
      </c>
      <c r="N542">
        <v>1865.5346</v>
      </c>
    </row>
    <row r="543" spans="1:14" x14ac:dyDescent="0.25">
      <c r="A543" t="s">
        <v>1213</v>
      </c>
      <c r="B543" t="s">
        <v>67</v>
      </c>
      <c r="C543" t="s">
        <v>62</v>
      </c>
      <c r="D543">
        <v>40</v>
      </c>
      <c r="E543" s="4" t="s">
        <v>2147</v>
      </c>
      <c r="F543" s="4" t="s">
        <v>2142</v>
      </c>
      <c r="G543" t="s">
        <v>30</v>
      </c>
      <c r="H543" s="1">
        <v>45144</v>
      </c>
      <c r="I543" s="4">
        <v>76941.36</v>
      </c>
      <c r="J543" t="s">
        <v>257</v>
      </c>
      <c r="K543">
        <v>-4249128964</v>
      </c>
      <c r="L543" t="s">
        <v>45</v>
      </c>
      <c r="M543" t="b">
        <v>1</v>
      </c>
      <c r="N543">
        <v>0</v>
      </c>
    </row>
    <row r="544" spans="1:14" x14ac:dyDescent="0.25">
      <c r="A544" t="s">
        <v>1215</v>
      </c>
      <c r="B544" t="s">
        <v>27</v>
      </c>
      <c r="C544" t="s">
        <v>41</v>
      </c>
      <c r="D544">
        <v>25</v>
      </c>
      <c r="E544" s="4" t="s">
        <v>2137</v>
      </c>
      <c r="F544" s="4" t="s">
        <v>2146</v>
      </c>
      <c r="G544" t="s">
        <v>30</v>
      </c>
      <c r="H544" s="1">
        <v>45569</v>
      </c>
      <c r="I544" s="4">
        <v>82850.23</v>
      </c>
      <c r="J544" t="s">
        <v>431</v>
      </c>
      <c r="K544">
        <v>-9994973202</v>
      </c>
      <c r="L544" t="s">
        <v>45</v>
      </c>
      <c r="M544" t="b">
        <v>0</v>
      </c>
      <c r="N544">
        <v>0</v>
      </c>
    </row>
    <row r="545" spans="1:14" x14ac:dyDescent="0.25">
      <c r="A545" t="s">
        <v>1217</v>
      </c>
      <c r="B545" t="s">
        <v>61</v>
      </c>
      <c r="C545" t="s">
        <v>62</v>
      </c>
      <c r="D545">
        <v>25</v>
      </c>
      <c r="E545" s="4" t="s">
        <v>2139</v>
      </c>
      <c r="F545" s="4" t="s">
        <v>2138</v>
      </c>
      <c r="G545" t="s">
        <v>16</v>
      </c>
      <c r="H545" s="1">
        <v>44508</v>
      </c>
      <c r="I545" s="4">
        <v>117910.15</v>
      </c>
      <c r="J545" t="s">
        <v>65</v>
      </c>
      <c r="K545">
        <v>-3192227050</v>
      </c>
      <c r="L545" t="s">
        <v>33</v>
      </c>
      <c r="M545" t="b">
        <v>0</v>
      </c>
      <c r="N545">
        <v>5895.5074999999997</v>
      </c>
    </row>
    <row r="546" spans="1:14" x14ac:dyDescent="0.25">
      <c r="A546" t="s">
        <v>1219</v>
      </c>
      <c r="B546" t="s">
        <v>67</v>
      </c>
      <c r="C546" t="s">
        <v>142</v>
      </c>
      <c r="E546" s="4" t="s">
        <v>2137</v>
      </c>
      <c r="F546" s="4" t="s">
        <v>2144</v>
      </c>
      <c r="G546" t="s">
        <v>36</v>
      </c>
      <c r="H546" s="1">
        <v>45504</v>
      </c>
      <c r="I546" s="4">
        <v>66450</v>
      </c>
      <c r="J546" t="s">
        <v>402</v>
      </c>
      <c r="K546">
        <v>-287675480</v>
      </c>
      <c r="L546" t="s">
        <v>19</v>
      </c>
      <c r="M546" t="b">
        <v>1</v>
      </c>
      <c r="N546">
        <v>1329</v>
      </c>
    </row>
    <row r="547" spans="1:14" x14ac:dyDescent="0.25">
      <c r="A547" t="s">
        <v>1221</v>
      </c>
      <c r="B547" t="s">
        <v>75</v>
      </c>
      <c r="C547" t="s">
        <v>47</v>
      </c>
      <c r="D547">
        <v>25</v>
      </c>
      <c r="E547" s="4" t="s">
        <v>2139</v>
      </c>
      <c r="F547" s="4" t="s">
        <v>2144</v>
      </c>
      <c r="G547" t="s">
        <v>36</v>
      </c>
      <c r="H547" s="1">
        <v>44074</v>
      </c>
      <c r="I547" s="4">
        <v>118646.95</v>
      </c>
      <c r="J547" t="s">
        <v>300</v>
      </c>
      <c r="K547">
        <v>-3866675484</v>
      </c>
      <c r="L547" t="s">
        <v>19</v>
      </c>
      <c r="M547" t="b">
        <v>0</v>
      </c>
      <c r="N547">
        <v>2372.9389999999999</v>
      </c>
    </row>
    <row r="548" spans="1:14" x14ac:dyDescent="0.25">
      <c r="A548" t="s">
        <v>1223</v>
      </c>
      <c r="B548" t="s">
        <v>27</v>
      </c>
      <c r="C548" t="s">
        <v>28</v>
      </c>
      <c r="D548">
        <v>25</v>
      </c>
      <c r="E548" s="4" t="s">
        <v>2139</v>
      </c>
      <c r="F548" s="4" t="s">
        <v>2144</v>
      </c>
      <c r="G548" t="s">
        <v>16</v>
      </c>
      <c r="H548" s="1">
        <v>44972</v>
      </c>
      <c r="I548" s="4">
        <v>88436.92</v>
      </c>
      <c r="J548" t="s">
        <v>32</v>
      </c>
      <c r="K548">
        <v>-8193242686</v>
      </c>
      <c r="L548" t="s">
        <v>25</v>
      </c>
      <c r="M548" t="b">
        <v>0</v>
      </c>
      <c r="N548">
        <v>8843.6920000000009</v>
      </c>
    </row>
    <row r="549" spans="1:14" x14ac:dyDescent="0.25">
      <c r="A549" t="s">
        <v>1225</v>
      </c>
      <c r="B549" t="s">
        <v>35</v>
      </c>
      <c r="C549" t="s">
        <v>21</v>
      </c>
      <c r="E549" s="4" t="s">
        <v>2145</v>
      </c>
      <c r="F549" s="4" t="s">
        <v>2146</v>
      </c>
      <c r="G549" t="s">
        <v>30</v>
      </c>
      <c r="H549" s="1">
        <v>45206</v>
      </c>
      <c r="I549" s="4">
        <v>81934.55</v>
      </c>
      <c r="J549" t="s">
        <v>183</v>
      </c>
      <c r="K549">
        <v>-7418652056</v>
      </c>
      <c r="L549" t="s">
        <v>45</v>
      </c>
      <c r="M549" t="b">
        <v>0</v>
      </c>
      <c r="N549">
        <v>0</v>
      </c>
    </row>
    <row r="550" spans="1:14" x14ac:dyDescent="0.25">
      <c r="A550" t="s">
        <v>1227</v>
      </c>
      <c r="B550" t="s">
        <v>27</v>
      </c>
      <c r="C550" t="s">
        <v>62</v>
      </c>
      <c r="D550">
        <v>30</v>
      </c>
      <c r="E550" s="4" t="s">
        <v>2139</v>
      </c>
      <c r="F550" s="4" t="s">
        <v>2138</v>
      </c>
      <c r="G550" t="s">
        <v>30</v>
      </c>
      <c r="H550" s="1">
        <v>45402</v>
      </c>
      <c r="I550" s="4">
        <v>93383.06</v>
      </c>
      <c r="J550" t="s">
        <v>177</v>
      </c>
      <c r="K550">
        <v>-5639836519</v>
      </c>
      <c r="L550" t="s">
        <v>19</v>
      </c>
      <c r="M550" t="b">
        <v>0</v>
      </c>
      <c r="N550">
        <v>1867.6612</v>
      </c>
    </row>
    <row r="551" spans="1:14" x14ac:dyDescent="0.25">
      <c r="A551" t="s">
        <v>1229</v>
      </c>
      <c r="B551" t="s">
        <v>40</v>
      </c>
      <c r="C551" t="s">
        <v>14</v>
      </c>
      <c r="D551">
        <v>40</v>
      </c>
      <c r="E551" s="4" t="s">
        <v>2143</v>
      </c>
      <c r="F551" s="4" t="s">
        <v>2140</v>
      </c>
      <c r="G551" t="s">
        <v>30</v>
      </c>
      <c r="H551" s="1">
        <v>44285</v>
      </c>
      <c r="I551" s="4">
        <v>50153.79</v>
      </c>
      <c r="J551" t="s">
        <v>59</v>
      </c>
      <c r="K551">
        <v>-3758309450</v>
      </c>
      <c r="L551" t="s">
        <v>33</v>
      </c>
      <c r="M551" t="b">
        <v>1</v>
      </c>
      <c r="N551">
        <v>2507.6895000000004</v>
      </c>
    </row>
    <row r="552" spans="1:14" x14ac:dyDescent="0.25">
      <c r="A552" t="s">
        <v>1231</v>
      </c>
      <c r="B552" t="s">
        <v>35</v>
      </c>
      <c r="C552" t="s">
        <v>142</v>
      </c>
      <c r="E552" s="4" t="s">
        <v>2145</v>
      </c>
      <c r="F552" s="4" t="s">
        <v>2138</v>
      </c>
      <c r="G552" t="s">
        <v>30</v>
      </c>
      <c r="H552" s="1">
        <v>44048</v>
      </c>
      <c r="I552" s="4">
        <v>53204.47</v>
      </c>
      <c r="J552" t="s">
        <v>632</v>
      </c>
      <c r="K552">
        <v>-5480940475</v>
      </c>
      <c r="L552" t="s">
        <v>33</v>
      </c>
      <c r="M552" t="b">
        <v>0</v>
      </c>
      <c r="N552">
        <v>2660.2235000000001</v>
      </c>
    </row>
    <row r="553" spans="1:14" x14ac:dyDescent="0.25">
      <c r="A553" t="s">
        <v>1233</v>
      </c>
      <c r="B553" t="s">
        <v>61</v>
      </c>
      <c r="C553" t="s">
        <v>21</v>
      </c>
      <c r="D553">
        <v>40</v>
      </c>
      <c r="E553" s="4" t="s">
        <v>2143</v>
      </c>
      <c r="F553" s="4" t="s">
        <v>2138</v>
      </c>
      <c r="G553" t="s">
        <v>30</v>
      </c>
      <c r="H553" s="1">
        <v>44232</v>
      </c>
      <c r="I553" s="4">
        <v>63128.04</v>
      </c>
      <c r="J553" t="s">
        <v>147</v>
      </c>
      <c r="K553">
        <v>-440907976</v>
      </c>
      <c r="L553" t="s">
        <v>45</v>
      </c>
      <c r="M553" t="b">
        <v>0</v>
      </c>
      <c r="N553">
        <v>0</v>
      </c>
    </row>
    <row r="554" spans="1:14" x14ac:dyDescent="0.25">
      <c r="A554" t="s">
        <v>1235</v>
      </c>
      <c r="B554" t="s">
        <v>80</v>
      </c>
      <c r="C554" t="s">
        <v>28</v>
      </c>
      <c r="D554">
        <v>30</v>
      </c>
      <c r="E554" s="4" t="s">
        <v>2139</v>
      </c>
      <c r="F554" s="4" t="s">
        <v>2146</v>
      </c>
      <c r="G554" t="s">
        <v>30</v>
      </c>
      <c r="H554" s="1">
        <v>44523</v>
      </c>
      <c r="I554" s="4">
        <v>57543.6</v>
      </c>
      <c r="J554" t="s">
        <v>89</v>
      </c>
      <c r="K554">
        <v>-2781050921</v>
      </c>
      <c r="L554" t="s">
        <v>33</v>
      </c>
      <c r="M554" t="b">
        <v>1</v>
      </c>
      <c r="N554">
        <v>2877.1800000000003</v>
      </c>
    </row>
    <row r="555" spans="1:14" x14ac:dyDescent="0.25">
      <c r="A555" t="s">
        <v>1237</v>
      </c>
      <c r="B555" t="s">
        <v>13</v>
      </c>
      <c r="C555" t="s">
        <v>21</v>
      </c>
      <c r="D555">
        <v>40</v>
      </c>
      <c r="E555" s="4" t="s">
        <v>2139</v>
      </c>
      <c r="F555" s="4" t="s">
        <v>2142</v>
      </c>
      <c r="G555" t="s">
        <v>30</v>
      </c>
      <c r="H555" s="1">
        <v>44863</v>
      </c>
      <c r="I555" s="4">
        <v>59424.52</v>
      </c>
      <c r="J555" t="s">
        <v>24</v>
      </c>
      <c r="K555">
        <v>-2161070517</v>
      </c>
      <c r="L555" t="s">
        <v>33</v>
      </c>
      <c r="M555" t="b">
        <v>0</v>
      </c>
      <c r="N555">
        <v>2971.2260000000001</v>
      </c>
    </row>
    <row r="556" spans="1:14" x14ac:dyDescent="0.25">
      <c r="A556" t="s">
        <v>1239</v>
      </c>
      <c r="B556" t="s">
        <v>27</v>
      </c>
      <c r="C556" t="s">
        <v>142</v>
      </c>
      <c r="E556" s="4" t="s">
        <v>2139</v>
      </c>
      <c r="F556" s="4" t="s">
        <v>2148</v>
      </c>
      <c r="G556" t="s">
        <v>36</v>
      </c>
      <c r="H556" s="1">
        <v>44872</v>
      </c>
      <c r="I556" s="4">
        <v>104675.7</v>
      </c>
      <c r="J556" t="s">
        <v>217</v>
      </c>
      <c r="K556">
        <v>-4390552957</v>
      </c>
      <c r="L556" t="s">
        <v>45</v>
      </c>
      <c r="M556" t="b">
        <v>1</v>
      </c>
      <c r="N556">
        <v>0</v>
      </c>
    </row>
    <row r="557" spans="1:14" x14ac:dyDescent="0.25">
      <c r="A557" t="s">
        <v>1241</v>
      </c>
      <c r="B557" t="s">
        <v>61</v>
      </c>
      <c r="C557" t="s">
        <v>47</v>
      </c>
      <c r="D557">
        <v>30</v>
      </c>
      <c r="E557" s="4" t="s">
        <v>2143</v>
      </c>
      <c r="F557" s="4" t="s">
        <v>2144</v>
      </c>
      <c r="G557" t="s">
        <v>30</v>
      </c>
      <c r="H557" s="1">
        <v>45060</v>
      </c>
      <c r="I557" s="4">
        <v>92431.25</v>
      </c>
      <c r="J557" t="s">
        <v>100</v>
      </c>
      <c r="K557">
        <v>-660138240</v>
      </c>
      <c r="L557" t="s">
        <v>19</v>
      </c>
      <c r="M557" t="b">
        <v>0</v>
      </c>
      <c r="N557">
        <v>1848.625</v>
      </c>
    </row>
    <row r="558" spans="1:14" x14ac:dyDescent="0.25">
      <c r="A558" t="s">
        <v>1243</v>
      </c>
      <c r="B558" t="s">
        <v>80</v>
      </c>
      <c r="C558" t="s">
        <v>47</v>
      </c>
      <c r="D558">
        <v>40</v>
      </c>
      <c r="E558" s="4" t="s">
        <v>2145</v>
      </c>
      <c r="F558" s="4" t="s">
        <v>2142</v>
      </c>
      <c r="G558" t="s">
        <v>16</v>
      </c>
      <c r="H558" s="1">
        <v>44391</v>
      </c>
      <c r="I558" s="4">
        <v>77850.899999999994</v>
      </c>
      <c r="J558" t="s">
        <v>96</v>
      </c>
      <c r="K558">
        <v>-2704938619</v>
      </c>
      <c r="L558" t="s">
        <v>19</v>
      </c>
      <c r="M558" t="b">
        <v>1</v>
      </c>
      <c r="N558">
        <v>1557.018</v>
      </c>
    </row>
    <row r="559" spans="1:14" x14ac:dyDescent="0.25">
      <c r="A559" t="s">
        <v>1245</v>
      </c>
      <c r="B559" t="s">
        <v>35</v>
      </c>
      <c r="C559" t="s">
        <v>106</v>
      </c>
      <c r="D559">
        <v>40</v>
      </c>
      <c r="E559" s="4" t="s">
        <v>2141</v>
      </c>
      <c r="F559" s="4" t="s">
        <v>2146</v>
      </c>
      <c r="G559" t="s">
        <v>36</v>
      </c>
      <c r="H559" s="1">
        <v>45064</v>
      </c>
      <c r="I559" s="4">
        <v>99001</v>
      </c>
      <c r="J559" t="s">
        <v>307</v>
      </c>
      <c r="K559">
        <v>-4485157918</v>
      </c>
      <c r="L559" t="s">
        <v>33</v>
      </c>
      <c r="M559" t="b">
        <v>1</v>
      </c>
      <c r="N559">
        <v>4950.05</v>
      </c>
    </row>
    <row r="560" spans="1:14" x14ac:dyDescent="0.25">
      <c r="A560" t="s">
        <v>1247</v>
      </c>
      <c r="B560" t="s">
        <v>35</v>
      </c>
      <c r="C560" t="s">
        <v>47</v>
      </c>
      <c r="E560" s="4" t="s">
        <v>2147</v>
      </c>
      <c r="F560" s="4" t="s">
        <v>2142</v>
      </c>
      <c r="G560" t="s">
        <v>30</v>
      </c>
      <c r="H560" s="1">
        <v>44964</v>
      </c>
      <c r="I560" s="4">
        <v>94280.83</v>
      </c>
      <c r="J560" t="s">
        <v>346</v>
      </c>
      <c r="K560">
        <v>-7111212589</v>
      </c>
      <c r="L560" t="s">
        <v>33</v>
      </c>
      <c r="M560" t="b">
        <v>1</v>
      </c>
      <c r="N560">
        <v>4714.0415000000003</v>
      </c>
    </row>
    <row r="561" spans="1:14" x14ac:dyDescent="0.25">
      <c r="A561" t="s">
        <v>1249</v>
      </c>
      <c r="B561" t="s">
        <v>35</v>
      </c>
      <c r="C561" t="s">
        <v>106</v>
      </c>
      <c r="D561">
        <v>35</v>
      </c>
      <c r="E561" s="4" t="s">
        <v>2137</v>
      </c>
      <c r="F561" s="4" t="s">
        <v>2146</v>
      </c>
      <c r="G561" t="s">
        <v>30</v>
      </c>
      <c r="H561" s="1">
        <v>45162</v>
      </c>
      <c r="I561" s="4">
        <v>118262.56</v>
      </c>
      <c r="J561" t="s">
        <v>307</v>
      </c>
      <c r="K561">
        <v>-2035713431</v>
      </c>
      <c r="L561" t="s">
        <v>19</v>
      </c>
      <c r="M561" t="b">
        <v>1</v>
      </c>
      <c r="N561">
        <v>2365.2512000000002</v>
      </c>
    </row>
    <row r="562" spans="1:14" x14ac:dyDescent="0.25">
      <c r="A562" t="s">
        <v>1251</v>
      </c>
      <c r="B562" t="s">
        <v>40</v>
      </c>
      <c r="C562" t="s">
        <v>21</v>
      </c>
      <c r="D562">
        <v>25</v>
      </c>
      <c r="E562" s="4" t="s">
        <v>2147</v>
      </c>
      <c r="F562" s="4" t="s">
        <v>2148</v>
      </c>
      <c r="G562" t="s">
        <v>36</v>
      </c>
      <c r="H562" s="1">
        <v>45024</v>
      </c>
      <c r="I562" s="4">
        <v>89944.67</v>
      </c>
      <c r="J562" t="s">
        <v>280</v>
      </c>
      <c r="K562">
        <v>-4064242955</v>
      </c>
      <c r="L562" t="s">
        <v>45</v>
      </c>
      <c r="M562" t="b">
        <v>0</v>
      </c>
      <c r="N562">
        <v>0</v>
      </c>
    </row>
    <row r="563" spans="1:14" x14ac:dyDescent="0.25">
      <c r="A563" t="s">
        <v>1253</v>
      </c>
      <c r="B563" t="s">
        <v>80</v>
      </c>
      <c r="C563" t="s">
        <v>41</v>
      </c>
      <c r="E563" s="4" t="s">
        <v>2147</v>
      </c>
      <c r="F563" s="4" t="s">
        <v>2144</v>
      </c>
      <c r="G563" t="s">
        <v>16</v>
      </c>
      <c r="H563" s="1">
        <v>44901</v>
      </c>
      <c r="I563" s="4">
        <v>57452.93</v>
      </c>
      <c r="J563" t="s">
        <v>83</v>
      </c>
      <c r="K563">
        <v>-3343244740</v>
      </c>
      <c r="L563" t="s">
        <v>33</v>
      </c>
      <c r="M563" t="b">
        <v>1</v>
      </c>
      <c r="N563">
        <v>2872.6465000000003</v>
      </c>
    </row>
    <row r="564" spans="1:14" x14ac:dyDescent="0.25">
      <c r="A564" t="s">
        <v>1255</v>
      </c>
      <c r="B564" t="s">
        <v>27</v>
      </c>
      <c r="C564" t="s">
        <v>14</v>
      </c>
      <c r="D564">
        <v>25</v>
      </c>
      <c r="E564" s="4" t="s">
        <v>2141</v>
      </c>
      <c r="F564" s="4" t="s">
        <v>2138</v>
      </c>
      <c r="G564" t="s">
        <v>16</v>
      </c>
      <c r="H564" s="1">
        <v>44417</v>
      </c>
      <c r="I564" s="4">
        <v>97837.32</v>
      </c>
      <c r="J564" t="s">
        <v>191</v>
      </c>
      <c r="K564">
        <v>-7595587208</v>
      </c>
      <c r="L564" t="s">
        <v>25</v>
      </c>
      <c r="M564" t="b">
        <v>0</v>
      </c>
      <c r="N564">
        <v>9783.7320000000018</v>
      </c>
    </row>
    <row r="565" spans="1:14" x14ac:dyDescent="0.25">
      <c r="A565" t="s">
        <v>1257</v>
      </c>
      <c r="B565" t="s">
        <v>27</v>
      </c>
      <c r="C565" t="s">
        <v>14</v>
      </c>
      <c r="D565">
        <v>35</v>
      </c>
      <c r="E565" s="4" t="s">
        <v>2141</v>
      </c>
      <c r="F565" s="4" t="s">
        <v>2148</v>
      </c>
      <c r="G565" t="s">
        <v>16</v>
      </c>
      <c r="H565" s="1">
        <v>44565</v>
      </c>
      <c r="I565" s="4">
        <v>106981.84</v>
      </c>
      <c r="J565" t="s">
        <v>191</v>
      </c>
      <c r="K565">
        <v>-6289365434</v>
      </c>
      <c r="L565" t="s">
        <v>45</v>
      </c>
      <c r="M565" t="b">
        <v>1</v>
      </c>
      <c r="N565">
        <v>0</v>
      </c>
    </row>
    <row r="566" spans="1:14" x14ac:dyDescent="0.25">
      <c r="A566" t="s">
        <v>1259</v>
      </c>
      <c r="B566" t="s">
        <v>67</v>
      </c>
      <c r="C566" t="s">
        <v>21</v>
      </c>
      <c r="E566" s="4" t="s">
        <v>2139</v>
      </c>
      <c r="F566" s="4" t="s">
        <v>2146</v>
      </c>
      <c r="G566" t="s">
        <v>30</v>
      </c>
      <c r="H566" s="1">
        <v>45437</v>
      </c>
      <c r="I566" s="4">
        <v>105778.36</v>
      </c>
      <c r="J566" t="s">
        <v>265</v>
      </c>
      <c r="K566">
        <v>-8841834373</v>
      </c>
      <c r="L566" t="s">
        <v>33</v>
      </c>
      <c r="M566" t="b">
        <v>1</v>
      </c>
      <c r="N566">
        <v>5288.9180000000006</v>
      </c>
    </row>
    <row r="567" spans="1:14" x14ac:dyDescent="0.25">
      <c r="A567" t="s">
        <v>1261</v>
      </c>
      <c r="B567" t="s">
        <v>27</v>
      </c>
      <c r="C567" t="s">
        <v>62</v>
      </c>
      <c r="D567">
        <v>40</v>
      </c>
      <c r="E567" s="4" t="s">
        <v>2139</v>
      </c>
      <c r="F567" s="4" t="s">
        <v>2144</v>
      </c>
      <c r="G567" t="s">
        <v>30</v>
      </c>
      <c r="H567" s="1">
        <v>44471</v>
      </c>
      <c r="I567" s="4">
        <v>117608.32000000001</v>
      </c>
      <c r="J567" t="s">
        <v>177</v>
      </c>
      <c r="K567">
        <v>-182727954</v>
      </c>
      <c r="L567" t="s">
        <v>33</v>
      </c>
      <c r="M567" t="b">
        <v>1</v>
      </c>
      <c r="N567">
        <v>5880.4160000000011</v>
      </c>
    </row>
    <row r="568" spans="1:14" x14ac:dyDescent="0.25">
      <c r="A568" t="s">
        <v>1263</v>
      </c>
      <c r="B568" t="s">
        <v>35</v>
      </c>
      <c r="C568" t="s">
        <v>62</v>
      </c>
      <c r="D568">
        <v>30</v>
      </c>
      <c r="E568" s="4" t="s">
        <v>2145</v>
      </c>
      <c r="F568" s="4" t="s">
        <v>2144</v>
      </c>
      <c r="G568" t="s">
        <v>16</v>
      </c>
      <c r="H568" s="1">
        <v>45128</v>
      </c>
      <c r="I568" s="4">
        <v>99324.03</v>
      </c>
      <c r="J568" t="s">
        <v>380</v>
      </c>
      <c r="K568">
        <v>-9690515025</v>
      </c>
      <c r="L568" t="s">
        <v>25</v>
      </c>
      <c r="M568" t="b">
        <v>0</v>
      </c>
      <c r="N568">
        <v>9932.4030000000002</v>
      </c>
    </row>
    <row r="569" spans="1:14" x14ac:dyDescent="0.25">
      <c r="A569" t="s">
        <v>1265</v>
      </c>
      <c r="B569" t="s">
        <v>67</v>
      </c>
      <c r="C569" t="s">
        <v>47</v>
      </c>
      <c r="D569">
        <v>30</v>
      </c>
      <c r="E569" s="4" t="s">
        <v>2147</v>
      </c>
      <c r="F569" s="4" t="s">
        <v>2144</v>
      </c>
      <c r="G569" t="s">
        <v>16</v>
      </c>
      <c r="H569" s="1">
        <v>45229</v>
      </c>
      <c r="I569" s="4">
        <v>55212.83</v>
      </c>
      <c r="J569" t="s">
        <v>118</v>
      </c>
      <c r="K569">
        <v>-7551254277</v>
      </c>
      <c r="L569" t="s">
        <v>25</v>
      </c>
      <c r="M569" t="b">
        <v>1</v>
      </c>
      <c r="N569">
        <v>5521.2830000000004</v>
      </c>
    </row>
    <row r="570" spans="1:14" x14ac:dyDescent="0.25">
      <c r="A570" t="s">
        <v>1267</v>
      </c>
      <c r="B570" t="s">
        <v>13</v>
      </c>
      <c r="C570" t="s">
        <v>14</v>
      </c>
      <c r="D570">
        <v>40</v>
      </c>
      <c r="E570" s="4" t="s">
        <v>2143</v>
      </c>
      <c r="F570" s="4" t="s">
        <v>2144</v>
      </c>
      <c r="G570" t="s">
        <v>36</v>
      </c>
      <c r="H570" s="1">
        <v>44970</v>
      </c>
      <c r="I570" s="4">
        <v>68496.77</v>
      </c>
      <c r="J570" t="s">
        <v>18</v>
      </c>
      <c r="K570">
        <v>-2079799666</v>
      </c>
      <c r="L570" t="s">
        <v>19</v>
      </c>
      <c r="M570" t="b">
        <v>0</v>
      </c>
      <c r="N570">
        <v>1369.9354000000001</v>
      </c>
    </row>
    <row r="571" spans="1:14" x14ac:dyDescent="0.25">
      <c r="A571" t="s">
        <v>1269</v>
      </c>
      <c r="B571" t="s">
        <v>35</v>
      </c>
      <c r="C571" t="s">
        <v>14</v>
      </c>
      <c r="D571">
        <v>25</v>
      </c>
      <c r="E571" s="4" t="s">
        <v>2147</v>
      </c>
      <c r="F571" s="4" t="s">
        <v>2144</v>
      </c>
      <c r="G571" t="s">
        <v>30</v>
      </c>
      <c r="H571" s="1">
        <v>44148</v>
      </c>
      <c r="I571" s="4">
        <v>52795.839999999997</v>
      </c>
      <c r="J571" t="s">
        <v>38</v>
      </c>
      <c r="K571">
        <v>-3459576402</v>
      </c>
      <c r="L571" t="s">
        <v>45</v>
      </c>
      <c r="M571" t="b">
        <v>0</v>
      </c>
      <c r="N571">
        <v>0</v>
      </c>
    </row>
    <row r="572" spans="1:14" x14ac:dyDescent="0.25">
      <c r="A572" t="s">
        <v>1271</v>
      </c>
      <c r="B572" t="s">
        <v>27</v>
      </c>
      <c r="C572" t="s">
        <v>106</v>
      </c>
      <c r="E572" s="4" t="s">
        <v>2137</v>
      </c>
      <c r="F572" s="4" t="s">
        <v>2138</v>
      </c>
      <c r="G572" t="s">
        <v>36</v>
      </c>
      <c r="H572" s="1">
        <v>45448</v>
      </c>
      <c r="I572" s="4">
        <v>90087.39</v>
      </c>
      <c r="J572" t="s">
        <v>194</v>
      </c>
      <c r="K572">
        <v>-8166496901</v>
      </c>
      <c r="L572" t="s">
        <v>45</v>
      </c>
      <c r="M572" t="b">
        <v>0</v>
      </c>
      <c r="N572">
        <v>0</v>
      </c>
    </row>
    <row r="573" spans="1:14" x14ac:dyDescent="0.25">
      <c r="A573" t="s">
        <v>1273</v>
      </c>
      <c r="B573" t="s">
        <v>40</v>
      </c>
      <c r="C573" t="s">
        <v>41</v>
      </c>
      <c r="E573" s="4" t="s">
        <v>2141</v>
      </c>
      <c r="F573" s="4" t="s">
        <v>2146</v>
      </c>
      <c r="G573" t="s">
        <v>30</v>
      </c>
      <c r="H573" s="1">
        <v>43970</v>
      </c>
      <c r="I573" s="4">
        <v>105038.08</v>
      </c>
      <c r="J573" t="s">
        <v>44</v>
      </c>
      <c r="K573">
        <v>-8249839224</v>
      </c>
      <c r="L573" t="s">
        <v>19</v>
      </c>
      <c r="M573" t="b">
        <v>0</v>
      </c>
      <c r="N573">
        <v>2100.7616000000003</v>
      </c>
    </row>
    <row r="574" spans="1:14" x14ac:dyDescent="0.25">
      <c r="A574" t="s">
        <v>1275</v>
      </c>
      <c r="B574" t="s">
        <v>80</v>
      </c>
      <c r="C574" t="s">
        <v>142</v>
      </c>
      <c r="D574">
        <v>25</v>
      </c>
      <c r="E574" s="4" t="s">
        <v>2147</v>
      </c>
      <c r="F574" s="4" t="s">
        <v>2146</v>
      </c>
      <c r="G574" t="s">
        <v>16</v>
      </c>
      <c r="H574" s="1">
        <v>45189</v>
      </c>
      <c r="I574" s="4">
        <v>73231.850000000006</v>
      </c>
      <c r="J574" t="s">
        <v>160</v>
      </c>
      <c r="K574">
        <v>-142576269</v>
      </c>
      <c r="L574" t="s">
        <v>45</v>
      </c>
      <c r="M574" t="b">
        <v>0</v>
      </c>
      <c r="N574">
        <v>0</v>
      </c>
    </row>
    <row r="575" spans="1:14" x14ac:dyDescent="0.25">
      <c r="A575" t="s">
        <v>1277</v>
      </c>
      <c r="B575" t="s">
        <v>67</v>
      </c>
      <c r="C575" t="s">
        <v>62</v>
      </c>
      <c r="E575" s="4" t="s">
        <v>2145</v>
      </c>
      <c r="F575" s="4" t="s">
        <v>2144</v>
      </c>
      <c r="G575" t="s">
        <v>30</v>
      </c>
      <c r="H575" s="1">
        <v>45517</v>
      </c>
      <c r="I575" s="4">
        <v>102649.36</v>
      </c>
      <c r="J575" t="s">
        <v>257</v>
      </c>
      <c r="K575">
        <v>-2324412335</v>
      </c>
      <c r="L575" t="s">
        <v>45</v>
      </c>
      <c r="M575" t="b">
        <v>0</v>
      </c>
      <c r="N575">
        <v>0</v>
      </c>
    </row>
    <row r="576" spans="1:14" x14ac:dyDescent="0.25">
      <c r="A576" t="s">
        <v>1279</v>
      </c>
      <c r="B576" t="s">
        <v>13</v>
      </c>
      <c r="C576" t="s">
        <v>14</v>
      </c>
      <c r="D576">
        <v>35</v>
      </c>
      <c r="E576" s="4" t="s">
        <v>2139</v>
      </c>
      <c r="F576" s="4" t="s">
        <v>2146</v>
      </c>
      <c r="G576" t="s">
        <v>30</v>
      </c>
      <c r="H576" s="1">
        <v>45087</v>
      </c>
      <c r="I576" s="4">
        <v>114302.51</v>
      </c>
      <c r="J576" t="s">
        <v>18</v>
      </c>
      <c r="K576">
        <v>-1328507250</v>
      </c>
      <c r="L576" t="s">
        <v>45</v>
      </c>
      <c r="M576" t="b">
        <v>0</v>
      </c>
      <c r="N576">
        <v>0</v>
      </c>
    </row>
    <row r="577" spans="1:14" x14ac:dyDescent="0.25">
      <c r="A577" t="s">
        <v>1281</v>
      </c>
      <c r="B577" t="s">
        <v>27</v>
      </c>
      <c r="C577" t="s">
        <v>106</v>
      </c>
      <c r="D577">
        <v>35</v>
      </c>
      <c r="E577" s="4" t="s">
        <v>2139</v>
      </c>
      <c r="F577" s="4" t="s">
        <v>2140</v>
      </c>
      <c r="G577" t="s">
        <v>36</v>
      </c>
      <c r="H577" s="1">
        <v>44356</v>
      </c>
      <c r="I577" s="4">
        <v>87816.61</v>
      </c>
      <c r="J577" t="s">
        <v>194</v>
      </c>
      <c r="K577">
        <v>-7863767315</v>
      </c>
      <c r="L577" t="s">
        <v>45</v>
      </c>
      <c r="M577" t="b">
        <v>0</v>
      </c>
      <c r="N577">
        <v>0</v>
      </c>
    </row>
    <row r="578" spans="1:14" x14ac:dyDescent="0.25">
      <c r="A578" t="s">
        <v>1283</v>
      </c>
      <c r="B578" t="s">
        <v>40</v>
      </c>
      <c r="C578" t="s">
        <v>28</v>
      </c>
      <c r="E578" s="4" t="s">
        <v>2145</v>
      </c>
      <c r="F578" s="4" t="s">
        <v>2144</v>
      </c>
      <c r="G578" t="s">
        <v>36</v>
      </c>
      <c r="H578" s="1">
        <v>43920</v>
      </c>
      <c r="I578" s="4">
        <v>70750.38</v>
      </c>
      <c r="J578" t="s">
        <v>53</v>
      </c>
      <c r="K578">
        <v>-2526546967</v>
      </c>
      <c r="L578" t="s">
        <v>45</v>
      </c>
      <c r="M578" t="b">
        <v>0</v>
      </c>
      <c r="N578">
        <v>0</v>
      </c>
    </row>
    <row r="579" spans="1:14" x14ac:dyDescent="0.25">
      <c r="A579" t="s">
        <v>1285</v>
      </c>
      <c r="B579" t="s">
        <v>40</v>
      </c>
      <c r="C579" t="s">
        <v>106</v>
      </c>
      <c r="E579" s="4" t="s">
        <v>2143</v>
      </c>
      <c r="F579" s="4" t="s">
        <v>2140</v>
      </c>
      <c r="G579" t="s">
        <v>16</v>
      </c>
      <c r="H579" s="1">
        <v>45414</v>
      </c>
      <c r="I579" s="4"/>
      <c r="J579" t="s">
        <v>128</v>
      </c>
      <c r="K579">
        <v>-1579039234</v>
      </c>
      <c r="L579" t="s">
        <v>25</v>
      </c>
      <c r="M579" t="b">
        <v>1</v>
      </c>
    </row>
    <row r="580" spans="1:14" x14ac:dyDescent="0.25">
      <c r="A580" t="s">
        <v>1286</v>
      </c>
      <c r="B580" t="s">
        <v>13</v>
      </c>
      <c r="C580" t="s">
        <v>62</v>
      </c>
      <c r="D580">
        <v>30</v>
      </c>
      <c r="E580" s="4" t="s">
        <v>2137</v>
      </c>
      <c r="F580" s="4" t="s">
        <v>2142</v>
      </c>
      <c r="G580" t="s">
        <v>16</v>
      </c>
      <c r="H580" s="1">
        <v>45602</v>
      </c>
      <c r="I580" s="4">
        <v>97978.36</v>
      </c>
      <c r="J580" t="s">
        <v>237</v>
      </c>
      <c r="K580">
        <v>-5580996131</v>
      </c>
      <c r="L580" t="s">
        <v>45</v>
      </c>
      <c r="M580" t="b">
        <v>1</v>
      </c>
      <c r="N580">
        <v>0</v>
      </c>
    </row>
    <row r="581" spans="1:14" x14ac:dyDescent="0.25">
      <c r="A581" t="s">
        <v>1288</v>
      </c>
      <c r="B581" t="s">
        <v>67</v>
      </c>
      <c r="C581" t="s">
        <v>62</v>
      </c>
      <c r="E581" s="4" t="s">
        <v>2137</v>
      </c>
      <c r="F581" s="4" t="s">
        <v>2142</v>
      </c>
      <c r="G581" t="s">
        <v>36</v>
      </c>
      <c r="H581" s="1">
        <v>45155</v>
      </c>
      <c r="I581" s="4">
        <v>107172.8</v>
      </c>
      <c r="J581" t="s">
        <v>257</v>
      </c>
      <c r="K581">
        <v>-7303461561</v>
      </c>
      <c r="L581" t="s">
        <v>25</v>
      </c>
      <c r="M581" t="b">
        <v>1</v>
      </c>
      <c r="N581">
        <v>10717.28</v>
      </c>
    </row>
    <row r="582" spans="1:14" x14ac:dyDescent="0.25">
      <c r="A582" t="s">
        <v>1290</v>
      </c>
      <c r="B582" t="s">
        <v>61</v>
      </c>
      <c r="C582" t="s">
        <v>106</v>
      </c>
      <c r="D582">
        <v>25</v>
      </c>
      <c r="E582" s="4" t="s">
        <v>2139</v>
      </c>
      <c r="F582" s="4" t="s">
        <v>2142</v>
      </c>
      <c r="G582" t="s">
        <v>36</v>
      </c>
      <c r="H582" s="1">
        <v>43908</v>
      </c>
      <c r="I582" s="4">
        <v>56126.46</v>
      </c>
      <c r="J582" t="s">
        <v>607</v>
      </c>
      <c r="K582">
        <v>-6244670461</v>
      </c>
      <c r="L582" t="s">
        <v>45</v>
      </c>
      <c r="M582" t="b">
        <v>1</v>
      </c>
      <c r="N582">
        <v>0</v>
      </c>
    </row>
    <row r="583" spans="1:14" x14ac:dyDescent="0.25">
      <c r="A583" t="s">
        <v>1292</v>
      </c>
      <c r="B583" t="s">
        <v>35</v>
      </c>
      <c r="C583" t="s">
        <v>142</v>
      </c>
      <c r="E583" s="4" t="s">
        <v>2143</v>
      </c>
      <c r="F583" s="4" t="s">
        <v>2148</v>
      </c>
      <c r="G583" t="s">
        <v>16</v>
      </c>
      <c r="H583" s="1">
        <v>44360</v>
      </c>
      <c r="I583" s="4">
        <v>78534.289999999994</v>
      </c>
      <c r="J583" t="s">
        <v>632</v>
      </c>
      <c r="K583">
        <v>-2681715159</v>
      </c>
      <c r="L583" t="s">
        <v>19</v>
      </c>
      <c r="M583" t="b">
        <v>1</v>
      </c>
      <c r="N583">
        <v>1570.6858</v>
      </c>
    </row>
    <row r="584" spans="1:14" x14ac:dyDescent="0.25">
      <c r="A584" t="s">
        <v>1294</v>
      </c>
      <c r="B584" t="s">
        <v>80</v>
      </c>
      <c r="C584" t="s">
        <v>21</v>
      </c>
      <c r="D584">
        <v>40</v>
      </c>
      <c r="E584" s="4" t="s">
        <v>2147</v>
      </c>
      <c r="F584" s="4" t="s">
        <v>2140</v>
      </c>
      <c r="G584" t="s">
        <v>36</v>
      </c>
      <c r="H584" s="1">
        <v>45209</v>
      </c>
      <c r="I584" s="4"/>
      <c r="J584" t="s">
        <v>240</v>
      </c>
      <c r="K584">
        <v>-2529867075</v>
      </c>
      <c r="L584" t="s">
        <v>33</v>
      </c>
      <c r="M584" t="b">
        <v>0</v>
      </c>
    </row>
    <row r="585" spans="1:14" x14ac:dyDescent="0.25">
      <c r="A585" t="s">
        <v>1295</v>
      </c>
      <c r="B585" t="s">
        <v>13</v>
      </c>
      <c r="C585" t="s">
        <v>62</v>
      </c>
      <c r="E585" s="4" t="s">
        <v>2143</v>
      </c>
      <c r="F585" s="4" t="s">
        <v>2142</v>
      </c>
      <c r="G585" t="s">
        <v>16</v>
      </c>
      <c r="H585" s="1">
        <v>44563</v>
      </c>
      <c r="I585" s="4">
        <v>114963.34</v>
      </c>
      <c r="J585" t="s">
        <v>237</v>
      </c>
      <c r="K585">
        <v>-6046419784</v>
      </c>
      <c r="L585" t="s">
        <v>25</v>
      </c>
      <c r="M585" t="b">
        <v>0</v>
      </c>
      <c r="N585">
        <v>11496.334000000001</v>
      </c>
    </row>
    <row r="586" spans="1:14" x14ac:dyDescent="0.25">
      <c r="A586" t="s">
        <v>1297</v>
      </c>
      <c r="B586" t="s">
        <v>35</v>
      </c>
      <c r="C586" t="s">
        <v>106</v>
      </c>
      <c r="E586" s="4" t="s">
        <v>2143</v>
      </c>
      <c r="F586" s="4" t="s">
        <v>2138</v>
      </c>
      <c r="G586" t="s">
        <v>36</v>
      </c>
      <c r="H586" s="1">
        <v>44612</v>
      </c>
      <c r="I586" s="4">
        <v>77657.929999999993</v>
      </c>
      <c r="J586" t="s">
        <v>307</v>
      </c>
      <c r="K586">
        <v>-7585126860</v>
      </c>
      <c r="L586" t="s">
        <v>45</v>
      </c>
      <c r="M586" t="b">
        <v>0</v>
      </c>
      <c r="N586">
        <v>0</v>
      </c>
    </row>
    <row r="587" spans="1:14" x14ac:dyDescent="0.25">
      <c r="A587" t="s">
        <v>1299</v>
      </c>
      <c r="B587" t="s">
        <v>75</v>
      </c>
      <c r="C587" t="s">
        <v>14</v>
      </c>
      <c r="D587">
        <v>30</v>
      </c>
      <c r="E587" s="4" t="s">
        <v>2145</v>
      </c>
      <c r="F587" s="4" t="s">
        <v>2146</v>
      </c>
      <c r="G587" t="s">
        <v>16</v>
      </c>
      <c r="H587" s="1">
        <v>45360</v>
      </c>
      <c r="I587" s="4">
        <v>77369.48</v>
      </c>
      <c r="J587" t="s">
        <v>469</v>
      </c>
      <c r="K587">
        <v>-2059438975</v>
      </c>
      <c r="L587" t="s">
        <v>19</v>
      </c>
      <c r="M587" t="b">
        <v>0</v>
      </c>
      <c r="N587">
        <v>1547.3896</v>
      </c>
    </row>
    <row r="588" spans="1:14" x14ac:dyDescent="0.25">
      <c r="A588" t="s">
        <v>1301</v>
      </c>
      <c r="B588" t="s">
        <v>35</v>
      </c>
      <c r="C588" t="s">
        <v>106</v>
      </c>
      <c r="D588">
        <v>30</v>
      </c>
      <c r="E588" s="4" t="s">
        <v>2147</v>
      </c>
      <c r="F588" s="4" t="s">
        <v>2142</v>
      </c>
      <c r="G588" t="s">
        <v>30</v>
      </c>
      <c r="H588" s="1">
        <v>45157</v>
      </c>
      <c r="I588" s="4">
        <v>76119.14</v>
      </c>
      <c r="J588" t="s">
        <v>307</v>
      </c>
      <c r="K588">
        <v>-740177508</v>
      </c>
      <c r="L588" t="s">
        <v>33</v>
      </c>
      <c r="M588" t="b">
        <v>0</v>
      </c>
      <c r="N588">
        <v>3805.9570000000003</v>
      </c>
    </row>
    <row r="589" spans="1:14" x14ac:dyDescent="0.25">
      <c r="A589" t="s">
        <v>1303</v>
      </c>
      <c r="B589" t="s">
        <v>61</v>
      </c>
      <c r="C589" t="s">
        <v>41</v>
      </c>
      <c r="D589">
        <v>25</v>
      </c>
      <c r="E589" s="4" t="s">
        <v>2143</v>
      </c>
      <c r="F589" s="4" t="s">
        <v>2140</v>
      </c>
      <c r="G589" t="s">
        <v>30</v>
      </c>
      <c r="H589" s="1">
        <v>45052</v>
      </c>
      <c r="I589" s="4">
        <v>77585.72</v>
      </c>
      <c r="J589" t="s">
        <v>104</v>
      </c>
      <c r="K589">
        <v>-5465408423</v>
      </c>
      <c r="L589" t="s">
        <v>25</v>
      </c>
      <c r="M589" t="b">
        <v>0</v>
      </c>
      <c r="N589">
        <v>7758.5720000000001</v>
      </c>
    </row>
    <row r="590" spans="1:14" x14ac:dyDescent="0.25">
      <c r="A590" t="s">
        <v>1305</v>
      </c>
      <c r="B590" t="s">
        <v>13</v>
      </c>
      <c r="C590" t="s">
        <v>21</v>
      </c>
      <c r="D590">
        <v>35</v>
      </c>
      <c r="E590" s="4" t="s">
        <v>2141</v>
      </c>
      <c r="F590" s="4" t="s">
        <v>2142</v>
      </c>
      <c r="G590" t="s">
        <v>30</v>
      </c>
      <c r="H590" s="1">
        <v>45317</v>
      </c>
      <c r="I590" s="4">
        <v>74069.62</v>
      </c>
      <c r="J590" t="s">
        <v>24</v>
      </c>
      <c r="K590">
        <v>-5607540914</v>
      </c>
      <c r="L590" t="s">
        <v>33</v>
      </c>
      <c r="M590" t="b">
        <v>0</v>
      </c>
      <c r="N590">
        <v>3703.4809999999998</v>
      </c>
    </row>
    <row r="591" spans="1:14" x14ac:dyDescent="0.25">
      <c r="A591" t="s">
        <v>1307</v>
      </c>
      <c r="B591" t="s">
        <v>61</v>
      </c>
      <c r="C591" t="s">
        <v>28</v>
      </c>
      <c r="D591">
        <v>30</v>
      </c>
      <c r="E591" s="4" t="s">
        <v>2141</v>
      </c>
      <c r="F591" s="4" t="s">
        <v>2146</v>
      </c>
      <c r="G591" t="s">
        <v>30</v>
      </c>
      <c r="H591" s="1">
        <v>45540</v>
      </c>
      <c r="I591" s="4">
        <v>67691.92</v>
      </c>
      <c r="J591" t="s">
        <v>140</v>
      </c>
      <c r="K591">
        <v>-863218121</v>
      </c>
      <c r="L591" t="s">
        <v>19</v>
      </c>
      <c r="M591" t="b">
        <v>1</v>
      </c>
      <c r="N591">
        <v>1353.8384000000001</v>
      </c>
    </row>
    <row r="592" spans="1:14" x14ac:dyDescent="0.25">
      <c r="A592" t="s">
        <v>1309</v>
      </c>
      <c r="B592" t="s">
        <v>27</v>
      </c>
      <c r="C592" t="s">
        <v>142</v>
      </c>
      <c r="E592" s="4" t="s">
        <v>2139</v>
      </c>
      <c r="F592" s="4" t="s">
        <v>2142</v>
      </c>
      <c r="G592" t="s">
        <v>30</v>
      </c>
      <c r="H592" s="1">
        <v>43980</v>
      </c>
      <c r="I592" s="4">
        <v>70345.69</v>
      </c>
      <c r="J592" t="s">
        <v>217</v>
      </c>
      <c r="K592">
        <v>-7645793896</v>
      </c>
      <c r="L592" t="s">
        <v>25</v>
      </c>
      <c r="M592" t="b">
        <v>1</v>
      </c>
      <c r="N592">
        <v>7034.5690000000004</v>
      </c>
    </row>
    <row r="593" spans="1:14" x14ac:dyDescent="0.25">
      <c r="A593" t="s">
        <v>1311</v>
      </c>
      <c r="B593" t="s">
        <v>13</v>
      </c>
      <c r="C593" t="s">
        <v>47</v>
      </c>
      <c r="D593">
        <v>30</v>
      </c>
      <c r="E593" s="4" t="s">
        <v>2137</v>
      </c>
      <c r="F593" s="4" t="s">
        <v>2148</v>
      </c>
      <c r="G593" t="s">
        <v>36</v>
      </c>
      <c r="H593" s="1">
        <v>44508</v>
      </c>
      <c r="I593" s="4">
        <v>74999.69</v>
      </c>
      <c r="J593" t="s">
        <v>180</v>
      </c>
      <c r="K593">
        <v>-155029167</v>
      </c>
      <c r="L593" t="s">
        <v>33</v>
      </c>
      <c r="M593" t="b">
        <v>1</v>
      </c>
      <c r="N593">
        <v>3749.9845000000005</v>
      </c>
    </row>
    <row r="594" spans="1:14" x14ac:dyDescent="0.25">
      <c r="A594" t="s">
        <v>1313</v>
      </c>
      <c r="B594" t="s">
        <v>67</v>
      </c>
      <c r="C594" t="s">
        <v>28</v>
      </c>
      <c r="D594">
        <v>25</v>
      </c>
      <c r="E594" s="4" t="s">
        <v>2147</v>
      </c>
      <c r="F594" s="4" t="s">
        <v>2148</v>
      </c>
      <c r="G594" t="s">
        <v>16</v>
      </c>
      <c r="H594" s="1">
        <v>44227</v>
      </c>
      <c r="I594" s="4">
        <v>72245.02</v>
      </c>
      <c r="J594" t="s">
        <v>283</v>
      </c>
      <c r="K594">
        <v>-1546602415</v>
      </c>
      <c r="L594" t="s">
        <v>45</v>
      </c>
      <c r="M594" t="b">
        <v>1</v>
      </c>
      <c r="N594">
        <v>0</v>
      </c>
    </row>
    <row r="595" spans="1:14" x14ac:dyDescent="0.25">
      <c r="A595" t="s">
        <v>1315</v>
      </c>
      <c r="B595" t="s">
        <v>35</v>
      </c>
      <c r="C595" t="s">
        <v>21</v>
      </c>
      <c r="E595" s="4" t="s">
        <v>2141</v>
      </c>
      <c r="F595" s="4" t="s">
        <v>2148</v>
      </c>
      <c r="G595" t="s">
        <v>30</v>
      </c>
      <c r="H595" s="1">
        <v>44577</v>
      </c>
      <c r="I595" s="4">
        <v>106538.98</v>
      </c>
      <c r="J595" t="s">
        <v>183</v>
      </c>
      <c r="K595">
        <v>-1394498829</v>
      </c>
      <c r="L595" t="s">
        <v>25</v>
      </c>
      <c r="M595" t="b">
        <v>0</v>
      </c>
      <c r="N595">
        <v>10653.898000000001</v>
      </c>
    </row>
    <row r="596" spans="1:14" x14ac:dyDescent="0.25">
      <c r="A596" t="s">
        <v>1317</v>
      </c>
      <c r="B596" t="s">
        <v>61</v>
      </c>
      <c r="C596" t="s">
        <v>21</v>
      </c>
      <c r="D596">
        <v>25</v>
      </c>
      <c r="E596" s="4" t="s">
        <v>2147</v>
      </c>
      <c r="F596" s="4" t="s">
        <v>2146</v>
      </c>
      <c r="G596" t="s">
        <v>16</v>
      </c>
      <c r="H596" s="1">
        <v>45289</v>
      </c>
      <c r="I596" s="4">
        <v>101787.14</v>
      </c>
      <c r="J596" t="s">
        <v>147</v>
      </c>
      <c r="K596">
        <v>-5973642479</v>
      </c>
      <c r="L596" t="s">
        <v>33</v>
      </c>
      <c r="M596" t="b">
        <v>0</v>
      </c>
      <c r="N596">
        <v>5089.357</v>
      </c>
    </row>
    <row r="597" spans="1:14" x14ac:dyDescent="0.25">
      <c r="A597" t="s">
        <v>1319</v>
      </c>
      <c r="B597" t="s">
        <v>40</v>
      </c>
      <c r="C597" t="s">
        <v>21</v>
      </c>
      <c r="D597">
        <v>30</v>
      </c>
      <c r="E597" s="4" t="s">
        <v>2137</v>
      </c>
      <c r="F597" s="4" t="s">
        <v>2142</v>
      </c>
      <c r="G597" t="s">
        <v>36</v>
      </c>
      <c r="H597" s="1">
        <v>45628</v>
      </c>
      <c r="I597" s="4">
        <v>83596.78</v>
      </c>
      <c r="J597" t="s">
        <v>280</v>
      </c>
      <c r="K597">
        <v>-9624406305</v>
      </c>
      <c r="L597" t="s">
        <v>19</v>
      </c>
      <c r="M597" t="b">
        <v>0</v>
      </c>
      <c r="N597">
        <v>1671.9356</v>
      </c>
    </row>
    <row r="598" spans="1:14" x14ac:dyDescent="0.25">
      <c r="A598" t="s">
        <v>1321</v>
      </c>
      <c r="B598" t="s">
        <v>35</v>
      </c>
      <c r="C598" t="s">
        <v>28</v>
      </c>
      <c r="D598">
        <v>40</v>
      </c>
      <c r="E598" s="4" t="s">
        <v>2145</v>
      </c>
      <c r="F598" s="4" t="s">
        <v>2140</v>
      </c>
      <c r="G598" t="s">
        <v>16</v>
      </c>
      <c r="H598" s="1">
        <v>45153</v>
      </c>
      <c r="I598" s="4">
        <v>92463.94</v>
      </c>
      <c r="J598" t="s">
        <v>323</v>
      </c>
      <c r="K598">
        <v>-2447951329</v>
      </c>
      <c r="L598" t="s">
        <v>19</v>
      </c>
      <c r="M598" t="b">
        <v>1</v>
      </c>
      <c r="N598">
        <v>1849.2788</v>
      </c>
    </row>
    <row r="599" spans="1:14" x14ac:dyDescent="0.25">
      <c r="A599" t="s">
        <v>1323</v>
      </c>
      <c r="B599" t="s">
        <v>61</v>
      </c>
      <c r="C599" t="s">
        <v>14</v>
      </c>
      <c r="E599" s="4" t="s">
        <v>2141</v>
      </c>
      <c r="F599" s="4" t="s">
        <v>2138</v>
      </c>
      <c r="G599" t="s">
        <v>30</v>
      </c>
      <c r="H599" s="1">
        <v>45646</v>
      </c>
      <c r="I599" s="4">
        <v>93863.32</v>
      </c>
      <c r="J599" t="s">
        <v>200</v>
      </c>
      <c r="K599">
        <v>-5319497968</v>
      </c>
      <c r="L599" t="s">
        <v>25</v>
      </c>
      <c r="M599" t="b">
        <v>0</v>
      </c>
      <c r="N599">
        <v>9386.3320000000003</v>
      </c>
    </row>
    <row r="600" spans="1:14" x14ac:dyDescent="0.25">
      <c r="A600" t="s">
        <v>1325</v>
      </c>
      <c r="B600" t="s">
        <v>27</v>
      </c>
      <c r="C600" t="s">
        <v>21</v>
      </c>
      <c r="E600" s="4" t="s">
        <v>2137</v>
      </c>
      <c r="F600" s="4" t="s">
        <v>2140</v>
      </c>
      <c r="G600" t="s">
        <v>30</v>
      </c>
      <c r="H600" s="1">
        <v>45016</v>
      </c>
      <c r="I600" s="4">
        <v>78359.41</v>
      </c>
      <c r="J600" t="s">
        <v>93</v>
      </c>
      <c r="K600">
        <v>-5867805554</v>
      </c>
      <c r="L600" t="s">
        <v>33</v>
      </c>
      <c r="M600" t="b">
        <v>0</v>
      </c>
      <c r="N600">
        <v>3917.9705000000004</v>
      </c>
    </row>
    <row r="601" spans="1:14" x14ac:dyDescent="0.25">
      <c r="A601" t="s">
        <v>1327</v>
      </c>
      <c r="B601" t="s">
        <v>27</v>
      </c>
      <c r="C601" t="s">
        <v>106</v>
      </c>
      <c r="E601" s="4" t="s">
        <v>2147</v>
      </c>
      <c r="F601" s="4" t="s">
        <v>2148</v>
      </c>
      <c r="G601" t="s">
        <v>30</v>
      </c>
      <c r="H601" s="1">
        <v>44797</v>
      </c>
      <c r="I601" s="4">
        <v>95773.57</v>
      </c>
      <c r="J601" t="s">
        <v>194</v>
      </c>
      <c r="K601">
        <v>-7277382645</v>
      </c>
      <c r="L601" t="s">
        <v>25</v>
      </c>
      <c r="M601" t="b">
        <v>0</v>
      </c>
      <c r="N601">
        <v>9577.3570000000018</v>
      </c>
    </row>
    <row r="602" spans="1:14" x14ac:dyDescent="0.25">
      <c r="A602" t="s">
        <v>1329</v>
      </c>
      <c r="B602" t="s">
        <v>80</v>
      </c>
      <c r="C602" t="s">
        <v>28</v>
      </c>
      <c r="D602">
        <v>30</v>
      </c>
      <c r="E602" s="4" t="s">
        <v>2145</v>
      </c>
      <c r="F602" s="4" t="s">
        <v>2142</v>
      </c>
      <c r="G602" t="s">
        <v>36</v>
      </c>
      <c r="H602" s="1">
        <v>44105</v>
      </c>
      <c r="I602" s="4">
        <v>82529.08</v>
      </c>
      <c r="J602" t="s">
        <v>89</v>
      </c>
      <c r="K602">
        <v>-917851384</v>
      </c>
      <c r="L602" t="s">
        <v>25</v>
      </c>
      <c r="M602" t="b">
        <v>1</v>
      </c>
      <c r="N602">
        <v>8252.9080000000013</v>
      </c>
    </row>
    <row r="603" spans="1:14" x14ac:dyDescent="0.25">
      <c r="A603" t="s">
        <v>1331</v>
      </c>
      <c r="B603" t="s">
        <v>80</v>
      </c>
      <c r="C603" t="s">
        <v>47</v>
      </c>
      <c r="D603">
        <v>35</v>
      </c>
      <c r="E603" s="4" t="s">
        <v>2145</v>
      </c>
      <c r="F603" s="4" t="s">
        <v>2140</v>
      </c>
      <c r="G603" t="s">
        <v>30</v>
      </c>
      <c r="H603" s="1">
        <v>44320</v>
      </c>
      <c r="I603" s="4">
        <v>109358.73</v>
      </c>
      <c r="J603" t="s">
        <v>96</v>
      </c>
      <c r="K603">
        <v>-4457702991</v>
      </c>
      <c r="L603" t="s">
        <v>33</v>
      </c>
      <c r="M603" t="b">
        <v>0</v>
      </c>
      <c r="N603">
        <v>5467.9364999999998</v>
      </c>
    </row>
    <row r="604" spans="1:14" x14ac:dyDescent="0.25">
      <c r="A604" t="s">
        <v>1333</v>
      </c>
      <c r="B604" t="s">
        <v>61</v>
      </c>
      <c r="C604" t="s">
        <v>21</v>
      </c>
      <c r="E604" s="4" t="s">
        <v>2141</v>
      </c>
      <c r="F604" s="4" t="s">
        <v>2144</v>
      </c>
      <c r="G604" t="s">
        <v>16</v>
      </c>
      <c r="H604" s="1">
        <v>44197</v>
      </c>
      <c r="I604" s="4">
        <v>89645.01</v>
      </c>
      <c r="J604" t="s">
        <v>147</v>
      </c>
      <c r="K604">
        <v>-9596604872</v>
      </c>
      <c r="L604" t="s">
        <v>33</v>
      </c>
      <c r="M604" t="b">
        <v>1</v>
      </c>
      <c r="N604">
        <v>4482.2505000000001</v>
      </c>
    </row>
    <row r="605" spans="1:14" x14ac:dyDescent="0.25">
      <c r="A605" t="s">
        <v>1335</v>
      </c>
      <c r="B605" t="s">
        <v>61</v>
      </c>
      <c r="C605" t="s">
        <v>106</v>
      </c>
      <c r="D605">
        <v>40</v>
      </c>
      <c r="E605" s="4" t="s">
        <v>2147</v>
      </c>
      <c r="F605" s="4" t="s">
        <v>2140</v>
      </c>
      <c r="G605" t="s">
        <v>16</v>
      </c>
      <c r="H605" s="1">
        <v>45390</v>
      </c>
      <c r="I605" s="4">
        <v>84134.95</v>
      </c>
      <c r="J605" t="s">
        <v>607</v>
      </c>
      <c r="K605">
        <v>-6826911632</v>
      </c>
      <c r="L605" t="s">
        <v>45</v>
      </c>
      <c r="M605" t="b">
        <v>1</v>
      </c>
      <c r="N605">
        <v>0</v>
      </c>
    </row>
    <row r="606" spans="1:14" x14ac:dyDescent="0.25">
      <c r="A606" t="s">
        <v>1337</v>
      </c>
      <c r="B606" t="s">
        <v>40</v>
      </c>
      <c r="C606" t="s">
        <v>14</v>
      </c>
      <c r="D606">
        <v>30</v>
      </c>
      <c r="E606" s="4" t="s">
        <v>2143</v>
      </c>
      <c r="F606" s="4" t="s">
        <v>2142</v>
      </c>
      <c r="G606" t="s">
        <v>16</v>
      </c>
      <c r="H606" s="1">
        <v>44891</v>
      </c>
      <c r="I606" s="4">
        <v>113540.83</v>
      </c>
      <c r="J606" t="s">
        <v>59</v>
      </c>
      <c r="K606">
        <v>-1942268652</v>
      </c>
      <c r="L606" t="s">
        <v>33</v>
      </c>
      <c r="M606" t="b">
        <v>1</v>
      </c>
      <c r="N606">
        <v>5677.0415000000003</v>
      </c>
    </row>
    <row r="607" spans="1:14" x14ac:dyDescent="0.25">
      <c r="A607" t="s">
        <v>1339</v>
      </c>
      <c r="B607" t="s">
        <v>75</v>
      </c>
      <c r="C607" t="s">
        <v>41</v>
      </c>
      <c r="D607">
        <v>40</v>
      </c>
      <c r="E607" s="4" t="s">
        <v>2143</v>
      </c>
      <c r="F607" s="4" t="s">
        <v>2140</v>
      </c>
      <c r="G607" t="s">
        <v>30</v>
      </c>
      <c r="H607" s="1">
        <v>44494</v>
      </c>
      <c r="I607" s="4">
        <v>57225.75</v>
      </c>
      <c r="J607" t="s">
        <v>78</v>
      </c>
      <c r="K607">
        <v>-6945515887</v>
      </c>
      <c r="L607" t="s">
        <v>19</v>
      </c>
      <c r="M607" t="b">
        <v>1</v>
      </c>
      <c r="N607">
        <v>1144.5150000000001</v>
      </c>
    </row>
    <row r="608" spans="1:14" x14ac:dyDescent="0.25">
      <c r="A608" t="s">
        <v>1341</v>
      </c>
      <c r="B608" t="s">
        <v>35</v>
      </c>
      <c r="C608" t="s">
        <v>14</v>
      </c>
      <c r="D608">
        <v>35</v>
      </c>
      <c r="E608" s="4" t="s">
        <v>2145</v>
      </c>
      <c r="F608" s="4" t="s">
        <v>2148</v>
      </c>
      <c r="G608" t="s">
        <v>30</v>
      </c>
      <c r="H608" s="1">
        <v>44187</v>
      </c>
      <c r="I608" s="4">
        <v>76366.17</v>
      </c>
      <c r="J608" t="s">
        <v>38</v>
      </c>
      <c r="K608">
        <v>-6367747225</v>
      </c>
      <c r="L608" t="s">
        <v>25</v>
      </c>
      <c r="M608" t="b">
        <v>0</v>
      </c>
      <c r="N608">
        <v>7636.6170000000002</v>
      </c>
    </row>
    <row r="609" spans="1:14" x14ac:dyDescent="0.25">
      <c r="A609" t="s">
        <v>1343</v>
      </c>
      <c r="B609" t="s">
        <v>13</v>
      </c>
      <c r="C609" t="s">
        <v>47</v>
      </c>
      <c r="E609" s="4" t="s">
        <v>2147</v>
      </c>
      <c r="F609" s="4" t="s">
        <v>2144</v>
      </c>
      <c r="G609" t="s">
        <v>16</v>
      </c>
      <c r="H609" s="1">
        <v>44888</v>
      </c>
      <c r="I609" s="4">
        <v>78408.95</v>
      </c>
      <c r="J609" t="s">
        <v>180</v>
      </c>
      <c r="K609">
        <v>-4085721695</v>
      </c>
      <c r="L609" t="s">
        <v>25</v>
      </c>
      <c r="M609" t="b">
        <v>1</v>
      </c>
      <c r="N609">
        <v>7840.8950000000004</v>
      </c>
    </row>
    <row r="610" spans="1:14" x14ac:dyDescent="0.25">
      <c r="A610" t="s">
        <v>1345</v>
      </c>
      <c r="B610" t="s">
        <v>40</v>
      </c>
      <c r="C610" t="s">
        <v>21</v>
      </c>
      <c r="D610">
        <v>40</v>
      </c>
      <c r="E610" s="4" t="s">
        <v>2139</v>
      </c>
      <c r="F610" s="4" t="s">
        <v>2148</v>
      </c>
      <c r="G610" t="s">
        <v>16</v>
      </c>
      <c r="H610" s="1">
        <v>44858</v>
      </c>
      <c r="I610" s="4">
        <v>111742.39999999999</v>
      </c>
      <c r="J610" t="s">
        <v>280</v>
      </c>
      <c r="K610">
        <v>-6630932997</v>
      </c>
      <c r="L610" t="s">
        <v>19</v>
      </c>
      <c r="M610" t="b">
        <v>1</v>
      </c>
      <c r="N610">
        <v>2234.848</v>
      </c>
    </row>
    <row r="611" spans="1:14" x14ac:dyDescent="0.25">
      <c r="A611" t="s">
        <v>1347</v>
      </c>
      <c r="B611" t="s">
        <v>67</v>
      </c>
      <c r="C611" t="s">
        <v>47</v>
      </c>
      <c r="D611">
        <v>25</v>
      </c>
      <c r="E611" s="4" t="s">
        <v>2145</v>
      </c>
      <c r="F611" s="4" t="s">
        <v>2142</v>
      </c>
      <c r="G611" t="s">
        <v>36</v>
      </c>
      <c r="H611" s="1">
        <v>44264</v>
      </c>
      <c r="I611" s="4">
        <v>60516.83</v>
      </c>
      <c r="J611" t="s">
        <v>118</v>
      </c>
      <c r="K611">
        <v>-1996059328</v>
      </c>
      <c r="L611" t="s">
        <v>33</v>
      </c>
      <c r="M611" t="b">
        <v>0</v>
      </c>
      <c r="N611">
        <v>3025.8415000000005</v>
      </c>
    </row>
    <row r="612" spans="1:14" x14ac:dyDescent="0.25">
      <c r="A612" t="s">
        <v>1349</v>
      </c>
      <c r="B612" t="s">
        <v>13</v>
      </c>
      <c r="C612" t="s">
        <v>28</v>
      </c>
      <c r="D612">
        <v>30</v>
      </c>
      <c r="E612" s="4" t="s">
        <v>2139</v>
      </c>
      <c r="F612" s="4" t="s">
        <v>2138</v>
      </c>
      <c r="G612" t="s">
        <v>30</v>
      </c>
      <c r="H612" s="1">
        <v>44063</v>
      </c>
      <c r="I612" s="4">
        <v>83706.17</v>
      </c>
      <c r="J612" t="s">
        <v>56</v>
      </c>
      <c r="K612">
        <v>-7150968831</v>
      </c>
      <c r="L612" t="s">
        <v>19</v>
      </c>
      <c r="M612" t="b">
        <v>0</v>
      </c>
      <c r="N612">
        <v>1674.1233999999999</v>
      </c>
    </row>
    <row r="613" spans="1:14" x14ac:dyDescent="0.25">
      <c r="A613" t="s">
        <v>1351</v>
      </c>
      <c r="B613" t="s">
        <v>67</v>
      </c>
      <c r="C613" t="s">
        <v>62</v>
      </c>
      <c r="E613" s="4" t="s">
        <v>2141</v>
      </c>
      <c r="F613" s="4" t="s">
        <v>2142</v>
      </c>
      <c r="G613" t="s">
        <v>36</v>
      </c>
      <c r="H613" s="1">
        <v>43876</v>
      </c>
      <c r="I613" s="4">
        <v>67056.92</v>
      </c>
      <c r="J613" t="s">
        <v>257</v>
      </c>
      <c r="K613">
        <v>-7532735240</v>
      </c>
      <c r="L613" t="s">
        <v>19</v>
      </c>
      <c r="M613" t="b">
        <v>1</v>
      </c>
      <c r="N613">
        <v>1341.1384</v>
      </c>
    </row>
    <row r="614" spans="1:14" x14ac:dyDescent="0.25">
      <c r="A614" t="s">
        <v>1353</v>
      </c>
      <c r="B614" t="s">
        <v>61</v>
      </c>
      <c r="C614" t="s">
        <v>21</v>
      </c>
      <c r="D614">
        <v>30</v>
      </c>
      <c r="E614" s="4" t="s">
        <v>2137</v>
      </c>
      <c r="F614" s="4" t="s">
        <v>2148</v>
      </c>
      <c r="G614" t="s">
        <v>16</v>
      </c>
      <c r="H614" s="1">
        <v>45655</v>
      </c>
      <c r="I614" s="4">
        <v>90058.85</v>
      </c>
      <c r="J614" t="s">
        <v>147</v>
      </c>
      <c r="K614">
        <v>-397739731</v>
      </c>
      <c r="L614" t="s">
        <v>45</v>
      </c>
      <c r="M614" t="b">
        <v>0</v>
      </c>
      <c r="N614">
        <v>0</v>
      </c>
    </row>
    <row r="615" spans="1:14" x14ac:dyDescent="0.25">
      <c r="A615" t="s">
        <v>1355</v>
      </c>
      <c r="B615" t="s">
        <v>35</v>
      </c>
      <c r="C615" t="s">
        <v>62</v>
      </c>
      <c r="D615">
        <v>30</v>
      </c>
      <c r="E615" s="4" t="s">
        <v>2145</v>
      </c>
      <c r="F615" s="4" t="s">
        <v>2144</v>
      </c>
      <c r="G615" t="s">
        <v>30</v>
      </c>
      <c r="H615" s="1">
        <v>44985</v>
      </c>
      <c r="I615" s="4">
        <v>94633.59</v>
      </c>
      <c r="J615" t="s">
        <v>380</v>
      </c>
      <c r="K615">
        <v>-7819523709</v>
      </c>
      <c r="L615" t="s">
        <v>19</v>
      </c>
      <c r="M615" t="b">
        <v>1</v>
      </c>
      <c r="N615">
        <v>1892.6718000000001</v>
      </c>
    </row>
    <row r="616" spans="1:14" x14ac:dyDescent="0.25">
      <c r="A616" t="s">
        <v>1357</v>
      </c>
      <c r="B616" t="s">
        <v>35</v>
      </c>
      <c r="C616" t="s">
        <v>106</v>
      </c>
      <c r="D616">
        <v>25</v>
      </c>
      <c r="E616" s="4" t="s">
        <v>2141</v>
      </c>
      <c r="F616" s="4" t="s">
        <v>2144</v>
      </c>
      <c r="G616" t="s">
        <v>30</v>
      </c>
      <c r="H616" s="1">
        <v>44796</v>
      </c>
      <c r="I616" s="4">
        <v>110711.17</v>
      </c>
      <c r="J616" t="s">
        <v>307</v>
      </c>
      <c r="K616">
        <v>-687616480</v>
      </c>
      <c r="L616" t="s">
        <v>25</v>
      </c>
      <c r="M616" t="b">
        <v>1</v>
      </c>
      <c r="N616">
        <v>11071.117</v>
      </c>
    </row>
    <row r="617" spans="1:14" x14ac:dyDescent="0.25">
      <c r="A617" t="s">
        <v>1359</v>
      </c>
      <c r="B617" t="s">
        <v>80</v>
      </c>
      <c r="C617" t="s">
        <v>41</v>
      </c>
      <c r="E617" s="4" t="s">
        <v>2141</v>
      </c>
      <c r="F617" s="4" t="s">
        <v>2148</v>
      </c>
      <c r="G617" t="s">
        <v>16</v>
      </c>
      <c r="H617" s="1">
        <v>45107</v>
      </c>
      <c r="I617" s="4">
        <v>96175.41</v>
      </c>
      <c r="J617" t="s">
        <v>83</v>
      </c>
      <c r="K617">
        <v>-9807704604</v>
      </c>
      <c r="L617" t="s">
        <v>19</v>
      </c>
      <c r="M617" t="b">
        <v>1</v>
      </c>
      <c r="N617">
        <v>1923.5082000000002</v>
      </c>
    </row>
    <row r="618" spans="1:14" x14ac:dyDescent="0.25">
      <c r="A618" t="s">
        <v>1361</v>
      </c>
      <c r="B618" t="s">
        <v>40</v>
      </c>
      <c r="C618" t="s">
        <v>142</v>
      </c>
      <c r="D618">
        <v>40</v>
      </c>
      <c r="E618" s="4" t="s">
        <v>2145</v>
      </c>
      <c r="F618" s="4" t="s">
        <v>2148</v>
      </c>
      <c r="G618" t="s">
        <v>16</v>
      </c>
      <c r="H618" s="1">
        <v>44301</v>
      </c>
      <c r="I618" s="4">
        <v>76474.789999999994</v>
      </c>
      <c r="J618" t="s">
        <v>163</v>
      </c>
      <c r="K618">
        <v>-6876112490</v>
      </c>
      <c r="L618" t="s">
        <v>25</v>
      </c>
      <c r="M618" t="b">
        <v>1</v>
      </c>
      <c r="N618">
        <v>7647.4789999999994</v>
      </c>
    </row>
    <row r="619" spans="1:14" x14ac:dyDescent="0.25">
      <c r="A619" t="s">
        <v>1363</v>
      </c>
      <c r="B619" t="s">
        <v>27</v>
      </c>
      <c r="C619" t="s">
        <v>47</v>
      </c>
      <c r="D619">
        <v>30</v>
      </c>
      <c r="E619" s="4" t="s">
        <v>2145</v>
      </c>
      <c r="F619" s="4" t="s">
        <v>2148</v>
      </c>
      <c r="G619" t="s">
        <v>30</v>
      </c>
      <c r="H619" s="1">
        <v>44690</v>
      </c>
      <c r="I619" s="4">
        <v>107855.99</v>
      </c>
      <c r="J619" t="s">
        <v>50</v>
      </c>
      <c r="K619">
        <v>-2565237340</v>
      </c>
      <c r="L619" t="s">
        <v>25</v>
      </c>
      <c r="M619" t="b">
        <v>0</v>
      </c>
      <c r="N619">
        <v>10785.599000000002</v>
      </c>
    </row>
    <row r="620" spans="1:14" x14ac:dyDescent="0.25">
      <c r="A620" t="s">
        <v>1365</v>
      </c>
      <c r="B620" t="s">
        <v>61</v>
      </c>
      <c r="C620" t="s">
        <v>14</v>
      </c>
      <c r="D620">
        <v>40</v>
      </c>
      <c r="E620" s="4" t="s">
        <v>2145</v>
      </c>
      <c r="F620" s="4" t="s">
        <v>2148</v>
      </c>
      <c r="G620" t="s">
        <v>16</v>
      </c>
      <c r="H620" s="1">
        <v>45628</v>
      </c>
      <c r="I620" s="4">
        <v>104870.78</v>
      </c>
      <c r="J620" t="s">
        <v>200</v>
      </c>
      <c r="K620">
        <v>-5177345474</v>
      </c>
      <c r="L620" t="s">
        <v>25</v>
      </c>
      <c r="M620" t="b">
        <v>1</v>
      </c>
      <c r="N620">
        <v>10487.078000000001</v>
      </c>
    </row>
    <row r="621" spans="1:14" x14ac:dyDescent="0.25">
      <c r="A621" t="s">
        <v>1367</v>
      </c>
      <c r="B621" t="s">
        <v>13</v>
      </c>
      <c r="C621" t="s">
        <v>41</v>
      </c>
      <c r="D621">
        <v>25</v>
      </c>
      <c r="E621" s="4" t="s">
        <v>2139</v>
      </c>
      <c r="F621" s="4" t="s">
        <v>2142</v>
      </c>
      <c r="G621" t="s">
        <v>16</v>
      </c>
      <c r="H621" s="1">
        <v>45066</v>
      </c>
      <c r="I621" s="4"/>
      <c r="J621" t="s">
        <v>170</v>
      </c>
      <c r="K621">
        <v>-7494902283</v>
      </c>
      <c r="L621" t="s">
        <v>33</v>
      </c>
      <c r="M621" t="b">
        <v>0</v>
      </c>
    </row>
    <row r="622" spans="1:14" x14ac:dyDescent="0.25">
      <c r="A622" t="s">
        <v>1368</v>
      </c>
      <c r="B622" t="s">
        <v>80</v>
      </c>
      <c r="C622" t="s">
        <v>21</v>
      </c>
      <c r="E622" s="4" t="s">
        <v>2139</v>
      </c>
      <c r="F622" s="4" t="s">
        <v>2138</v>
      </c>
      <c r="G622" t="s">
        <v>16</v>
      </c>
      <c r="H622" s="1">
        <v>45259</v>
      </c>
      <c r="I622" s="4">
        <v>87087.16</v>
      </c>
      <c r="J622" t="s">
        <v>240</v>
      </c>
      <c r="K622">
        <v>-359544293</v>
      </c>
      <c r="L622" t="s">
        <v>45</v>
      </c>
      <c r="M622" t="b">
        <v>0</v>
      </c>
      <c r="N622">
        <v>0</v>
      </c>
    </row>
    <row r="623" spans="1:14" x14ac:dyDescent="0.25">
      <c r="A623" t="s">
        <v>1370</v>
      </c>
      <c r="B623" t="s">
        <v>75</v>
      </c>
      <c r="C623" t="s">
        <v>62</v>
      </c>
      <c r="D623">
        <v>40</v>
      </c>
      <c r="E623" s="4" t="s">
        <v>2147</v>
      </c>
      <c r="F623" s="4" t="s">
        <v>2148</v>
      </c>
      <c r="G623" t="s">
        <v>30</v>
      </c>
      <c r="H623" s="1">
        <v>45390</v>
      </c>
      <c r="I623" s="4">
        <v>108603.34</v>
      </c>
      <c r="J623" t="s">
        <v>132</v>
      </c>
      <c r="K623">
        <v>-7742229463</v>
      </c>
      <c r="L623" t="s">
        <v>25</v>
      </c>
      <c r="M623" t="b">
        <v>0</v>
      </c>
      <c r="N623">
        <v>10860.334000000001</v>
      </c>
    </row>
    <row r="624" spans="1:14" x14ac:dyDescent="0.25">
      <c r="A624" t="s">
        <v>1372</v>
      </c>
      <c r="B624" t="s">
        <v>80</v>
      </c>
      <c r="C624" t="s">
        <v>14</v>
      </c>
      <c r="D624">
        <v>30</v>
      </c>
      <c r="E624" s="4" t="s">
        <v>2147</v>
      </c>
      <c r="F624" s="4" t="s">
        <v>2144</v>
      </c>
      <c r="G624" t="s">
        <v>16</v>
      </c>
      <c r="H624" s="1">
        <v>45590</v>
      </c>
      <c r="I624" s="4">
        <v>55867.23</v>
      </c>
      <c r="J624" t="s">
        <v>276</v>
      </c>
      <c r="K624">
        <v>-3039429044</v>
      </c>
      <c r="L624" t="s">
        <v>25</v>
      </c>
      <c r="M624" t="b">
        <v>0</v>
      </c>
      <c r="N624">
        <v>5586.7230000000009</v>
      </c>
    </row>
    <row r="625" spans="1:14" x14ac:dyDescent="0.25">
      <c r="A625" t="s">
        <v>1374</v>
      </c>
      <c r="B625" t="s">
        <v>80</v>
      </c>
      <c r="C625" t="s">
        <v>62</v>
      </c>
      <c r="D625">
        <v>35</v>
      </c>
      <c r="E625" s="4" t="s">
        <v>2141</v>
      </c>
      <c r="F625" s="4" t="s">
        <v>2140</v>
      </c>
      <c r="G625" t="s">
        <v>30</v>
      </c>
      <c r="H625" s="1">
        <v>45353</v>
      </c>
      <c r="I625" s="4">
        <v>105259.57</v>
      </c>
      <c r="J625" t="s">
        <v>150</v>
      </c>
      <c r="K625">
        <v>-8867925297</v>
      </c>
      <c r="L625" t="s">
        <v>33</v>
      </c>
      <c r="M625" t="b">
        <v>1</v>
      </c>
      <c r="N625">
        <v>5262.9785000000011</v>
      </c>
    </row>
    <row r="626" spans="1:14" x14ac:dyDescent="0.25">
      <c r="A626" t="s">
        <v>1376</v>
      </c>
      <c r="B626" t="s">
        <v>13</v>
      </c>
      <c r="C626" t="s">
        <v>28</v>
      </c>
      <c r="E626" s="4" t="s">
        <v>2143</v>
      </c>
      <c r="F626" s="4" t="s">
        <v>2144</v>
      </c>
      <c r="G626" t="s">
        <v>30</v>
      </c>
      <c r="H626" s="1">
        <v>44251</v>
      </c>
      <c r="I626" s="4">
        <v>98143.67</v>
      </c>
      <c r="J626" t="s">
        <v>56</v>
      </c>
      <c r="K626">
        <v>-5856728726</v>
      </c>
      <c r="L626" t="s">
        <v>25</v>
      </c>
      <c r="M626" t="b">
        <v>0</v>
      </c>
      <c r="N626">
        <v>9814.3670000000002</v>
      </c>
    </row>
    <row r="627" spans="1:14" x14ac:dyDescent="0.25">
      <c r="A627" t="s">
        <v>1378</v>
      </c>
      <c r="B627" t="s">
        <v>40</v>
      </c>
      <c r="C627" t="s">
        <v>62</v>
      </c>
      <c r="D627">
        <v>25</v>
      </c>
      <c r="E627" s="4" t="s">
        <v>2141</v>
      </c>
      <c r="F627" s="4" t="s">
        <v>2144</v>
      </c>
      <c r="G627" t="s">
        <v>30</v>
      </c>
      <c r="H627" s="1">
        <v>45029</v>
      </c>
      <c r="I627" s="4">
        <v>67754.289999999994</v>
      </c>
      <c r="J627" t="s">
        <v>316</v>
      </c>
      <c r="K627">
        <v>-6015343323</v>
      </c>
      <c r="L627" t="s">
        <v>19</v>
      </c>
      <c r="M627" t="b">
        <v>1</v>
      </c>
      <c r="N627">
        <v>1355.0857999999998</v>
      </c>
    </row>
    <row r="628" spans="1:14" x14ac:dyDescent="0.25">
      <c r="A628" t="s">
        <v>1380</v>
      </c>
      <c r="B628" t="s">
        <v>80</v>
      </c>
      <c r="C628" t="s">
        <v>28</v>
      </c>
      <c r="E628" s="4" t="s">
        <v>2147</v>
      </c>
      <c r="F628" s="4" t="s">
        <v>2148</v>
      </c>
      <c r="G628" t="s">
        <v>36</v>
      </c>
      <c r="H628" s="1">
        <v>45224</v>
      </c>
      <c r="I628" s="4">
        <v>77821.789999999994</v>
      </c>
      <c r="J628" t="s">
        <v>89</v>
      </c>
      <c r="K628">
        <v>-9135779082</v>
      </c>
      <c r="L628" t="s">
        <v>19</v>
      </c>
      <c r="M628" t="b">
        <v>0</v>
      </c>
      <c r="N628">
        <v>1556.4358</v>
      </c>
    </row>
    <row r="629" spans="1:14" x14ac:dyDescent="0.25">
      <c r="A629" t="s">
        <v>1382</v>
      </c>
      <c r="B629" t="s">
        <v>75</v>
      </c>
      <c r="C629" t="s">
        <v>106</v>
      </c>
      <c r="D629">
        <v>30</v>
      </c>
      <c r="E629" s="4" t="s">
        <v>2147</v>
      </c>
      <c r="F629" s="4" t="s">
        <v>2148</v>
      </c>
      <c r="G629" t="s">
        <v>30</v>
      </c>
      <c r="H629" s="1">
        <v>44821</v>
      </c>
      <c r="I629" s="4">
        <v>67764.44</v>
      </c>
      <c r="J629" t="s">
        <v>153</v>
      </c>
      <c r="K629">
        <v>-3506158147</v>
      </c>
      <c r="L629" t="s">
        <v>45</v>
      </c>
      <c r="M629" t="b">
        <v>0</v>
      </c>
      <c r="N629">
        <v>0</v>
      </c>
    </row>
    <row r="630" spans="1:14" x14ac:dyDescent="0.25">
      <c r="A630" t="s">
        <v>1384</v>
      </c>
      <c r="B630" t="s">
        <v>40</v>
      </c>
      <c r="C630" t="s">
        <v>14</v>
      </c>
      <c r="D630">
        <v>40</v>
      </c>
      <c r="E630" s="4" t="s">
        <v>2137</v>
      </c>
      <c r="F630" s="4" t="s">
        <v>2146</v>
      </c>
      <c r="G630" t="s">
        <v>30</v>
      </c>
      <c r="H630" s="1">
        <v>44074</v>
      </c>
      <c r="I630" s="4">
        <v>102346.99</v>
      </c>
      <c r="J630" t="s">
        <v>59</v>
      </c>
      <c r="K630">
        <v>-8810798333</v>
      </c>
      <c r="L630" t="s">
        <v>25</v>
      </c>
      <c r="M630" t="b">
        <v>1</v>
      </c>
      <c r="N630">
        <v>10234.699000000001</v>
      </c>
    </row>
    <row r="631" spans="1:14" x14ac:dyDescent="0.25">
      <c r="A631" t="s">
        <v>1386</v>
      </c>
      <c r="B631" t="s">
        <v>61</v>
      </c>
      <c r="C631" t="s">
        <v>14</v>
      </c>
      <c r="D631">
        <v>25</v>
      </c>
      <c r="E631" s="4" t="s">
        <v>2141</v>
      </c>
      <c r="F631" s="4" t="s">
        <v>2148</v>
      </c>
      <c r="G631" t="s">
        <v>36</v>
      </c>
      <c r="H631" s="1">
        <v>45440</v>
      </c>
      <c r="I631" s="4">
        <v>73690.649999999994</v>
      </c>
      <c r="J631" t="s">
        <v>200</v>
      </c>
      <c r="K631">
        <v>-2337209483</v>
      </c>
      <c r="L631" t="s">
        <v>33</v>
      </c>
      <c r="M631" t="b">
        <v>1</v>
      </c>
      <c r="N631">
        <v>3684.5324999999998</v>
      </c>
    </row>
    <row r="632" spans="1:14" x14ac:dyDescent="0.25">
      <c r="A632" t="s">
        <v>1388</v>
      </c>
      <c r="B632" t="s">
        <v>27</v>
      </c>
      <c r="C632" t="s">
        <v>142</v>
      </c>
      <c r="D632">
        <v>30</v>
      </c>
      <c r="E632" s="4" t="s">
        <v>2139</v>
      </c>
      <c r="F632" s="4" t="s">
        <v>2142</v>
      </c>
      <c r="G632" t="s">
        <v>16</v>
      </c>
      <c r="H632" s="1">
        <v>45478</v>
      </c>
      <c r="I632" s="4">
        <v>56376.2</v>
      </c>
      <c r="J632" t="s">
        <v>217</v>
      </c>
      <c r="K632">
        <v>-1312840332</v>
      </c>
      <c r="L632" t="s">
        <v>19</v>
      </c>
      <c r="M632" t="b">
        <v>1</v>
      </c>
      <c r="N632">
        <v>1127.5239999999999</v>
      </c>
    </row>
    <row r="633" spans="1:14" x14ac:dyDescent="0.25">
      <c r="A633" t="s">
        <v>1390</v>
      </c>
      <c r="B633" t="s">
        <v>80</v>
      </c>
      <c r="C633" t="s">
        <v>21</v>
      </c>
      <c r="D633">
        <v>25</v>
      </c>
      <c r="E633" s="4" t="s">
        <v>2143</v>
      </c>
      <c r="F633" s="4" t="s">
        <v>2138</v>
      </c>
      <c r="G633" t="s">
        <v>16</v>
      </c>
      <c r="H633" s="1">
        <v>44590</v>
      </c>
      <c r="I633" s="4">
        <v>55602.78</v>
      </c>
      <c r="J633" t="s">
        <v>240</v>
      </c>
      <c r="K633">
        <v>-9977180512</v>
      </c>
      <c r="L633" t="s">
        <v>33</v>
      </c>
      <c r="M633" t="b">
        <v>0</v>
      </c>
      <c r="N633">
        <v>2780.1390000000001</v>
      </c>
    </row>
    <row r="634" spans="1:14" x14ac:dyDescent="0.25">
      <c r="A634" t="s">
        <v>1392</v>
      </c>
      <c r="B634" t="s">
        <v>80</v>
      </c>
      <c r="C634" t="s">
        <v>28</v>
      </c>
      <c r="D634">
        <v>40</v>
      </c>
      <c r="E634" s="4" t="s">
        <v>2145</v>
      </c>
      <c r="F634" s="4" t="s">
        <v>2142</v>
      </c>
      <c r="G634" t="s">
        <v>30</v>
      </c>
      <c r="H634" s="1">
        <v>44417</v>
      </c>
      <c r="I634" s="4">
        <v>99812.41</v>
      </c>
      <c r="J634" t="s">
        <v>89</v>
      </c>
      <c r="K634">
        <v>-7171731892</v>
      </c>
      <c r="L634" t="s">
        <v>33</v>
      </c>
      <c r="M634" t="b">
        <v>0</v>
      </c>
      <c r="N634">
        <v>4990.6205000000009</v>
      </c>
    </row>
    <row r="635" spans="1:14" x14ac:dyDescent="0.25">
      <c r="A635" t="s">
        <v>1394</v>
      </c>
      <c r="B635" t="s">
        <v>61</v>
      </c>
      <c r="C635" t="s">
        <v>142</v>
      </c>
      <c r="D635">
        <v>40</v>
      </c>
      <c r="E635" s="4" t="s">
        <v>2139</v>
      </c>
      <c r="F635" s="4" t="s">
        <v>2140</v>
      </c>
      <c r="G635" t="s">
        <v>16</v>
      </c>
      <c r="H635" s="1">
        <v>45572</v>
      </c>
      <c r="I635" s="4">
        <v>95981.9</v>
      </c>
      <c r="J635" t="s">
        <v>231</v>
      </c>
      <c r="K635">
        <v>-9749096172</v>
      </c>
      <c r="L635" t="s">
        <v>19</v>
      </c>
      <c r="M635" t="b">
        <v>1</v>
      </c>
      <c r="N635">
        <v>1919.6379999999999</v>
      </c>
    </row>
    <row r="636" spans="1:14" x14ac:dyDescent="0.25">
      <c r="A636" t="s">
        <v>1396</v>
      </c>
      <c r="B636" t="s">
        <v>35</v>
      </c>
      <c r="C636" t="s">
        <v>62</v>
      </c>
      <c r="D636">
        <v>30</v>
      </c>
      <c r="E636" s="4" t="s">
        <v>2143</v>
      </c>
      <c r="F636" s="4" t="s">
        <v>2148</v>
      </c>
      <c r="G636" t="s">
        <v>30</v>
      </c>
      <c r="H636" s="1">
        <v>44887</v>
      </c>
      <c r="I636" s="4">
        <v>98891.48</v>
      </c>
      <c r="J636" t="s">
        <v>380</v>
      </c>
      <c r="K636">
        <v>-9970469471</v>
      </c>
      <c r="L636" t="s">
        <v>33</v>
      </c>
      <c r="M636" t="b">
        <v>1</v>
      </c>
      <c r="N636">
        <v>4944.5740000000005</v>
      </c>
    </row>
    <row r="637" spans="1:14" x14ac:dyDescent="0.25">
      <c r="A637" t="s">
        <v>1398</v>
      </c>
      <c r="B637" t="s">
        <v>27</v>
      </c>
      <c r="C637" t="s">
        <v>62</v>
      </c>
      <c r="D637">
        <v>35</v>
      </c>
      <c r="E637" s="4" t="s">
        <v>2141</v>
      </c>
      <c r="F637" s="4" t="s">
        <v>2142</v>
      </c>
      <c r="G637" t="s">
        <v>16</v>
      </c>
      <c r="H637" s="1">
        <v>44153</v>
      </c>
      <c r="I637" s="4">
        <v>56079</v>
      </c>
      <c r="J637" t="s">
        <v>177</v>
      </c>
      <c r="K637">
        <v>-5878444834</v>
      </c>
      <c r="L637" t="s">
        <v>19</v>
      </c>
      <c r="M637" t="b">
        <v>1</v>
      </c>
      <c r="N637">
        <v>1121.58</v>
      </c>
    </row>
    <row r="638" spans="1:14" x14ac:dyDescent="0.25">
      <c r="A638" t="s">
        <v>1400</v>
      </c>
      <c r="B638" t="s">
        <v>80</v>
      </c>
      <c r="C638" t="s">
        <v>142</v>
      </c>
      <c r="D638">
        <v>35</v>
      </c>
      <c r="E638" s="4" t="s">
        <v>2137</v>
      </c>
      <c r="F638" s="4" t="s">
        <v>2144</v>
      </c>
      <c r="G638" t="s">
        <v>36</v>
      </c>
      <c r="H638" s="1">
        <v>45031</v>
      </c>
      <c r="I638" s="4"/>
      <c r="J638" t="s">
        <v>160</v>
      </c>
      <c r="K638">
        <v>-4884712704</v>
      </c>
      <c r="L638" t="s">
        <v>33</v>
      </c>
      <c r="M638" t="b">
        <v>1</v>
      </c>
    </row>
    <row r="639" spans="1:14" x14ac:dyDescent="0.25">
      <c r="A639" t="s">
        <v>1401</v>
      </c>
      <c r="B639" t="s">
        <v>13</v>
      </c>
      <c r="C639" t="s">
        <v>14</v>
      </c>
      <c r="D639">
        <v>25</v>
      </c>
      <c r="E639" s="4" t="s">
        <v>2145</v>
      </c>
      <c r="F639" s="4" t="s">
        <v>2138</v>
      </c>
      <c r="G639" t="s">
        <v>30</v>
      </c>
      <c r="H639" s="1">
        <v>45530</v>
      </c>
      <c r="I639" s="4">
        <v>89137.97</v>
      </c>
      <c r="J639" t="s">
        <v>18</v>
      </c>
      <c r="K639">
        <v>-8772216416</v>
      </c>
      <c r="L639" t="s">
        <v>19</v>
      </c>
      <c r="M639" t="b">
        <v>0</v>
      </c>
      <c r="N639">
        <v>1782.7594000000001</v>
      </c>
    </row>
    <row r="640" spans="1:14" x14ac:dyDescent="0.25">
      <c r="A640" t="s">
        <v>1403</v>
      </c>
      <c r="B640" t="s">
        <v>40</v>
      </c>
      <c r="C640" t="s">
        <v>62</v>
      </c>
      <c r="D640">
        <v>35</v>
      </c>
      <c r="E640" s="4" t="s">
        <v>2141</v>
      </c>
      <c r="F640" s="4" t="s">
        <v>2148</v>
      </c>
      <c r="G640" t="s">
        <v>16</v>
      </c>
      <c r="H640" s="1">
        <v>44762</v>
      </c>
      <c r="I640" s="4">
        <v>115079.97</v>
      </c>
      <c r="J640" t="s">
        <v>316</v>
      </c>
      <c r="K640">
        <v>-5823133483</v>
      </c>
      <c r="L640" t="s">
        <v>25</v>
      </c>
      <c r="M640" t="b">
        <v>1</v>
      </c>
      <c r="N640">
        <v>11507.997000000001</v>
      </c>
    </row>
    <row r="641" spans="1:14" x14ac:dyDescent="0.25">
      <c r="A641" t="s">
        <v>1405</v>
      </c>
      <c r="B641" t="s">
        <v>35</v>
      </c>
      <c r="C641" t="s">
        <v>47</v>
      </c>
      <c r="D641">
        <v>30</v>
      </c>
      <c r="E641" s="4" t="s">
        <v>2139</v>
      </c>
      <c r="F641" s="4" t="s">
        <v>2148</v>
      </c>
      <c r="G641" t="s">
        <v>16</v>
      </c>
      <c r="H641" s="1">
        <v>44975</v>
      </c>
      <c r="I641" s="4">
        <v>55067.02</v>
      </c>
      <c r="J641" t="s">
        <v>346</v>
      </c>
      <c r="K641">
        <v>-5871493924</v>
      </c>
      <c r="L641" t="s">
        <v>45</v>
      </c>
      <c r="M641" t="b">
        <v>1</v>
      </c>
      <c r="N641">
        <v>0</v>
      </c>
    </row>
    <row r="642" spans="1:14" x14ac:dyDescent="0.25">
      <c r="A642" t="s">
        <v>1407</v>
      </c>
      <c r="B642" t="s">
        <v>13</v>
      </c>
      <c r="C642" t="s">
        <v>106</v>
      </c>
      <c r="E642" s="4" t="s">
        <v>2147</v>
      </c>
      <c r="F642" s="4" t="s">
        <v>2148</v>
      </c>
      <c r="G642" t="s">
        <v>30</v>
      </c>
      <c r="H642" s="1">
        <v>44343</v>
      </c>
      <c r="I642" s="4">
        <v>98593.43</v>
      </c>
      <c r="J642" t="s">
        <v>108</v>
      </c>
      <c r="K642">
        <v>-2362292586</v>
      </c>
      <c r="L642" t="s">
        <v>19</v>
      </c>
      <c r="M642" t="b">
        <v>1</v>
      </c>
      <c r="N642">
        <v>1971.8686</v>
      </c>
    </row>
    <row r="643" spans="1:14" x14ac:dyDescent="0.25">
      <c r="A643" t="s">
        <v>1409</v>
      </c>
      <c r="B643" t="s">
        <v>75</v>
      </c>
      <c r="C643" t="s">
        <v>106</v>
      </c>
      <c r="D643">
        <v>30</v>
      </c>
      <c r="E643" s="4" t="s">
        <v>2147</v>
      </c>
      <c r="F643" s="4" t="s">
        <v>2144</v>
      </c>
      <c r="G643" t="s">
        <v>30</v>
      </c>
      <c r="H643" s="1">
        <v>44774</v>
      </c>
      <c r="I643" s="4">
        <v>112756.67</v>
      </c>
      <c r="J643" t="s">
        <v>153</v>
      </c>
      <c r="K643">
        <v>-9643474523</v>
      </c>
      <c r="L643" t="s">
        <v>19</v>
      </c>
      <c r="M643" t="b">
        <v>1</v>
      </c>
      <c r="N643">
        <v>2255.1334000000002</v>
      </c>
    </row>
    <row r="644" spans="1:14" x14ac:dyDescent="0.25">
      <c r="A644" t="s">
        <v>1411</v>
      </c>
      <c r="B644" t="s">
        <v>75</v>
      </c>
      <c r="C644" t="s">
        <v>47</v>
      </c>
      <c r="D644">
        <v>25</v>
      </c>
      <c r="E644" s="4" t="s">
        <v>2147</v>
      </c>
      <c r="F644" s="4" t="s">
        <v>2140</v>
      </c>
      <c r="G644" t="s">
        <v>36</v>
      </c>
      <c r="H644" s="1">
        <v>45128</v>
      </c>
      <c r="I644" s="4">
        <v>105205.92</v>
      </c>
      <c r="J644" t="s">
        <v>300</v>
      </c>
      <c r="K644">
        <v>-5557469659</v>
      </c>
      <c r="L644" t="s">
        <v>45</v>
      </c>
      <c r="M644" t="b">
        <v>0</v>
      </c>
      <c r="N644">
        <v>0</v>
      </c>
    </row>
    <row r="645" spans="1:14" x14ac:dyDescent="0.25">
      <c r="A645" t="s">
        <v>1413</v>
      </c>
      <c r="B645" t="s">
        <v>67</v>
      </c>
      <c r="C645" t="s">
        <v>142</v>
      </c>
      <c r="D645">
        <v>35</v>
      </c>
      <c r="E645" s="4" t="s">
        <v>2139</v>
      </c>
      <c r="F645" s="4" t="s">
        <v>2138</v>
      </c>
      <c r="G645" t="s">
        <v>30</v>
      </c>
      <c r="H645" s="1">
        <v>44928</v>
      </c>
      <c r="I645" s="4">
        <v>50680.62</v>
      </c>
      <c r="J645" t="s">
        <v>402</v>
      </c>
      <c r="K645">
        <v>-6065274032</v>
      </c>
      <c r="L645" t="s">
        <v>19</v>
      </c>
      <c r="M645" t="b">
        <v>1</v>
      </c>
      <c r="N645">
        <v>1013.6124000000001</v>
      </c>
    </row>
    <row r="646" spans="1:14" x14ac:dyDescent="0.25">
      <c r="A646" t="s">
        <v>1415</v>
      </c>
      <c r="B646" t="s">
        <v>67</v>
      </c>
      <c r="C646" t="s">
        <v>47</v>
      </c>
      <c r="D646">
        <v>35</v>
      </c>
      <c r="E646" s="4" t="s">
        <v>2143</v>
      </c>
      <c r="F646" s="4" t="s">
        <v>2144</v>
      </c>
      <c r="G646" t="s">
        <v>30</v>
      </c>
      <c r="H646" s="1">
        <v>45364</v>
      </c>
      <c r="I646" s="4">
        <v>107475.23</v>
      </c>
      <c r="J646" t="s">
        <v>118</v>
      </c>
      <c r="K646">
        <v>-4450566587</v>
      </c>
      <c r="L646" t="s">
        <v>19</v>
      </c>
      <c r="M646" t="b">
        <v>0</v>
      </c>
      <c r="N646">
        <v>2149.5045999999998</v>
      </c>
    </row>
    <row r="647" spans="1:14" x14ac:dyDescent="0.25">
      <c r="A647" t="s">
        <v>1417</v>
      </c>
      <c r="B647" t="s">
        <v>61</v>
      </c>
      <c r="C647" t="s">
        <v>28</v>
      </c>
      <c r="D647">
        <v>40</v>
      </c>
      <c r="E647" s="4" t="s">
        <v>2147</v>
      </c>
      <c r="F647" s="4" t="s">
        <v>2138</v>
      </c>
      <c r="G647" t="s">
        <v>16</v>
      </c>
      <c r="H647" s="1">
        <v>45005</v>
      </c>
      <c r="I647" s="4">
        <v>68835.3</v>
      </c>
      <c r="J647" t="s">
        <v>140</v>
      </c>
      <c r="K647">
        <v>-3398741131</v>
      </c>
      <c r="L647" t="s">
        <v>33</v>
      </c>
      <c r="M647" t="b">
        <v>1</v>
      </c>
      <c r="N647">
        <v>3441.7650000000003</v>
      </c>
    </row>
    <row r="648" spans="1:14" x14ac:dyDescent="0.25">
      <c r="A648" t="s">
        <v>1419</v>
      </c>
      <c r="B648" t="s">
        <v>67</v>
      </c>
      <c r="C648" t="s">
        <v>28</v>
      </c>
      <c r="D648">
        <v>40</v>
      </c>
      <c r="E648" s="4" t="s">
        <v>2137</v>
      </c>
      <c r="F648" s="4" t="s">
        <v>2146</v>
      </c>
      <c r="G648" t="s">
        <v>16</v>
      </c>
      <c r="H648" s="1">
        <v>45337</v>
      </c>
      <c r="I648" s="4">
        <v>66943.960000000006</v>
      </c>
      <c r="J648" t="s">
        <v>283</v>
      </c>
      <c r="K648">
        <v>-5797067348</v>
      </c>
      <c r="L648" t="s">
        <v>45</v>
      </c>
      <c r="M648" t="b">
        <v>1</v>
      </c>
      <c r="N648">
        <v>0</v>
      </c>
    </row>
    <row r="649" spans="1:14" x14ac:dyDescent="0.25">
      <c r="A649" t="s">
        <v>1421</v>
      </c>
      <c r="B649" t="s">
        <v>67</v>
      </c>
      <c r="C649" t="s">
        <v>142</v>
      </c>
      <c r="D649">
        <v>30</v>
      </c>
      <c r="E649" s="4" t="s">
        <v>2141</v>
      </c>
      <c r="F649" s="4" t="s">
        <v>2148</v>
      </c>
      <c r="G649" t="s">
        <v>36</v>
      </c>
      <c r="H649" s="1">
        <v>44150</v>
      </c>
      <c r="I649" s="4">
        <v>104525.69</v>
      </c>
      <c r="J649" t="s">
        <v>402</v>
      </c>
      <c r="K649">
        <v>-9601054856</v>
      </c>
      <c r="L649" t="s">
        <v>25</v>
      </c>
      <c r="M649" t="b">
        <v>0</v>
      </c>
      <c r="N649">
        <v>10452.569000000001</v>
      </c>
    </row>
    <row r="650" spans="1:14" x14ac:dyDescent="0.25">
      <c r="A650" t="s">
        <v>1423</v>
      </c>
      <c r="B650" t="s">
        <v>13</v>
      </c>
      <c r="C650" t="s">
        <v>47</v>
      </c>
      <c r="D650">
        <v>40</v>
      </c>
      <c r="E650" s="4" t="s">
        <v>2145</v>
      </c>
      <c r="F650" s="4" t="s">
        <v>2140</v>
      </c>
      <c r="G650" t="s">
        <v>30</v>
      </c>
      <c r="H650" s="1">
        <v>43917</v>
      </c>
      <c r="I650" s="4">
        <v>109360.74</v>
      </c>
      <c r="J650" t="s">
        <v>180</v>
      </c>
      <c r="K650">
        <v>-4172156228</v>
      </c>
      <c r="L650" t="s">
        <v>19</v>
      </c>
      <c r="M650" t="b">
        <v>1</v>
      </c>
      <c r="N650">
        <v>2187.2148000000002</v>
      </c>
    </row>
    <row r="651" spans="1:14" x14ac:dyDescent="0.25">
      <c r="A651" t="s">
        <v>1425</v>
      </c>
      <c r="B651" t="s">
        <v>40</v>
      </c>
      <c r="C651" t="s">
        <v>28</v>
      </c>
      <c r="D651">
        <v>40</v>
      </c>
      <c r="E651" s="4" t="s">
        <v>2145</v>
      </c>
      <c r="F651" s="4" t="s">
        <v>2138</v>
      </c>
      <c r="G651" t="s">
        <v>36</v>
      </c>
      <c r="H651" s="1">
        <v>44205</v>
      </c>
      <c r="I651" s="4">
        <v>118907.63</v>
      </c>
      <c r="J651" t="s">
        <v>53</v>
      </c>
      <c r="K651">
        <v>-4938173597</v>
      </c>
      <c r="L651" t="s">
        <v>45</v>
      </c>
      <c r="M651" t="b">
        <v>0</v>
      </c>
      <c r="N651">
        <v>0</v>
      </c>
    </row>
    <row r="652" spans="1:14" x14ac:dyDescent="0.25">
      <c r="A652" t="s">
        <v>1427</v>
      </c>
      <c r="B652" t="s">
        <v>35</v>
      </c>
      <c r="C652" t="s">
        <v>14</v>
      </c>
      <c r="D652">
        <v>40</v>
      </c>
      <c r="E652" s="4" t="s">
        <v>2141</v>
      </c>
      <c r="F652" s="4" t="s">
        <v>2148</v>
      </c>
      <c r="G652" t="s">
        <v>16</v>
      </c>
      <c r="H652" s="1">
        <v>43941</v>
      </c>
      <c r="I652" s="4">
        <v>86801.48</v>
      </c>
      <c r="J652" t="s">
        <v>38</v>
      </c>
      <c r="K652">
        <v>-4884021556</v>
      </c>
      <c r="L652" t="s">
        <v>33</v>
      </c>
      <c r="M652" t="b">
        <v>0</v>
      </c>
      <c r="N652">
        <v>4340.0739999999996</v>
      </c>
    </row>
    <row r="653" spans="1:14" x14ac:dyDescent="0.25">
      <c r="A653" t="s">
        <v>1429</v>
      </c>
      <c r="B653" t="s">
        <v>27</v>
      </c>
      <c r="C653" t="s">
        <v>47</v>
      </c>
      <c r="E653" s="4" t="s">
        <v>2147</v>
      </c>
      <c r="F653" s="4" t="s">
        <v>2144</v>
      </c>
      <c r="G653" t="s">
        <v>30</v>
      </c>
      <c r="H653" s="1">
        <v>45420</v>
      </c>
      <c r="I653" s="4">
        <v>62236.03</v>
      </c>
      <c r="J653" t="s">
        <v>50</v>
      </c>
      <c r="K653">
        <v>-3257375533</v>
      </c>
      <c r="L653" t="s">
        <v>25</v>
      </c>
      <c r="M653" t="b">
        <v>1</v>
      </c>
      <c r="N653">
        <v>6223.6030000000001</v>
      </c>
    </row>
    <row r="654" spans="1:14" x14ac:dyDescent="0.25">
      <c r="A654" t="s">
        <v>1431</v>
      </c>
      <c r="B654" t="s">
        <v>75</v>
      </c>
      <c r="C654" t="s">
        <v>14</v>
      </c>
      <c r="D654">
        <v>35</v>
      </c>
      <c r="E654" s="4" t="s">
        <v>2137</v>
      </c>
      <c r="F654" s="4" t="s">
        <v>2140</v>
      </c>
      <c r="G654" t="s">
        <v>16</v>
      </c>
      <c r="H654" s="1">
        <v>45211</v>
      </c>
      <c r="I654" s="4">
        <v>64752.67</v>
      </c>
      <c r="J654" t="s">
        <v>469</v>
      </c>
      <c r="K654">
        <v>-4902166669</v>
      </c>
      <c r="L654" t="s">
        <v>45</v>
      </c>
      <c r="M654" t="b">
        <v>0</v>
      </c>
      <c r="N654">
        <v>0</v>
      </c>
    </row>
    <row r="655" spans="1:14" x14ac:dyDescent="0.25">
      <c r="A655" t="s">
        <v>1433</v>
      </c>
      <c r="B655" t="s">
        <v>40</v>
      </c>
      <c r="C655" t="s">
        <v>28</v>
      </c>
      <c r="D655">
        <v>35</v>
      </c>
      <c r="E655" s="4" t="s">
        <v>2145</v>
      </c>
      <c r="F655" s="4" t="s">
        <v>2138</v>
      </c>
      <c r="G655" t="s">
        <v>16</v>
      </c>
      <c r="H655" s="1">
        <v>44954</v>
      </c>
      <c r="I655" s="4">
        <v>68399.429999999993</v>
      </c>
      <c r="J655" t="s">
        <v>53</v>
      </c>
      <c r="K655">
        <v>-8085096084</v>
      </c>
      <c r="L655" t="s">
        <v>25</v>
      </c>
      <c r="M655" t="b">
        <v>0</v>
      </c>
      <c r="N655">
        <v>6839.9429999999993</v>
      </c>
    </row>
    <row r="656" spans="1:14" x14ac:dyDescent="0.25">
      <c r="A656" t="s">
        <v>1435</v>
      </c>
      <c r="B656" t="s">
        <v>40</v>
      </c>
      <c r="C656" t="s">
        <v>106</v>
      </c>
      <c r="D656">
        <v>35</v>
      </c>
      <c r="E656" s="4" t="s">
        <v>2141</v>
      </c>
      <c r="F656" s="4" t="s">
        <v>2144</v>
      </c>
      <c r="G656" t="s">
        <v>36</v>
      </c>
      <c r="H656" s="1">
        <v>44262</v>
      </c>
      <c r="I656" s="4">
        <v>79336.509999999995</v>
      </c>
      <c r="J656" t="s">
        <v>128</v>
      </c>
      <c r="K656">
        <v>-8749511917</v>
      </c>
      <c r="L656" t="s">
        <v>25</v>
      </c>
      <c r="M656" t="b">
        <v>0</v>
      </c>
      <c r="N656">
        <v>7933.6509999999998</v>
      </c>
    </row>
    <row r="657" spans="1:14" x14ac:dyDescent="0.25">
      <c r="A657" t="s">
        <v>1437</v>
      </c>
      <c r="B657" t="s">
        <v>40</v>
      </c>
      <c r="C657" t="s">
        <v>28</v>
      </c>
      <c r="D657">
        <v>40</v>
      </c>
      <c r="E657" s="4" t="s">
        <v>2147</v>
      </c>
      <c r="F657" s="4" t="s">
        <v>2144</v>
      </c>
      <c r="G657" t="s">
        <v>16</v>
      </c>
      <c r="H657" s="1">
        <v>45001</v>
      </c>
      <c r="I657" s="4">
        <v>59179.74</v>
      </c>
      <c r="J657" t="s">
        <v>53</v>
      </c>
      <c r="K657">
        <v>-1828197930</v>
      </c>
      <c r="L657" t="s">
        <v>25</v>
      </c>
      <c r="M657" t="b">
        <v>0</v>
      </c>
      <c r="N657">
        <v>5917.9740000000002</v>
      </c>
    </row>
    <row r="658" spans="1:14" x14ac:dyDescent="0.25">
      <c r="A658" t="s">
        <v>1439</v>
      </c>
      <c r="B658" t="s">
        <v>67</v>
      </c>
      <c r="C658" t="s">
        <v>14</v>
      </c>
      <c r="D658">
        <v>25</v>
      </c>
      <c r="E658" s="4" t="s">
        <v>2137</v>
      </c>
      <c r="F658" s="4" t="s">
        <v>2138</v>
      </c>
      <c r="G658" t="s">
        <v>16</v>
      </c>
      <c r="H658" s="1">
        <v>44968</v>
      </c>
      <c r="I658" s="4">
        <v>80255.31</v>
      </c>
      <c r="J658" t="s">
        <v>73</v>
      </c>
      <c r="K658">
        <v>-6477251294</v>
      </c>
      <c r="L658" t="s">
        <v>19</v>
      </c>
      <c r="M658" t="b">
        <v>0</v>
      </c>
      <c r="N658">
        <v>1605.1061999999999</v>
      </c>
    </row>
    <row r="659" spans="1:14" x14ac:dyDescent="0.25">
      <c r="A659" t="s">
        <v>1441</v>
      </c>
      <c r="B659" t="s">
        <v>61</v>
      </c>
      <c r="C659" t="s">
        <v>41</v>
      </c>
      <c r="D659">
        <v>30</v>
      </c>
      <c r="E659" s="4" t="s">
        <v>2139</v>
      </c>
      <c r="F659" s="4" t="s">
        <v>2140</v>
      </c>
      <c r="G659" t="s">
        <v>16</v>
      </c>
      <c r="H659" s="1">
        <v>44694</v>
      </c>
      <c r="I659" s="4">
        <v>84971.85</v>
      </c>
      <c r="J659" t="s">
        <v>104</v>
      </c>
      <c r="K659">
        <v>-7860694095</v>
      </c>
      <c r="L659" t="s">
        <v>19</v>
      </c>
      <c r="M659" t="b">
        <v>0</v>
      </c>
      <c r="N659">
        <v>1699.4370000000001</v>
      </c>
    </row>
    <row r="660" spans="1:14" x14ac:dyDescent="0.25">
      <c r="A660" t="s">
        <v>1443</v>
      </c>
      <c r="B660" t="s">
        <v>40</v>
      </c>
      <c r="C660" t="s">
        <v>21</v>
      </c>
      <c r="D660">
        <v>40</v>
      </c>
      <c r="E660" s="4" t="s">
        <v>2147</v>
      </c>
      <c r="F660" s="4" t="s">
        <v>2138</v>
      </c>
      <c r="G660" t="s">
        <v>30</v>
      </c>
      <c r="H660" s="1">
        <v>45589</v>
      </c>
      <c r="I660" s="4">
        <v>89748.42</v>
      </c>
      <c r="J660" t="s">
        <v>280</v>
      </c>
      <c r="K660">
        <v>-35624394</v>
      </c>
      <c r="L660" t="s">
        <v>33</v>
      </c>
      <c r="M660" t="b">
        <v>0</v>
      </c>
      <c r="N660">
        <v>4487.4210000000003</v>
      </c>
    </row>
    <row r="661" spans="1:14" x14ac:dyDescent="0.25">
      <c r="A661" t="s">
        <v>1445</v>
      </c>
      <c r="B661" t="s">
        <v>61</v>
      </c>
      <c r="C661" t="s">
        <v>62</v>
      </c>
      <c r="D661">
        <v>25</v>
      </c>
      <c r="E661" s="4" t="s">
        <v>2141</v>
      </c>
      <c r="F661" s="4" t="s">
        <v>2138</v>
      </c>
      <c r="G661" t="s">
        <v>36</v>
      </c>
      <c r="H661" s="1">
        <v>45549</v>
      </c>
      <c r="I661" s="4">
        <v>94090.35</v>
      </c>
      <c r="J661" t="s">
        <v>65</v>
      </c>
      <c r="K661">
        <v>-8739592322</v>
      </c>
      <c r="L661" t="s">
        <v>33</v>
      </c>
      <c r="M661" t="b">
        <v>0</v>
      </c>
      <c r="N661">
        <v>4704.5175000000008</v>
      </c>
    </row>
    <row r="662" spans="1:14" x14ac:dyDescent="0.25">
      <c r="A662" t="s">
        <v>1447</v>
      </c>
      <c r="B662" t="s">
        <v>40</v>
      </c>
      <c r="C662" t="s">
        <v>47</v>
      </c>
      <c r="D662">
        <v>35</v>
      </c>
      <c r="E662" s="4" t="s">
        <v>2147</v>
      </c>
      <c r="F662" s="4" t="s">
        <v>2138</v>
      </c>
      <c r="G662" t="s">
        <v>30</v>
      </c>
      <c r="H662" s="1">
        <v>44972</v>
      </c>
      <c r="I662" s="4">
        <v>115229.12</v>
      </c>
      <c r="J662" t="s">
        <v>214</v>
      </c>
      <c r="K662">
        <v>-4210890284</v>
      </c>
      <c r="L662" t="s">
        <v>45</v>
      </c>
      <c r="M662" t="b">
        <v>1</v>
      </c>
      <c r="N662">
        <v>0</v>
      </c>
    </row>
    <row r="663" spans="1:14" x14ac:dyDescent="0.25">
      <c r="A663" t="s">
        <v>1449</v>
      </c>
      <c r="B663" t="s">
        <v>27</v>
      </c>
      <c r="C663" t="s">
        <v>41</v>
      </c>
      <c r="D663">
        <v>40</v>
      </c>
      <c r="E663" s="4" t="s">
        <v>2143</v>
      </c>
      <c r="F663" s="4" t="s">
        <v>2138</v>
      </c>
      <c r="G663" t="s">
        <v>30</v>
      </c>
      <c r="H663" s="1">
        <v>45071</v>
      </c>
      <c r="I663" s="4">
        <v>63927.07</v>
      </c>
      <c r="J663" t="s">
        <v>431</v>
      </c>
      <c r="K663">
        <v>-1553334263</v>
      </c>
      <c r="L663" t="s">
        <v>33</v>
      </c>
      <c r="M663" t="b">
        <v>1</v>
      </c>
      <c r="N663">
        <v>3196.3535000000002</v>
      </c>
    </row>
    <row r="664" spans="1:14" x14ac:dyDescent="0.25">
      <c r="A664" t="s">
        <v>1451</v>
      </c>
      <c r="B664" t="s">
        <v>61</v>
      </c>
      <c r="C664" t="s">
        <v>28</v>
      </c>
      <c r="D664">
        <v>35</v>
      </c>
      <c r="E664" s="4" t="s">
        <v>2147</v>
      </c>
      <c r="F664" s="4" t="s">
        <v>2138</v>
      </c>
      <c r="G664" t="s">
        <v>30</v>
      </c>
      <c r="H664" s="1">
        <v>44876</v>
      </c>
      <c r="I664" s="4">
        <v>84124.56</v>
      </c>
      <c r="J664" t="s">
        <v>140</v>
      </c>
      <c r="K664">
        <v>-3350271606</v>
      </c>
      <c r="L664" t="s">
        <v>25</v>
      </c>
      <c r="M664" t="b">
        <v>0</v>
      </c>
      <c r="N664">
        <v>8412.4560000000001</v>
      </c>
    </row>
    <row r="665" spans="1:14" x14ac:dyDescent="0.25">
      <c r="A665" t="s">
        <v>1453</v>
      </c>
      <c r="B665" t="s">
        <v>13</v>
      </c>
      <c r="C665" t="s">
        <v>106</v>
      </c>
      <c r="D665">
        <v>40</v>
      </c>
      <c r="E665" s="4" t="s">
        <v>2145</v>
      </c>
      <c r="F665" s="4" t="s">
        <v>2138</v>
      </c>
      <c r="G665" t="s">
        <v>36</v>
      </c>
      <c r="H665" s="1">
        <v>45124</v>
      </c>
      <c r="I665" s="4">
        <v>116961.61</v>
      </c>
      <c r="J665" t="s">
        <v>108</v>
      </c>
      <c r="K665">
        <v>-3607763368</v>
      </c>
      <c r="L665" t="s">
        <v>25</v>
      </c>
      <c r="M665" t="b">
        <v>1</v>
      </c>
      <c r="N665">
        <v>11696.161</v>
      </c>
    </row>
    <row r="666" spans="1:14" x14ac:dyDescent="0.25">
      <c r="A666" t="s">
        <v>1455</v>
      </c>
      <c r="B666" t="s">
        <v>40</v>
      </c>
      <c r="C666" t="s">
        <v>142</v>
      </c>
      <c r="D666">
        <v>40</v>
      </c>
      <c r="E666" s="4" t="s">
        <v>2137</v>
      </c>
      <c r="F666" s="4" t="s">
        <v>2148</v>
      </c>
      <c r="G666" t="s">
        <v>30</v>
      </c>
      <c r="H666" s="1">
        <v>44659</v>
      </c>
      <c r="I666" s="4">
        <v>109423.05</v>
      </c>
      <c r="J666" t="s">
        <v>163</v>
      </c>
      <c r="K666">
        <v>-1128981230</v>
      </c>
      <c r="L666" t="s">
        <v>19</v>
      </c>
      <c r="M666" t="b">
        <v>0</v>
      </c>
      <c r="N666">
        <v>2188.4610000000002</v>
      </c>
    </row>
    <row r="667" spans="1:14" x14ac:dyDescent="0.25">
      <c r="A667" t="s">
        <v>1457</v>
      </c>
      <c r="B667" t="s">
        <v>61</v>
      </c>
      <c r="C667" t="s">
        <v>28</v>
      </c>
      <c r="D667">
        <v>35</v>
      </c>
      <c r="E667" s="4" t="s">
        <v>2141</v>
      </c>
      <c r="F667" s="4" t="s">
        <v>2138</v>
      </c>
      <c r="G667" t="s">
        <v>36</v>
      </c>
      <c r="H667" s="1">
        <v>45168</v>
      </c>
      <c r="I667" s="4">
        <v>70394.94</v>
      </c>
      <c r="J667" t="s">
        <v>140</v>
      </c>
      <c r="K667">
        <v>-7955633184</v>
      </c>
      <c r="L667" t="s">
        <v>25</v>
      </c>
      <c r="M667" t="b">
        <v>0</v>
      </c>
      <c r="N667">
        <v>7039.4940000000006</v>
      </c>
    </row>
    <row r="668" spans="1:14" x14ac:dyDescent="0.25">
      <c r="A668" t="s">
        <v>1459</v>
      </c>
      <c r="B668" t="s">
        <v>80</v>
      </c>
      <c r="C668" t="s">
        <v>106</v>
      </c>
      <c r="D668">
        <v>35</v>
      </c>
      <c r="E668" s="4" t="s">
        <v>2139</v>
      </c>
      <c r="F668" s="4" t="s">
        <v>2138</v>
      </c>
      <c r="G668" t="s">
        <v>30</v>
      </c>
      <c r="H668" s="1">
        <v>45033</v>
      </c>
      <c r="I668" s="4">
        <v>86465.5</v>
      </c>
      <c r="J668" t="s">
        <v>197</v>
      </c>
      <c r="K668">
        <v>-7481700665</v>
      </c>
      <c r="L668" t="s">
        <v>45</v>
      </c>
      <c r="M668" t="b">
        <v>1</v>
      </c>
      <c r="N668">
        <v>0</v>
      </c>
    </row>
    <row r="669" spans="1:14" x14ac:dyDescent="0.25">
      <c r="A669" t="s">
        <v>1461</v>
      </c>
      <c r="B669" t="s">
        <v>61</v>
      </c>
      <c r="C669" t="s">
        <v>21</v>
      </c>
      <c r="D669">
        <v>30</v>
      </c>
      <c r="E669" s="4" t="s">
        <v>2143</v>
      </c>
      <c r="F669" s="4" t="s">
        <v>2146</v>
      </c>
      <c r="G669" t="s">
        <v>30</v>
      </c>
      <c r="H669" s="1">
        <v>44311</v>
      </c>
      <c r="I669" s="4">
        <v>96341.58</v>
      </c>
      <c r="J669" t="s">
        <v>147</v>
      </c>
      <c r="K669">
        <v>-1554164315</v>
      </c>
      <c r="L669" t="s">
        <v>25</v>
      </c>
      <c r="M669" t="b">
        <v>0</v>
      </c>
      <c r="N669">
        <v>9634.1580000000013</v>
      </c>
    </row>
    <row r="670" spans="1:14" x14ac:dyDescent="0.25">
      <c r="A670" t="s">
        <v>1463</v>
      </c>
      <c r="B670" t="s">
        <v>13</v>
      </c>
      <c r="C670" t="s">
        <v>28</v>
      </c>
      <c r="D670">
        <v>30</v>
      </c>
      <c r="E670" s="4" t="s">
        <v>2141</v>
      </c>
      <c r="F670" s="4" t="s">
        <v>2144</v>
      </c>
      <c r="G670" t="s">
        <v>16</v>
      </c>
      <c r="H670" s="1">
        <v>44026</v>
      </c>
      <c r="I670" s="4">
        <v>54465.47</v>
      </c>
      <c r="J670" t="s">
        <v>56</v>
      </c>
      <c r="K670">
        <v>-7045023289</v>
      </c>
      <c r="L670" t="s">
        <v>25</v>
      </c>
      <c r="M670" t="b">
        <v>0</v>
      </c>
      <c r="N670">
        <v>5446.5470000000005</v>
      </c>
    </row>
    <row r="671" spans="1:14" x14ac:dyDescent="0.25">
      <c r="A671" t="s">
        <v>1465</v>
      </c>
      <c r="B671" t="s">
        <v>27</v>
      </c>
      <c r="C671" t="s">
        <v>14</v>
      </c>
      <c r="D671">
        <v>25</v>
      </c>
      <c r="E671" s="4" t="s">
        <v>2139</v>
      </c>
      <c r="F671" s="4" t="s">
        <v>2148</v>
      </c>
      <c r="G671" t="s">
        <v>16</v>
      </c>
      <c r="H671" s="1">
        <v>44043</v>
      </c>
      <c r="I671" s="4">
        <v>68371.66</v>
      </c>
      <c r="J671" t="s">
        <v>191</v>
      </c>
      <c r="K671">
        <v>-2822700933</v>
      </c>
      <c r="L671" t="s">
        <v>45</v>
      </c>
      <c r="M671" t="b">
        <v>0</v>
      </c>
      <c r="N671">
        <v>0</v>
      </c>
    </row>
    <row r="672" spans="1:14" x14ac:dyDescent="0.25">
      <c r="A672" t="s">
        <v>1467</v>
      </c>
      <c r="B672" t="s">
        <v>80</v>
      </c>
      <c r="C672" t="s">
        <v>142</v>
      </c>
      <c r="D672">
        <v>35</v>
      </c>
      <c r="E672" s="4" t="s">
        <v>2141</v>
      </c>
      <c r="F672" s="4" t="s">
        <v>2146</v>
      </c>
      <c r="G672" t="s">
        <v>30</v>
      </c>
      <c r="H672" s="1">
        <v>44412</v>
      </c>
      <c r="I672" s="4">
        <v>81021.23</v>
      </c>
      <c r="J672" t="s">
        <v>160</v>
      </c>
      <c r="K672">
        <v>-5962622821</v>
      </c>
      <c r="L672" t="s">
        <v>33</v>
      </c>
      <c r="M672" t="b">
        <v>0</v>
      </c>
      <c r="N672">
        <v>4051.0614999999998</v>
      </c>
    </row>
    <row r="673" spans="1:14" x14ac:dyDescent="0.25">
      <c r="A673" t="s">
        <v>1469</v>
      </c>
      <c r="B673" t="s">
        <v>61</v>
      </c>
      <c r="C673" t="s">
        <v>106</v>
      </c>
      <c r="D673">
        <v>25</v>
      </c>
      <c r="E673" s="4" t="s">
        <v>2143</v>
      </c>
      <c r="F673" s="4" t="s">
        <v>2142</v>
      </c>
      <c r="G673" t="s">
        <v>36</v>
      </c>
      <c r="H673" s="1">
        <v>45593</v>
      </c>
      <c r="I673" s="4">
        <v>114069.07</v>
      </c>
      <c r="J673" t="s">
        <v>607</v>
      </c>
      <c r="K673">
        <v>-5120734653</v>
      </c>
      <c r="L673" t="s">
        <v>33</v>
      </c>
      <c r="M673" t="b">
        <v>1</v>
      </c>
      <c r="N673">
        <v>5703.4535000000005</v>
      </c>
    </row>
    <row r="674" spans="1:14" x14ac:dyDescent="0.25">
      <c r="A674" t="s">
        <v>1471</v>
      </c>
      <c r="B674" t="s">
        <v>75</v>
      </c>
      <c r="C674" t="s">
        <v>106</v>
      </c>
      <c r="E674" s="4" t="s">
        <v>2147</v>
      </c>
      <c r="F674" s="4" t="s">
        <v>2148</v>
      </c>
      <c r="G674" t="s">
        <v>36</v>
      </c>
      <c r="H674" s="1">
        <v>44107</v>
      </c>
      <c r="I674" s="4">
        <v>117867.96</v>
      </c>
      <c r="J674" t="s">
        <v>153</v>
      </c>
      <c r="K674">
        <v>-9500507025</v>
      </c>
      <c r="L674" t="s">
        <v>45</v>
      </c>
      <c r="M674" t="b">
        <v>0</v>
      </c>
      <c r="N674">
        <v>0</v>
      </c>
    </row>
    <row r="675" spans="1:14" x14ac:dyDescent="0.25">
      <c r="A675" t="s">
        <v>1473</v>
      </c>
      <c r="B675" t="s">
        <v>61</v>
      </c>
      <c r="C675" t="s">
        <v>106</v>
      </c>
      <c r="E675" s="4" t="s">
        <v>2145</v>
      </c>
      <c r="F675" s="4" t="s">
        <v>2144</v>
      </c>
      <c r="G675" t="s">
        <v>30</v>
      </c>
      <c r="H675" s="1">
        <v>45364</v>
      </c>
      <c r="I675" s="4">
        <v>94509.58</v>
      </c>
      <c r="J675" t="s">
        <v>607</v>
      </c>
      <c r="K675">
        <v>-869822104</v>
      </c>
      <c r="L675" t="s">
        <v>19</v>
      </c>
      <c r="M675" t="b">
        <v>0</v>
      </c>
      <c r="N675">
        <v>1890.1916000000001</v>
      </c>
    </row>
    <row r="676" spans="1:14" x14ac:dyDescent="0.25">
      <c r="A676" t="s">
        <v>1475</v>
      </c>
      <c r="B676" t="s">
        <v>35</v>
      </c>
      <c r="C676" t="s">
        <v>21</v>
      </c>
      <c r="D676">
        <v>35</v>
      </c>
      <c r="E676" s="4" t="s">
        <v>2139</v>
      </c>
      <c r="F676" s="4" t="s">
        <v>2148</v>
      </c>
      <c r="G676" t="s">
        <v>16</v>
      </c>
      <c r="H676" s="1">
        <v>45479</v>
      </c>
      <c r="I676" s="4">
        <v>56268.78</v>
      </c>
      <c r="J676" t="s">
        <v>183</v>
      </c>
      <c r="K676">
        <v>-3161177686</v>
      </c>
      <c r="L676" t="s">
        <v>25</v>
      </c>
      <c r="M676" t="b">
        <v>0</v>
      </c>
      <c r="N676">
        <v>5626.8780000000006</v>
      </c>
    </row>
    <row r="677" spans="1:14" x14ac:dyDescent="0.25">
      <c r="A677" t="s">
        <v>1477</v>
      </c>
      <c r="B677" t="s">
        <v>80</v>
      </c>
      <c r="C677" t="s">
        <v>28</v>
      </c>
      <c r="D677">
        <v>35</v>
      </c>
      <c r="E677" s="4" t="s">
        <v>2141</v>
      </c>
      <c r="F677" s="4" t="s">
        <v>2138</v>
      </c>
      <c r="G677" t="s">
        <v>16</v>
      </c>
      <c r="H677" s="1">
        <v>43831</v>
      </c>
      <c r="I677" s="4">
        <v>86632.14</v>
      </c>
      <c r="J677" t="s">
        <v>89</v>
      </c>
      <c r="K677">
        <v>-2904774257</v>
      </c>
      <c r="L677" t="s">
        <v>45</v>
      </c>
      <c r="M677" t="b">
        <v>1</v>
      </c>
      <c r="N677">
        <v>0</v>
      </c>
    </row>
    <row r="678" spans="1:14" x14ac:dyDescent="0.25">
      <c r="A678" t="s">
        <v>1479</v>
      </c>
      <c r="B678" t="s">
        <v>61</v>
      </c>
      <c r="C678" t="s">
        <v>21</v>
      </c>
      <c r="D678">
        <v>35</v>
      </c>
      <c r="E678" s="4" t="s">
        <v>2147</v>
      </c>
      <c r="F678" s="4" t="s">
        <v>2144</v>
      </c>
      <c r="G678" t="s">
        <v>30</v>
      </c>
      <c r="H678" s="1">
        <v>43848</v>
      </c>
      <c r="I678" s="4">
        <v>98143.9</v>
      </c>
      <c r="J678" t="s">
        <v>147</v>
      </c>
      <c r="K678">
        <v>-5917793237</v>
      </c>
      <c r="L678" t="s">
        <v>25</v>
      </c>
      <c r="M678" t="b">
        <v>0</v>
      </c>
      <c r="N678">
        <v>9814.39</v>
      </c>
    </row>
    <row r="679" spans="1:14" x14ac:dyDescent="0.25">
      <c r="A679" t="s">
        <v>1481</v>
      </c>
      <c r="B679" t="s">
        <v>75</v>
      </c>
      <c r="C679" t="s">
        <v>47</v>
      </c>
      <c r="D679">
        <v>35</v>
      </c>
      <c r="E679" s="4" t="s">
        <v>2143</v>
      </c>
      <c r="F679" s="4" t="s">
        <v>2144</v>
      </c>
      <c r="G679" t="s">
        <v>36</v>
      </c>
      <c r="H679" s="1">
        <v>45053</v>
      </c>
      <c r="I679" s="4"/>
      <c r="J679" t="s">
        <v>300</v>
      </c>
      <c r="K679">
        <v>-2231164912</v>
      </c>
      <c r="L679" t="s">
        <v>19</v>
      </c>
      <c r="M679" t="b">
        <v>1</v>
      </c>
    </row>
    <row r="680" spans="1:14" x14ac:dyDescent="0.25">
      <c r="A680" t="s">
        <v>1482</v>
      </c>
      <c r="B680" t="s">
        <v>40</v>
      </c>
      <c r="C680" t="s">
        <v>62</v>
      </c>
      <c r="D680">
        <v>30</v>
      </c>
      <c r="E680" s="4" t="s">
        <v>2139</v>
      </c>
      <c r="F680" s="4" t="s">
        <v>2148</v>
      </c>
      <c r="G680" t="s">
        <v>36</v>
      </c>
      <c r="H680" s="1">
        <v>44639</v>
      </c>
      <c r="I680" s="4">
        <v>67492.73</v>
      </c>
      <c r="J680" t="s">
        <v>316</v>
      </c>
      <c r="K680">
        <v>-3424579888</v>
      </c>
      <c r="L680" t="s">
        <v>25</v>
      </c>
      <c r="M680" t="b">
        <v>1</v>
      </c>
      <c r="N680">
        <v>6749.2730000000001</v>
      </c>
    </row>
    <row r="681" spans="1:14" x14ac:dyDescent="0.25">
      <c r="A681" t="s">
        <v>1484</v>
      </c>
      <c r="B681" t="s">
        <v>80</v>
      </c>
      <c r="C681" t="s">
        <v>62</v>
      </c>
      <c r="D681">
        <v>40</v>
      </c>
      <c r="E681" s="4" t="s">
        <v>2141</v>
      </c>
      <c r="F681" s="4" t="s">
        <v>2138</v>
      </c>
      <c r="G681" t="s">
        <v>16</v>
      </c>
      <c r="H681" s="1">
        <v>44695</v>
      </c>
      <c r="I681" s="4">
        <v>93772.61</v>
      </c>
      <c r="J681" t="s">
        <v>150</v>
      </c>
      <c r="K681">
        <v>-4256529059</v>
      </c>
      <c r="L681" t="s">
        <v>45</v>
      </c>
      <c r="M681" t="b">
        <v>0</v>
      </c>
      <c r="N681">
        <v>0</v>
      </c>
    </row>
    <row r="682" spans="1:14" x14ac:dyDescent="0.25">
      <c r="A682" t="s">
        <v>1486</v>
      </c>
      <c r="B682" t="s">
        <v>35</v>
      </c>
      <c r="C682" t="s">
        <v>47</v>
      </c>
      <c r="D682">
        <v>35</v>
      </c>
      <c r="E682" s="4" t="s">
        <v>2137</v>
      </c>
      <c r="F682" s="4" t="s">
        <v>2142</v>
      </c>
      <c r="G682" t="s">
        <v>30</v>
      </c>
      <c r="H682" s="1">
        <v>45487</v>
      </c>
      <c r="I682" s="4">
        <v>68817.539999999994</v>
      </c>
      <c r="J682" t="s">
        <v>346</v>
      </c>
      <c r="K682">
        <v>-3202032649</v>
      </c>
      <c r="L682" t="s">
        <v>25</v>
      </c>
      <c r="M682" t="b">
        <v>0</v>
      </c>
      <c r="N682">
        <v>6881.7539999999999</v>
      </c>
    </row>
    <row r="683" spans="1:14" x14ac:dyDescent="0.25">
      <c r="A683" t="s">
        <v>1488</v>
      </c>
      <c r="B683" t="s">
        <v>13</v>
      </c>
      <c r="C683" t="s">
        <v>28</v>
      </c>
      <c r="D683">
        <v>30</v>
      </c>
      <c r="E683" s="4" t="s">
        <v>2141</v>
      </c>
      <c r="F683" s="4" t="s">
        <v>2138</v>
      </c>
      <c r="G683" t="s">
        <v>16</v>
      </c>
      <c r="H683" s="1">
        <v>45135</v>
      </c>
      <c r="I683" s="4">
        <v>81874.009999999995</v>
      </c>
      <c r="J683" t="s">
        <v>56</v>
      </c>
      <c r="K683">
        <v>-9775396736</v>
      </c>
      <c r="L683" t="s">
        <v>33</v>
      </c>
      <c r="M683" t="b">
        <v>1</v>
      </c>
      <c r="N683">
        <v>4093.7004999999999</v>
      </c>
    </row>
    <row r="684" spans="1:14" x14ac:dyDescent="0.25">
      <c r="A684" t="s">
        <v>1490</v>
      </c>
      <c r="B684" t="s">
        <v>75</v>
      </c>
      <c r="C684" t="s">
        <v>14</v>
      </c>
      <c r="D684">
        <v>30</v>
      </c>
      <c r="E684" s="4" t="s">
        <v>2147</v>
      </c>
      <c r="F684" s="4" t="s">
        <v>2140</v>
      </c>
      <c r="G684" t="s">
        <v>16</v>
      </c>
      <c r="H684" s="1">
        <v>43932</v>
      </c>
      <c r="I684" s="4">
        <v>117880.14</v>
      </c>
      <c r="J684" t="s">
        <v>469</v>
      </c>
      <c r="K684">
        <v>-9487148551</v>
      </c>
      <c r="L684" t="s">
        <v>19</v>
      </c>
      <c r="M684" t="b">
        <v>0</v>
      </c>
      <c r="N684">
        <v>2357.6028000000001</v>
      </c>
    </row>
    <row r="685" spans="1:14" x14ac:dyDescent="0.25">
      <c r="A685" t="s">
        <v>1492</v>
      </c>
      <c r="B685" t="s">
        <v>13</v>
      </c>
      <c r="C685" t="s">
        <v>21</v>
      </c>
      <c r="D685">
        <v>35</v>
      </c>
      <c r="E685" s="4" t="s">
        <v>2147</v>
      </c>
      <c r="F685" s="4" t="s">
        <v>2146</v>
      </c>
      <c r="G685" t="s">
        <v>30</v>
      </c>
      <c r="H685" s="1">
        <v>44728</v>
      </c>
      <c r="I685" s="4">
        <v>100897.49</v>
      </c>
      <c r="J685" t="s">
        <v>24</v>
      </c>
      <c r="K685">
        <v>-4578715840</v>
      </c>
      <c r="L685" t="s">
        <v>19</v>
      </c>
      <c r="M685" t="b">
        <v>1</v>
      </c>
      <c r="N685">
        <v>2017.9498000000001</v>
      </c>
    </row>
    <row r="686" spans="1:14" x14ac:dyDescent="0.25">
      <c r="A686" t="s">
        <v>1494</v>
      </c>
      <c r="B686" t="s">
        <v>61</v>
      </c>
      <c r="C686" t="s">
        <v>142</v>
      </c>
      <c r="D686">
        <v>25</v>
      </c>
      <c r="E686" s="4" t="s">
        <v>2139</v>
      </c>
      <c r="F686" s="4" t="s">
        <v>2146</v>
      </c>
      <c r="G686" t="s">
        <v>36</v>
      </c>
      <c r="H686" s="1">
        <v>44691</v>
      </c>
      <c r="I686" s="4">
        <v>71810.37</v>
      </c>
      <c r="J686" t="s">
        <v>231</v>
      </c>
      <c r="K686">
        <v>-5608213710</v>
      </c>
      <c r="L686" t="s">
        <v>19</v>
      </c>
      <c r="M686" t="b">
        <v>1</v>
      </c>
      <c r="N686">
        <v>1436.2074</v>
      </c>
    </row>
    <row r="687" spans="1:14" x14ac:dyDescent="0.25">
      <c r="A687" t="s">
        <v>1496</v>
      </c>
      <c r="B687" t="s">
        <v>40</v>
      </c>
      <c r="C687" t="s">
        <v>106</v>
      </c>
      <c r="D687">
        <v>40</v>
      </c>
      <c r="E687" s="4" t="s">
        <v>2137</v>
      </c>
      <c r="F687" s="4" t="s">
        <v>2140</v>
      </c>
      <c r="G687" t="s">
        <v>36</v>
      </c>
      <c r="H687" s="1">
        <v>43995</v>
      </c>
      <c r="I687" s="4">
        <v>109048.24</v>
      </c>
      <c r="J687" t="s">
        <v>128</v>
      </c>
      <c r="K687">
        <v>-8425476817</v>
      </c>
      <c r="L687" t="s">
        <v>45</v>
      </c>
      <c r="M687" t="b">
        <v>0</v>
      </c>
      <c r="N687">
        <v>0</v>
      </c>
    </row>
    <row r="688" spans="1:14" x14ac:dyDescent="0.25">
      <c r="A688" t="s">
        <v>1498</v>
      </c>
      <c r="B688" t="s">
        <v>27</v>
      </c>
      <c r="C688" t="s">
        <v>106</v>
      </c>
      <c r="D688">
        <v>35</v>
      </c>
      <c r="E688" s="4" t="s">
        <v>2139</v>
      </c>
      <c r="F688" s="4" t="s">
        <v>2140</v>
      </c>
      <c r="G688" t="s">
        <v>30</v>
      </c>
      <c r="H688" s="1">
        <v>44793</v>
      </c>
      <c r="I688" s="4">
        <v>62712.26</v>
      </c>
      <c r="J688" t="s">
        <v>194</v>
      </c>
      <c r="K688">
        <v>-2683230357</v>
      </c>
      <c r="L688" t="s">
        <v>19</v>
      </c>
      <c r="M688" t="b">
        <v>0</v>
      </c>
      <c r="N688">
        <v>1254.2452000000001</v>
      </c>
    </row>
    <row r="689" spans="1:14" x14ac:dyDescent="0.25">
      <c r="A689" t="s">
        <v>1500</v>
      </c>
      <c r="B689" t="s">
        <v>35</v>
      </c>
      <c r="C689" t="s">
        <v>28</v>
      </c>
      <c r="D689">
        <v>40</v>
      </c>
      <c r="E689" s="4" t="s">
        <v>2143</v>
      </c>
      <c r="F689" s="4" t="s">
        <v>2140</v>
      </c>
      <c r="G689" t="s">
        <v>30</v>
      </c>
      <c r="H689" s="1">
        <v>44340</v>
      </c>
      <c r="I689" s="4">
        <v>76935.850000000006</v>
      </c>
      <c r="J689" t="s">
        <v>323</v>
      </c>
      <c r="K689">
        <v>-9298808582</v>
      </c>
      <c r="L689" t="s">
        <v>33</v>
      </c>
      <c r="M689" t="b">
        <v>1</v>
      </c>
      <c r="N689">
        <v>3846.7925000000005</v>
      </c>
    </row>
    <row r="690" spans="1:14" x14ac:dyDescent="0.25">
      <c r="A690" t="s">
        <v>1502</v>
      </c>
      <c r="B690" t="s">
        <v>67</v>
      </c>
      <c r="C690" t="s">
        <v>14</v>
      </c>
      <c r="D690">
        <v>25</v>
      </c>
      <c r="E690" s="4" t="s">
        <v>2141</v>
      </c>
      <c r="F690" s="4" t="s">
        <v>2144</v>
      </c>
      <c r="G690" t="s">
        <v>30</v>
      </c>
      <c r="H690" s="1">
        <v>45409</v>
      </c>
      <c r="I690" s="4">
        <v>56577.22</v>
      </c>
      <c r="J690" t="s">
        <v>73</v>
      </c>
      <c r="K690">
        <v>-8252129327</v>
      </c>
      <c r="L690" t="s">
        <v>45</v>
      </c>
      <c r="M690" t="b">
        <v>1</v>
      </c>
      <c r="N690">
        <v>0</v>
      </c>
    </row>
    <row r="691" spans="1:14" x14ac:dyDescent="0.25">
      <c r="A691" t="s">
        <v>1504</v>
      </c>
      <c r="B691" t="s">
        <v>67</v>
      </c>
      <c r="C691" t="s">
        <v>62</v>
      </c>
      <c r="D691">
        <v>40</v>
      </c>
      <c r="E691" s="4" t="s">
        <v>2139</v>
      </c>
      <c r="F691" s="4" t="s">
        <v>2142</v>
      </c>
      <c r="G691" t="s">
        <v>36</v>
      </c>
      <c r="H691" s="1">
        <v>44492</v>
      </c>
      <c r="I691" s="4">
        <v>61102.8</v>
      </c>
      <c r="J691" t="s">
        <v>257</v>
      </c>
      <c r="K691">
        <v>-9634064685</v>
      </c>
      <c r="L691" t="s">
        <v>33</v>
      </c>
      <c r="M691" t="b">
        <v>1</v>
      </c>
      <c r="N691">
        <v>3055.1400000000003</v>
      </c>
    </row>
    <row r="692" spans="1:14" x14ac:dyDescent="0.25">
      <c r="A692" t="s">
        <v>1506</v>
      </c>
      <c r="B692" t="s">
        <v>13</v>
      </c>
      <c r="C692" t="s">
        <v>62</v>
      </c>
      <c r="D692">
        <v>35</v>
      </c>
      <c r="E692" s="4" t="s">
        <v>2139</v>
      </c>
      <c r="F692" s="4" t="s">
        <v>2142</v>
      </c>
      <c r="G692" t="s">
        <v>36</v>
      </c>
      <c r="H692" s="1">
        <v>44237</v>
      </c>
      <c r="I692" s="4">
        <v>75229.87</v>
      </c>
      <c r="J692" t="s">
        <v>237</v>
      </c>
      <c r="K692">
        <v>-7752401483</v>
      </c>
      <c r="L692" t="s">
        <v>25</v>
      </c>
      <c r="M692" t="b">
        <v>1</v>
      </c>
      <c r="N692">
        <v>7522.9870000000001</v>
      </c>
    </row>
    <row r="693" spans="1:14" x14ac:dyDescent="0.25">
      <c r="A693" t="s">
        <v>1508</v>
      </c>
      <c r="B693" t="s">
        <v>67</v>
      </c>
      <c r="C693" t="s">
        <v>106</v>
      </c>
      <c r="D693">
        <v>25</v>
      </c>
      <c r="E693" s="4" t="s">
        <v>2141</v>
      </c>
      <c r="F693" s="4" t="s">
        <v>2142</v>
      </c>
      <c r="G693" t="s">
        <v>36</v>
      </c>
      <c r="H693" s="1">
        <v>44495</v>
      </c>
      <c r="I693" s="4">
        <v>51054.74</v>
      </c>
      <c r="J693" t="s">
        <v>124</v>
      </c>
      <c r="K693">
        <v>-3991062271</v>
      </c>
      <c r="L693" t="s">
        <v>25</v>
      </c>
      <c r="M693" t="b">
        <v>0</v>
      </c>
      <c r="N693">
        <v>5105.4740000000002</v>
      </c>
    </row>
    <row r="694" spans="1:14" x14ac:dyDescent="0.25">
      <c r="A694" t="s">
        <v>1510</v>
      </c>
      <c r="B694" t="s">
        <v>13</v>
      </c>
      <c r="C694" t="s">
        <v>28</v>
      </c>
      <c r="D694">
        <v>40</v>
      </c>
      <c r="E694" s="4" t="s">
        <v>2141</v>
      </c>
      <c r="F694" s="4" t="s">
        <v>2140</v>
      </c>
      <c r="G694" t="s">
        <v>16</v>
      </c>
      <c r="H694" s="1">
        <v>45021</v>
      </c>
      <c r="I694" s="4">
        <v>104843.27</v>
      </c>
      <c r="J694" t="s">
        <v>56</v>
      </c>
      <c r="K694">
        <v>-3626693350</v>
      </c>
      <c r="L694" t="s">
        <v>25</v>
      </c>
      <c r="M694" t="b">
        <v>0</v>
      </c>
      <c r="N694">
        <v>10484.327000000001</v>
      </c>
    </row>
    <row r="695" spans="1:14" x14ac:dyDescent="0.25">
      <c r="A695" t="s">
        <v>1512</v>
      </c>
      <c r="B695" t="s">
        <v>61</v>
      </c>
      <c r="C695" t="s">
        <v>21</v>
      </c>
      <c r="D695">
        <v>35</v>
      </c>
      <c r="E695" s="4" t="s">
        <v>2143</v>
      </c>
      <c r="F695" s="4" t="s">
        <v>2146</v>
      </c>
      <c r="G695" t="s">
        <v>16</v>
      </c>
      <c r="H695" s="1">
        <v>44854</v>
      </c>
      <c r="I695" s="4">
        <v>56398.11</v>
      </c>
      <c r="J695" t="s">
        <v>147</v>
      </c>
      <c r="K695">
        <v>-3426192371</v>
      </c>
      <c r="L695" t="s">
        <v>25</v>
      </c>
      <c r="M695" t="b">
        <v>0</v>
      </c>
      <c r="N695">
        <v>5639.8110000000006</v>
      </c>
    </row>
    <row r="696" spans="1:14" x14ac:dyDescent="0.25">
      <c r="A696" t="s">
        <v>1514</v>
      </c>
      <c r="B696" t="s">
        <v>27</v>
      </c>
      <c r="C696" t="s">
        <v>62</v>
      </c>
      <c r="D696">
        <v>25</v>
      </c>
      <c r="E696" s="4" t="s">
        <v>2147</v>
      </c>
      <c r="F696" s="4" t="s">
        <v>2142</v>
      </c>
      <c r="G696" t="s">
        <v>16</v>
      </c>
      <c r="H696" s="1">
        <v>45267</v>
      </c>
      <c r="I696" s="4">
        <v>87544.73</v>
      </c>
      <c r="J696" t="s">
        <v>177</v>
      </c>
      <c r="K696">
        <v>-4501848196</v>
      </c>
      <c r="L696" t="s">
        <v>33</v>
      </c>
      <c r="M696" t="b">
        <v>0</v>
      </c>
      <c r="N696">
        <v>4377.2365</v>
      </c>
    </row>
    <row r="697" spans="1:14" x14ac:dyDescent="0.25">
      <c r="A697" t="s">
        <v>1516</v>
      </c>
      <c r="B697" t="s">
        <v>75</v>
      </c>
      <c r="C697" t="s">
        <v>21</v>
      </c>
      <c r="D697">
        <v>30</v>
      </c>
      <c r="E697" s="4" t="s">
        <v>2147</v>
      </c>
      <c r="F697" s="4" t="s">
        <v>2148</v>
      </c>
      <c r="G697" t="s">
        <v>30</v>
      </c>
      <c r="H697" s="1">
        <v>45380</v>
      </c>
      <c r="I697" s="4">
        <v>74312.240000000005</v>
      </c>
      <c r="J697" t="s">
        <v>480</v>
      </c>
      <c r="K697">
        <v>-3741897214</v>
      </c>
      <c r="L697" t="s">
        <v>45</v>
      </c>
      <c r="M697" t="b">
        <v>0</v>
      </c>
      <c r="N697">
        <v>0</v>
      </c>
    </row>
    <row r="698" spans="1:14" x14ac:dyDescent="0.25">
      <c r="A698" t="s">
        <v>1518</v>
      </c>
      <c r="B698" t="s">
        <v>67</v>
      </c>
      <c r="C698" t="s">
        <v>14</v>
      </c>
      <c r="D698">
        <v>25</v>
      </c>
      <c r="E698" s="4" t="s">
        <v>2137</v>
      </c>
      <c r="F698" s="4" t="s">
        <v>2144</v>
      </c>
      <c r="G698" t="s">
        <v>36</v>
      </c>
      <c r="H698" s="1">
        <v>45314</v>
      </c>
      <c r="I698" s="4">
        <v>59431.25</v>
      </c>
      <c r="J698" t="s">
        <v>73</v>
      </c>
      <c r="K698">
        <v>-4064176926</v>
      </c>
      <c r="L698" t="s">
        <v>45</v>
      </c>
      <c r="M698" t="b">
        <v>1</v>
      </c>
      <c r="N698">
        <v>0</v>
      </c>
    </row>
    <row r="699" spans="1:14" x14ac:dyDescent="0.25">
      <c r="A699" t="s">
        <v>1520</v>
      </c>
      <c r="B699" t="s">
        <v>75</v>
      </c>
      <c r="C699" t="s">
        <v>62</v>
      </c>
      <c r="D699">
        <v>40</v>
      </c>
      <c r="E699" s="4" t="s">
        <v>2145</v>
      </c>
      <c r="F699" s="4" t="s">
        <v>2138</v>
      </c>
      <c r="G699" t="s">
        <v>30</v>
      </c>
      <c r="H699" s="1">
        <v>45258</v>
      </c>
      <c r="I699" s="4">
        <v>84306.44</v>
      </c>
      <c r="J699" t="s">
        <v>132</v>
      </c>
      <c r="K699">
        <v>-4381199536</v>
      </c>
      <c r="L699" t="s">
        <v>19</v>
      </c>
      <c r="M699" t="b">
        <v>0</v>
      </c>
      <c r="N699">
        <v>1686.1288000000002</v>
      </c>
    </row>
    <row r="700" spans="1:14" x14ac:dyDescent="0.25">
      <c r="A700" t="s">
        <v>1522</v>
      </c>
      <c r="B700" t="s">
        <v>40</v>
      </c>
      <c r="C700" t="s">
        <v>62</v>
      </c>
      <c r="D700">
        <v>35</v>
      </c>
      <c r="E700" s="4" t="s">
        <v>2137</v>
      </c>
      <c r="F700" s="4" t="s">
        <v>2144</v>
      </c>
      <c r="G700" t="s">
        <v>36</v>
      </c>
      <c r="H700" s="1">
        <v>45607</v>
      </c>
      <c r="I700" s="4">
        <v>108194.47</v>
      </c>
      <c r="J700" t="s">
        <v>316</v>
      </c>
      <c r="K700">
        <v>-6601444855</v>
      </c>
      <c r="L700" t="s">
        <v>33</v>
      </c>
      <c r="M700" t="b">
        <v>0</v>
      </c>
      <c r="N700">
        <v>5409.7235000000001</v>
      </c>
    </row>
    <row r="701" spans="1:14" x14ac:dyDescent="0.25">
      <c r="A701" t="s">
        <v>1524</v>
      </c>
      <c r="B701" t="s">
        <v>61</v>
      </c>
      <c r="C701" t="s">
        <v>41</v>
      </c>
      <c r="D701">
        <v>25</v>
      </c>
      <c r="E701" s="4" t="s">
        <v>2145</v>
      </c>
      <c r="F701" s="4" t="s">
        <v>2146</v>
      </c>
      <c r="G701" t="s">
        <v>36</v>
      </c>
      <c r="H701" s="1">
        <v>44436</v>
      </c>
      <c r="I701" s="4">
        <v>107359.3</v>
      </c>
      <c r="J701" t="s">
        <v>104</v>
      </c>
      <c r="K701">
        <v>-4510173972</v>
      </c>
      <c r="L701" t="s">
        <v>25</v>
      </c>
      <c r="M701" t="b">
        <v>0</v>
      </c>
      <c r="N701">
        <v>10735.93</v>
      </c>
    </row>
    <row r="702" spans="1:14" x14ac:dyDescent="0.25">
      <c r="A702" t="s">
        <v>1526</v>
      </c>
      <c r="B702" t="s">
        <v>75</v>
      </c>
      <c r="C702" t="s">
        <v>62</v>
      </c>
      <c r="D702">
        <v>25</v>
      </c>
      <c r="E702" s="4" t="s">
        <v>2137</v>
      </c>
      <c r="F702" s="4" t="s">
        <v>2148</v>
      </c>
      <c r="G702" t="s">
        <v>36</v>
      </c>
      <c r="H702" s="1">
        <v>45333</v>
      </c>
      <c r="I702" s="4"/>
      <c r="J702" t="s">
        <v>132</v>
      </c>
      <c r="K702">
        <v>-9641789968</v>
      </c>
      <c r="L702" t="s">
        <v>33</v>
      </c>
      <c r="M702" t="b">
        <v>0</v>
      </c>
    </row>
    <row r="703" spans="1:14" x14ac:dyDescent="0.25">
      <c r="A703" t="s">
        <v>1527</v>
      </c>
      <c r="B703" t="s">
        <v>40</v>
      </c>
      <c r="C703" t="s">
        <v>47</v>
      </c>
      <c r="E703" s="4" t="s">
        <v>2141</v>
      </c>
      <c r="F703" s="4" t="s">
        <v>2138</v>
      </c>
      <c r="G703" t="s">
        <v>30</v>
      </c>
      <c r="H703" s="1">
        <v>43960</v>
      </c>
      <c r="I703" s="4">
        <v>96080.26</v>
      </c>
      <c r="J703" t="s">
        <v>214</v>
      </c>
      <c r="K703">
        <v>-8609191910</v>
      </c>
      <c r="L703" t="s">
        <v>19</v>
      </c>
      <c r="M703" t="b">
        <v>0</v>
      </c>
      <c r="N703">
        <v>1921.6052</v>
      </c>
    </row>
    <row r="704" spans="1:14" x14ac:dyDescent="0.25">
      <c r="A704" t="s">
        <v>1529</v>
      </c>
      <c r="B704" t="s">
        <v>80</v>
      </c>
      <c r="C704" t="s">
        <v>142</v>
      </c>
      <c r="D704">
        <v>30</v>
      </c>
      <c r="E704" s="4" t="s">
        <v>2145</v>
      </c>
      <c r="F704" s="4" t="s">
        <v>2142</v>
      </c>
      <c r="G704" t="s">
        <v>36</v>
      </c>
      <c r="H704" s="1">
        <v>45399</v>
      </c>
      <c r="I704" s="4">
        <v>88602.75</v>
      </c>
      <c r="J704" t="s">
        <v>160</v>
      </c>
      <c r="K704">
        <v>-3599660576</v>
      </c>
      <c r="L704" t="s">
        <v>19</v>
      </c>
      <c r="M704" t="b">
        <v>1</v>
      </c>
      <c r="N704">
        <v>1772.0550000000001</v>
      </c>
    </row>
    <row r="705" spans="1:14" x14ac:dyDescent="0.25">
      <c r="A705" t="s">
        <v>1531</v>
      </c>
      <c r="B705" t="s">
        <v>40</v>
      </c>
      <c r="C705" t="s">
        <v>47</v>
      </c>
      <c r="D705">
        <v>40</v>
      </c>
      <c r="E705" s="4" t="s">
        <v>2137</v>
      </c>
      <c r="F705" s="4" t="s">
        <v>2138</v>
      </c>
      <c r="G705" t="s">
        <v>16</v>
      </c>
      <c r="H705" s="1">
        <v>44028</v>
      </c>
      <c r="I705" s="4">
        <v>86624.04</v>
      </c>
      <c r="J705" t="s">
        <v>214</v>
      </c>
      <c r="K705">
        <v>-9806603919</v>
      </c>
      <c r="L705" t="s">
        <v>33</v>
      </c>
      <c r="M705" t="b">
        <v>1</v>
      </c>
      <c r="N705">
        <v>4331.2020000000002</v>
      </c>
    </row>
    <row r="706" spans="1:14" x14ac:dyDescent="0.25">
      <c r="A706" t="s">
        <v>1533</v>
      </c>
      <c r="B706" t="s">
        <v>61</v>
      </c>
      <c r="C706" t="s">
        <v>28</v>
      </c>
      <c r="D706">
        <v>30</v>
      </c>
      <c r="E706" s="4" t="s">
        <v>2143</v>
      </c>
      <c r="F706" s="4" t="s">
        <v>2146</v>
      </c>
      <c r="G706" t="s">
        <v>16</v>
      </c>
      <c r="H706" s="1">
        <v>44825</v>
      </c>
      <c r="I706" s="4">
        <v>63413.16</v>
      </c>
      <c r="J706" t="s">
        <v>140</v>
      </c>
      <c r="K706">
        <v>-5146074554</v>
      </c>
      <c r="L706" t="s">
        <v>33</v>
      </c>
      <c r="M706" t="b">
        <v>1</v>
      </c>
      <c r="N706">
        <v>3170.6580000000004</v>
      </c>
    </row>
    <row r="707" spans="1:14" x14ac:dyDescent="0.25">
      <c r="A707" t="s">
        <v>1535</v>
      </c>
      <c r="B707" t="s">
        <v>80</v>
      </c>
      <c r="C707" t="s">
        <v>28</v>
      </c>
      <c r="D707">
        <v>40</v>
      </c>
      <c r="E707" s="4" t="s">
        <v>2145</v>
      </c>
      <c r="F707" s="4" t="s">
        <v>2148</v>
      </c>
      <c r="G707" t="s">
        <v>30</v>
      </c>
      <c r="H707" s="1">
        <v>45039</v>
      </c>
      <c r="I707" s="4">
        <v>67915.7</v>
      </c>
      <c r="J707" t="s">
        <v>89</v>
      </c>
      <c r="K707">
        <v>-3470574237</v>
      </c>
      <c r="L707" t="s">
        <v>33</v>
      </c>
      <c r="M707" t="b">
        <v>0</v>
      </c>
      <c r="N707">
        <v>3395.7849999999999</v>
      </c>
    </row>
    <row r="708" spans="1:14" x14ac:dyDescent="0.25">
      <c r="A708" t="s">
        <v>1537</v>
      </c>
      <c r="B708" t="s">
        <v>13</v>
      </c>
      <c r="C708" t="s">
        <v>21</v>
      </c>
      <c r="D708">
        <v>25</v>
      </c>
      <c r="E708" s="4" t="s">
        <v>2141</v>
      </c>
      <c r="F708" s="4" t="s">
        <v>2142</v>
      </c>
      <c r="G708" t="s">
        <v>36</v>
      </c>
      <c r="H708" s="1">
        <v>45653</v>
      </c>
      <c r="I708" s="4">
        <v>108245.44</v>
      </c>
      <c r="J708" t="s">
        <v>24</v>
      </c>
      <c r="K708">
        <v>-8565271558</v>
      </c>
      <c r="L708" t="s">
        <v>45</v>
      </c>
      <c r="M708" t="b">
        <v>1</v>
      </c>
      <c r="N708">
        <v>0</v>
      </c>
    </row>
    <row r="709" spans="1:14" x14ac:dyDescent="0.25">
      <c r="A709" t="s">
        <v>1539</v>
      </c>
      <c r="B709" t="s">
        <v>27</v>
      </c>
      <c r="C709" t="s">
        <v>47</v>
      </c>
      <c r="D709">
        <v>35</v>
      </c>
      <c r="E709" s="4" t="s">
        <v>2145</v>
      </c>
      <c r="F709" s="4" t="s">
        <v>2142</v>
      </c>
      <c r="G709" t="s">
        <v>36</v>
      </c>
      <c r="H709" s="1">
        <v>45514</v>
      </c>
      <c r="I709" s="4">
        <v>75834.81</v>
      </c>
      <c r="J709" t="s">
        <v>50</v>
      </c>
      <c r="K709">
        <v>-8354116596</v>
      </c>
      <c r="L709" t="s">
        <v>25</v>
      </c>
      <c r="M709" t="b">
        <v>1</v>
      </c>
      <c r="N709">
        <v>7583.4809999999998</v>
      </c>
    </row>
    <row r="710" spans="1:14" x14ac:dyDescent="0.25">
      <c r="A710" t="s">
        <v>1541</v>
      </c>
      <c r="B710" t="s">
        <v>35</v>
      </c>
      <c r="C710" t="s">
        <v>47</v>
      </c>
      <c r="E710" s="4" t="s">
        <v>2143</v>
      </c>
      <c r="F710" s="4" t="s">
        <v>2142</v>
      </c>
      <c r="G710" t="s">
        <v>16</v>
      </c>
      <c r="H710" s="1">
        <v>45539</v>
      </c>
      <c r="I710" s="4">
        <v>71273.320000000007</v>
      </c>
      <c r="J710" t="s">
        <v>346</v>
      </c>
      <c r="K710">
        <v>-2634755751</v>
      </c>
      <c r="L710" t="s">
        <v>33</v>
      </c>
      <c r="M710" t="b">
        <v>0</v>
      </c>
      <c r="N710">
        <v>3563.6660000000006</v>
      </c>
    </row>
    <row r="711" spans="1:14" x14ac:dyDescent="0.25">
      <c r="A711" t="s">
        <v>1543</v>
      </c>
      <c r="B711" t="s">
        <v>13</v>
      </c>
      <c r="C711" t="s">
        <v>47</v>
      </c>
      <c r="D711">
        <v>25</v>
      </c>
      <c r="E711" s="4" t="s">
        <v>2137</v>
      </c>
      <c r="F711" s="4" t="s">
        <v>2146</v>
      </c>
      <c r="G711" t="s">
        <v>30</v>
      </c>
      <c r="H711" s="1">
        <v>44620</v>
      </c>
      <c r="I711" s="4">
        <v>63262.23</v>
      </c>
      <c r="J711" t="s">
        <v>180</v>
      </c>
      <c r="K711">
        <v>-2501394883</v>
      </c>
      <c r="L711" t="s">
        <v>33</v>
      </c>
      <c r="M711" t="b">
        <v>0</v>
      </c>
      <c r="N711">
        <v>3163.1115000000004</v>
      </c>
    </row>
    <row r="712" spans="1:14" x14ac:dyDescent="0.25">
      <c r="A712" t="s">
        <v>1545</v>
      </c>
      <c r="B712" t="s">
        <v>67</v>
      </c>
      <c r="C712" t="s">
        <v>14</v>
      </c>
      <c r="E712" s="4" t="s">
        <v>2137</v>
      </c>
      <c r="F712" s="4" t="s">
        <v>2146</v>
      </c>
      <c r="G712" t="s">
        <v>30</v>
      </c>
      <c r="H712" s="1">
        <v>45365</v>
      </c>
      <c r="I712" s="4">
        <v>89069.91</v>
      </c>
      <c r="J712" t="s">
        <v>73</v>
      </c>
      <c r="K712">
        <v>-8826913118</v>
      </c>
      <c r="L712" t="s">
        <v>33</v>
      </c>
      <c r="M712" t="b">
        <v>0</v>
      </c>
      <c r="N712">
        <v>4453.4955</v>
      </c>
    </row>
    <row r="713" spans="1:14" x14ac:dyDescent="0.25">
      <c r="A713" t="s">
        <v>1547</v>
      </c>
      <c r="B713" t="s">
        <v>40</v>
      </c>
      <c r="C713" t="s">
        <v>62</v>
      </c>
      <c r="D713">
        <v>40</v>
      </c>
      <c r="E713" s="4" t="s">
        <v>2137</v>
      </c>
      <c r="F713" s="4" t="s">
        <v>2142</v>
      </c>
      <c r="G713" t="s">
        <v>36</v>
      </c>
      <c r="H713" s="1">
        <v>45639</v>
      </c>
      <c r="I713" s="4">
        <v>57287.17</v>
      </c>
      <c r="J713" t="s">
        <v>316</v>
      </c>
      <c r="K713">
        <v>-6425856260</v>
      </c>
      <c r="L713" t="s">
        <v>19</v>
      </c>
      <c r="M713" t="b">
        <v>1</v>
      </c>
      <c r="N713">
        <v>1145.7434000000001</v>
      </c>
    </row>
    <row r="714" spans="1:14" x14ac:dyDescent="0.25">
      <c r="A714" t="s">
        <v>1549</v>
      </c>
      <c r="B714" t="s">
        <v>80</v>
      </c>
      <c r="C714" t="s">
        <v>142</v>
      </c>
      <c r="E714" s="4" t="s">
        <v>2147</v>
      </c>
      <c r="F714" s="4" t="s">
        <v>2142</v>
      </c>
      <c r="G714" t="s">
        <v>16</v>
      </c>
      <c r="H714" s="1">
        <v>44924</v>
      </c>
      <c r="I714" s="4">
        <v>119890.35</v>
      </c>
      <c r="J714" t="s">
        <v>160</v>
      </c>
      <c r="K714">
        <v>-4991537037</v>
      </c>
      <c r="L714" t="s">
        <v>19</v>
      </c>
      <c r="M714" t="b">
        <v>1</v>
      </c>
      <c r="N714">
        <v>2397.8070000000002</v>
      </c>
    </row>
    <row r="715" spans="1:14" x14ac:dyDescent="0.25">
      <c r="A715" t="s">
        <v>1551</v>
      </c>
      <c r="B715" t="s">
        <v>40</v>
      </c>
      <c r="C715" t="s">
        <v>21</v>
      </c>
      <c r="D715">
        <v>35</v>
      </c>
      <c r="E715" s="4" t="s">
        <v>2145</v>
      </c>
      <c r="F715" s="4" t="s">
        <v>2138</v>
      </c>
      <c r="G715" t="s">
        <v>36</v>
      </c>
      <c r="H715" s="1">
        <v>44675</v>
      </c>
      <c r="I715" s="4">
        <v>103492.91</v>
      </c>
      <c r="J715" t="s">
        <v>280</v>
      </c>
      <c r="K715">
        <v>-2407333372</v>
      </c>
      <c r="L715" t="s">
        <v>45</v>
      </c>
      <c r="M715" t="b">
        <v>0</v>
      </c>
      <c r="N715">
        <v>0</v>
      </c>
    </row>
    <row r="716" spans="1:14" x14ac:dyDescent="0.25">
      <c r="A716" t="s">
        <v>1553</v>
      </c>
      <c r="B716" t="s">
        <v>40</v>
      </c>
      <c r="C716" t="s">
        <v>47</v>
      </c>
      <c r="E716" s="4" t="s">
        <v>2141</v>
      </c>
      <c r="F716" s="4" t="s">
        <v>2148</v>
      </c>
      <c r="G716" t="s">
        <v>30</v>
      </c>
      <c r="H716" s="1">
        <v>44269</v>
      </c>
      <c r="I716" s="4">
        <v>76254.42</v>
      </c>
      <c r="J716" t="s">
        <v>214</v>
      </c>
      <c r="K716">
        <v>-2043097767</v>
      </c>
      <c r="L716" t="s">
        <v>25</v>
      </c>
      <c r="M716" t="b">
        <v>0</v>
      </c>
      <c r="N716">
        <v>7625.442</v>
      </c>
    </row>
    <row r="717" spans="1:14" x14ac:dyDescent="0.25">
      <c r="A717" t="s">
        <v>1555</v>
      </c>
      <c r="B717" t="s">
        <v>35</v>
      </c>
      <c r="C717" t="s">
        <v>47</v>
      </c>
      <c r="D717">
        <v>35</v>
      </c>
      <c r="E717" s="4" t="s">
        <v>2139</v>
      </c>
      <c r="F717" s="4" t="s">
        <v>2144</v>
      </c>
      <c r="G717" t="s">
        <v>36</v>
      </c>
      <c r="H717" s="1">
        <v>43831</v>
      </c>
      <c r="I717" s="4">
        <v>100841.93</v>
      </c>
      <c r="J717" t="s">
        <v>346</v>
      </c>
      <c r="K717">
        <v>-8936289695</v>
      </c>
      <c r="L717" t="s">
        <v>45</v>
      </c>
      <c r="M717" t="b">
        <v>1</v>
      </c>
      <c r="N717">
        <v>0</v>
      </c>
    </row>
    <row r="718" spans="1:14" x14ac:dyDescent="0.25">
      <c r="A718" t="s">
        <v>1557</v>
      </c>
      <c r="B718" t="s">
        <v>27</v>
      </c>
      <c r="C718" t="s">
        <v>41</v>
      </c>
      <c r="E718" s="4" t="s">
        <v>2141</v>
      </c>
      <c r="F718" s="4" t="s">
        <v>2138</v>
      </c>
      <c r="G718" t="s">
        <v>16</v>
      </c>
      <c r="H718" s="1">
        <v>44446</v>
      </c>
      <c r="I718" s="4">
        <v>118907.61</v>
      </c>
      <c r="J718" t="s">
        <v>431</v>
      </c>
      <c r="K718">
        <v>-4546553584</v>
      </c>
      <c r="L718" t="s">
        <v>25</v>
      </c>
      <c r="M718" t="b">
        <v>1</v>
      </c>
      <c r="N718">
        <v>11890.761</v>
      </c>
    </row>
    <row r="719" spans="1:14" x14ac:dyDescent="0.25">
      <c r="A719" t="s">
        <v>1559</v>
      </c>
      <c r="B719" t="s">
        <v>40</v>
      </c>
      <c r="C719" t="s">
        <v>21</v>
      </c>
      <c r="D719">
        <v>25</v>
      </c>
      <c r="E719" s="4" t="s">
        <v>2137</v>
      </c>
      <c r="F719" s="4" t="s">
        <v>2138</v>
      </c>
      <c r="G719" t="s">
        <v>30</v>
      </c>
      <c r="H719" s="1">
        <v>44878</v>
      </c>
      <c r="I719" s="4">
        <v>88942.62</v>
      </c>
      <c r="J719" t="s">
        <v>280</v>
      </c>
      <c r="K719">
        <v>-1253892186</v>
      </c>
      <c r="L719" t="s">
        <v>19</v>
      </c>
      <c r="M719" t="b">
        <v>0</v>
      </c>
      <c r="N719">
        <v>1778.8524</v>
      </c>
    </row>
    <row r="720" spans="1:14" x14ac:dyDescent="0.25">
      <c r="A720" t="s">
        <v>1561</v>
      </c>
      <c r="B720" t="s">
        <v>61</v>
      </c>
      <c r="C720" t="s">
        <v>47</v>
      </c>
      <c r="D720">
        <v>25</v>
      </c>
      <c r="E720" s="4" t="s">
        <v>2143</v>
      </c>
      <c r="F720" s="4" t="s">
        <v>2144</v>
      </c>
      <c r="G720" t="s">
        <v>36</v>
      </c>
      <c r="H720" s="1">
        <v>44150</v>
      </c>
      <c r="I720" s="4">
        <v>59688.57</v>
      </c>
      <c r="J720" t="s">
        <v>100</v>
      </c>
      <c r="K720">
        <v>-8519358373</v>
      </c>
      <c r="L720" t="s">
        <v>19</v>
      </c>
      <c r="M720" t="b">
        <v>0</v>
      </c>
      <c r="N720">
        <v>1193.7714000000001</v>
      </c>
    </row>
    <row r="721" spans="1:14" x14ac:dyDescent="0.25">
      <c r="A721" t="s">
        <v>1563</v>
      </c>
      <c r="B721" t="s">
        <v>67</v>
      </c>
      <c r="C721" t="s">
        <v>21</v>
      </c>
      <c r="D721">
        <v>30</v>
      </c>
      <c r="E721" s="4" t="s">
        <v>2147</v>
      </c>
      <c r="F721" s="4" t="s">
        <v>2138</v>
      </c>
      <c r="G721" t="s">
        <v>16</v>
      </c>
      <c r="H721" s="1">
        <v>44999</v>
      </c>
      <c r="I721" s="4">
        <v>77985.88</v>
      </c>
      <c r="J721" t="s">
        <v>265</v>
      </c>
      <c r="K721">
        <v>-9079779611</v>
      </c>
      <c r="L721" t="s">
        <v>19</v>
      </c>
      <c r="M721" t="b">
        <v>1</v>
      </c>
      <c r="N721">
        <v>1559.7176000000002</v>
      </c>
    </row>
    <row r="722" spans="1:14" x14ac:dyDescent="0.25">
      <c r="A722" t="s">
        <v>1565</v>
      </c>
      <c r="B722" t="s">
        <v>13</v>
      </c>
      <c r="C722" t="s">
        <v>62</v>
      </c>
      <c r="D722">
        <v>35</v>
      </c>
      <c r="E722" s="4" t="s">
        <v>2139</v>
      </c>
      <c r="F722" s="4" t="s">
        <v>2146</v>
      </c>
      <c r="G722" t="s">
        <v>36</v>
      </c>
      <c r="H722" s="1">
        <v>45522</v>
      </c>
      <c r="I722" s="4">
        <v>112931.69</v>
      </c>
      <c r="J722" t="s">
        <v>237</v>
      </c>
      <c r="K722">
        <v>-878057214</v>
      </c>
      <c r="L722" t="s">
        <v>45</v>
      </c>
      <c r="M722" t="b">
        <v>0</v>
      </c>
      <c r="N722">
        <v>0</v>
      </c>
    </row>
    <row r="723" spans="1:14" x14ac:dyDescent="0.25">
      <c r="A723" t="s">
        <v>1567</v>
      </c>
      <c r="B723" t="s">
        <v>13</v>
      </c>
      <c r="C723" t="s">
        <v>41</v>
      </c>
      <c r="E723" s="4" t="s">
        <v>2137</v>
      </c>
      <c r="F723" s="4" t="s">
        <v>2138</v>
      </c>
      <c r="G723" t="s">
        <v>16</v>
      </c>
      <c r="H723" s="1">
        <v>45327</v>
      </c>
      <c r="I723" s="4">
        <v>106583.88</v>
      </c>
      <c r="J723" t="s">
        <v>170</v>
      </c>
      <c r="K723">
        <v>-1494097625</v>
      </c>
      <c r="L723" t="s">
        <v>33</v>
      </c>
      <c r="M723" t="b">
        <v>1</v>
      </c>
      <c r="N723">
        <v>5329.1940000000004</v>
      </c>
    </row>
    <row r="724" spans="1:14" x14ac:dyDescent="0.25">
      <c r="A724" t="s">
        <v>1569</v>
      </c>
      <c r="B724" t="s">
        <v>27</v>
      </c>
      <c r="C724" t="s">
        <v>21</v>
      </c>
      <c r="D724">
        <v>35</v>
      </c>
      <c r="E724" s="4" t="s">
        <v>2147</v>
      </c>
      <c r="F724" s="4" t="s">
        <v>2144</v>
      </c>
      <c r="G724" t="s">
        <v>36</v>
      </c>
      <c r="H724" s="1">
        <v>45608</v>
      </c>
      <c r="I724" s="4">
        <v>58437.84</v>
      </c>
      <c r="J724" t="s">
        <v>93</v>
      </c>
      <c r="K724">
        <v>-3748453985</v>
      </c>
      <c r="L724" t="s">
        <v>33</v>
      </c>
      <c r="M724" t="b">
        <v>1</v>
      </c>
      <c r="N724">
        <v>2921.8919999999998</v>
      </c>
    </row>
    <row r="725" spans="1:14" x14ac:dyDescent="0.25">
      <c r="A725" t="s">
        <v>1571</v>
      </c>
      <c r="B725" t="s">
        <v>27</v>
      </c>
      <c r="C725" t="s">
        <v>142</v>
      </c>
      <c r="D725">
        <v>40</v>
      </c>
      <c r="E725" s="4" t="s">
        <v>2143</v>
      </c>
      <c r="F725" s="4" t="s">
        <v>2138</v>
      </c>
      <c r="G725" t="s">
        <v>30</v>
      </c>
      <c r="H725" s="1">
        <v>43915</v>
      </c>
      <c r="I725" s="4">
        <v>72352.160000000003</v>
      </c>
      <c r="J725" t="s">
        <v>217</v>
      </c>
      <c r="K725">
        <v>-2895090590</v>
      </c>
      <c r="L725" t="s">
        <v>19</v>
      </c>
      <c r="M725" t="b">
        <v>1</v>
      </c>
      <c r="N725">
        <v>1447.0432000000001</v>
      </c>
    </row>
    <row r="726" spans="1:14" x14ac:dyDescent="0.25">
      <c r="A726" t="s">
        <v>1573</v>
      </c>
      <c r="B726" t="s">
        <v>40</v>
      </c>
      <c r="C726" t="s">
        <v>142</v>
      </c>
      <c r="E726" s="4" t="s">
        <v>2137</v>
      </c>
      <c r="F726" s="4" t="s">
        <v>2146</v>
      </c>
      <c r="G726" t="s">
        <v>16</v>
      </c>
      <c r="H726" s="1">
        <v>43934</v>
      </c>
      <c r="I726" s="4">
        <v>97154.47</v>
      </c>
      <c r="J726" t="s">
        <v>163</v>
      </c>
      <c r="K726">
        <v>-1918623391</v>
      </c>
      <c r="L726" t="s">
        <v>33</v>
      </c>
      <c r="M726" t="b">
        <v>1</v>
      </c>
      <c r="N726">
        <v>4857.7235000000001</v>
      </c>
    </row>
    <row r="727" spans="1:14" x14ac:dyDescent="0.25">
      <c r="A727" t="s">
        <v>1575</v>
      </c>
      <c r="B727" t="s">
        <v>75</v>
      </c>
      <c r="C727" t="s">
        <v>28</v>
      </c>
      <c r="E727" s="4" t="s">
        <v>2145</v>
      </c>
      <c r="F727" s="4" t="s">
        <v>2148</v>
      </c>
      <c r="G727" t="s">
        <v>16</v>
      </c>
      <c r="H727" s="1">
        <v>44285</v>
      </c>
      <c r="I727" s="4">
        <v>80235.5</v>
      </c>
      <c r="J727" t="s">
        <v>375</v>
      </c>
      <c r="K727">
        <v>-2071511695</v>
      </c>
      <c r="L727" t="s">
        <v>33</v>
      </c>
      <c r="M727" t="b">
        <v>0</v>
      </c>
      <c r="N727">
        <v>4011.7750000000001</v>
      </c>
    </row>
    <row r="728" spans="1:14" x14ac:dyDescent="0.25">
      <c r="A728" t="s">
        <v>1577</v>
      </c>
      <c r="B728" t="s">
        <v>61</v>
      </c>
      <c r="C728" t="s">
        <v>41</v>
      </c>
      <c r="D728">
        <v>30</v>
      </c>
      <c r="E728" s="4" t="s">
        <v>2147</v>
      </c>
      <c r="F728" s="4" t="s">
        <v>2140</v>
      </c>
      <c r="G728" t="s">
        <v>36</v>
      </c>
      <c r="H728" s="1">
        <v>45001</v>
      </c>
      <c r="I728" s="4">
        <v>102172.05</v>
      </c>
      <c r="J728" t="s">
        <v>104</v>
      </c>
      <c r="K728">
        <v>-6672521451</v>
      </c>
      <c r="L728" t="s">
        <v>45</v>
      </c>
      <c r="M728" t="b">
        <v>0</v>
      </c>
      <c r="N728">
        <v>0</v>
      </c>
    </row>
    <row r="729" spans="1:14" x14ac:dyDescent="0.25">
      <c r="A729" t="s">
        <v>1579</v>
      </c>
      <c r="B729" t="s">
        <v>35</v>
      </c>
      <c r="C729" t="s">
        <v>41</v>
      </c>
      <c r="D729">
        <v>25</v>
      </c>
      <c r="E729" s="4" t="s">
        <v>2139</v>
      </c>
      <c r="F729" s="4" t="s">
        <v>2148</v>
      </c>
      <c r="G729" t="s">
        <v>36</v>
      </c>
      <c r="H729" s="1">
        <v>45415</v>
      </c>
      <c r="I729" s="4">
        <v>98850.94</v>
      </c>
      <c r="J729" t="s">
        <v>167</v>
      </c>
      <c r="K729">
        <v>-6471246334</v>
      </c>
      <c r="L729" t="s">
        <v>25</v>
      </c>
      <c r="M729" t="b">
        <v>1</v>
      </c>
      <c r="N729">
        <v>9885.094000000001</v>
      </c>
    </row>
    <row r="730" spans="1:14" x14ac:dyDescent="0.25">
      <c r="A730" t="s">
        <v>1581</v>
      </c>
      <c r="B730" t="s">
        <v>75</v>
      </c>
      <c r="C730" t="s">
        <v>28</v>
      </c>
      <c r="E730" s="4" t="s">
        <v>2141</v>
      </c>
      <c r="F730" s="4" t="s">
        <v>2144</v>
      </c>
      <c r="G730" t="s">
        <v>36</v>
      </c>
      <c r="H730" s="1">
        <v>45166</v>
      </c>
      <c r="I730" s="4">
        <v>89993.15</v>
      </c>
      <c r="J730" t="s">
        <v>375</v>
      </c>
      <c r="K730">
        <v>-1571840907</v>
      </c>
      <c r="L730" t="s">
        <v>19</v>
      </c>
      <c r="M730" t="b">
        <v>1</v>
      </c>
      <c r="N730">
        <v>1799.8629999999998</v>
      </c>
    </row>
    <row r="731" spans="1:14" x14ac:dyDescent="0.25">
      <c r="A731" t="s">
        <v>1583</v>
      </c>
      <c r="B731" t="s">
        <v>67</v>
      </c>
      <c r="C731" t="s">
        <v>21</v>
      </c>
      <c r="D731">
        <v>30</v>
      </c>
      <c r="E731" s="4" t="s">
        <v>2143</v>
      </c>
      <c r="F731" s="4" t="s">
        <v>2138</v>
      </c>
      <c r="G731" t="s">
        <v>36</v>
      </c>
      <c r="H731" s="1">
        <v>44493</v>
      </c>
      <c r="I731" s="4">
        <v>97931.66</v>
      </c>
      <c r="J731" t="s">
        <v>265</v>
      </c>
      <c r="K731">
        <v>-512080055</v>
      </c>
      <c r="L731" t="s">
        <v>19</v>
      </c>
      <c r="M731" t="b">
        <v>1</v>
      </c>
      <c r="N731">
        <v>1958.6332000000002</v>
      </c>
    </row>
    <row r="732" spans="1:14" x14ac:dyDescent="0.25">
      <c r="A732" t="s">
        <v>1585</v>
      </c>
      <c r="B732" t="s">
        <v>13</v>
      </c>
      <c r="C732" t="s">
        <v>41</v>
      </c>
      <c r="D732">
        <v>40</v>
      </c>
      <c r="E732" s="4" t="s">
        <v>2139</v>
      </c>
      <c r="F732" s="4" t="s">
        <v>2138</v>
      </c>
      <c r="G732" t="s">
        <v>36</v>
      </c>
      <c r="H732" s="1">
        <v>44221</v>
      </c>
      <c r="I732" s="4">
        <v>72451.69</v>
      </c>
      <c r="J732" t="s">
        <v>170</v>
      </c>
      <c r="K732">
        <v>-4099512396</v>
      </c>
      <c r="L732" t="s">
        <v>45</v>
      </c>
      <c r="M732" t="b">
        <v>1</v>
      </c>
      <c r="N732">
        <v>0</v>
      </c>
    </row>
    <row r="733" spans="1:14" x14ac:dyDescent="0.25">
      <c r="A733" t="s">
        <v>1587</v>
      </c>
      <c r="B733" t="s">
        <v>27</v>
      </c>
      <c r="C733" t="s">
        <v>142</v>
      </c>
      <c r="D733">
        <v>35</v>
      </c>
      <c r="E733" s="4" t="s">
        <v>2141</v>
      </c>
      <c r="F733" s="4" t="s">
        <v>2138</v>
      </c>
      <c r="G733" t="s">
        <v>30</v>
      </c>
      <c r="H733" s="1">
        <v>45513</v>
      </c>
      <c r="I733" s="4">
        <v>119311.14</v>
      </c>
      <c r="J733" t="s">
        <v>217</v>
      </c>
      <c r="K733">
        <v>-2835129591</v>
      </c>
      <c r="L733" t="s">
        <v>45</v>
      </c>
      <c r="M733" t="b">
        <v>1</v>
      </c>
      <c r="N733">
        <v>0</v>
      </c>
    </row>
    <row r="734" spans="1:14" x14ac:dyDescent="0.25">
      <c r="A734" t="s">
        <v>1589</v>
      </c>
      <c r="B734" t="s">
        <v>61</v>
      </c>
      <c r="C734" t="s">
        <v>142</v>
      </c>
      <c r="D734">
        <v>40</v>
      </c>
      <c r="E734" s="4" t="s">
        <v>2143</v>
      </c>
      <c r="F734" s="4" t="s">
        <v>2146</v>
      </c>
      <c r="G734" t="s">
        <v>16</v>
      </c>
      <c r="H734" s="1">
        <v>45234</v>
      </c>
      <c r="I734" s="4">
        <v>76167.460000000006</v>
      </c>
      <c r="J734" t="s">
        <v>231</v>
      </c>
      <c r="K734">
        <v>-7282709080</v>
      </c>
      <c r="L734" t="s">
        <v>33</v>
      </c>
      <c r="M734" t="b">
        <v>0</v>
      </c>
      <c r="N734">
        <v>3808.3730000000005</v>
      </c>
    </row>
    <row r="735" spans="1:14" x14ac:dyDescent="0.25">
      <c r="A735" t="s">
        <v>1591</v>
      </c>
      <c r="B735" t="s">
        <v>13</v>
      </c>
      <c r="C735" t="s">
        <v>47</v>
      </c>
      <c r="D735">
        <v>25</v>
      </c>
      <c r="E735" s="4" t="s">
        <v>2137</v>
      </c>
      <c r="F735" s="4" t="s">
        <v>2140</v>
      </c>
      <c r="G735" t="s">
        <v>16</v>
      </c>
      <c r="H735" s="1">
        <v>45102</v>
      </c>
      <c r="I735" s="4">
        <v>114871.08</v>
      </c>
      <c r="J735" t="s">
        <v>180</v>
      </c>
      <c r="K735">
        <v>-4415298216</v>
      </c>
      <c r="L735" t="s">
        <v>19</v>
      </c>
      <c r="M735" t="b">
        <v>0</v>
      </c>
      <c r="N735">
        <v>2297.4216000000001</v>
      </c>
    </row>
    <row r="736" spans="1:14" x14ac:dyDescent="0.25">
      <c r="A736" t="s">
        <v>1593</v>
      </c>
      <c r="B736" t="s">
        <v>35</v>
      </c>
      <c r="C736" t="s">
        <v>62</v>
      </c>
      <c r="D736">
        <v>25</v>
      </c>
      <c r="E736" s="4" t="s">
        <v>2147</v>
      </c>
      <c r="F736" s="4" t="s">
        <v>2142</v>
      </c>
      <c r="G736" t="s">
        <v>16</v>
      </c>
      <c r="H736" s="1">
        <v>44455</v>
      </c>
      <c r="I736" s="4">
        <v>81504.31</v>
      </c>
      <c r="J736" t="s">
        <v>380</v>
      </c>
      <c r="K736">
        <v>-3929578670</v>
      </c>
      <c r="L736" t="s">
        <v>25</v>
      </c>
      <c r="M736" t="b">
        <v>0</v>
      </c>
      <c r="N736">
        <v>8150.4310000000005</v>
      </c>
    </row>
    <row r="737" spans="1:14" x14ac:dyDescent="0.25">
      <c r="A737" t="s">
        <v>1595</v>
      </c>
      <c r="B737" t="s">
        <v>67</v>
      </c>
      <c r="C737" t="s">
        <v>41</v>
      </c>
      <c r="E737" s="4" t="s">
        <v>2141</v>
      </c>
      <c r="F737" s="4" t="s">
        <v>2146</v>
      </c>
      <c r="G737" t="s">
        <v>30</v>
      </c>
      <c r="H737" s="1">
        <v>44902</v>
      </c>
      <c r="I737" s="4">
        <v>102524.86</v>
      </c>
      <c r="J737" t="s">
        <v>70</v>
      </c>
      <c r="K737">
        <v>-8153523735</v>
      </c>
      <c r="L737" t="s">
        <v>45</v>
      </c>
      <c r="M737" t="b">
        <v>0</v>
      </c>
      <c r="N737">
        <v>0</v>
      </c>
    </row>
    <row r="738" spans="1:14" x14ac:dyDescent="0.25">
      <c r="A738" t="s">
        <v>1597</v>
      </c>
      <c r="B738" t="s">
        <v>61</v>
      </c>
      <c r="C738" t="s">
        <v>21</v>
      </c>
      <c r="D738">
        <v>25</v>
      </c>
      <c r="E738" s="4" t="s">
        <v>2139</v>
      </c>
      <c r="F738" s="4" t="s">
        <v>2148</v>
      </c>
      <c r="G738" t="s">
        <v>30</v>
      </c>
      <c r="H738" s="1">
        <v>44909</v>
      </c>
      <c r="I738" s="4">
        <v>53043.74</v>
      </c>
      <c r="J738" t="s">
        <v>147</v>
      </c>
      <c r="K738">
        <v>-507918157</v>
      </c>
      <c r="L738" t="s">
        <v>25</v>
      </c>
      <c r="M738" t="b">
        <v>1</v>
      </c>
      <c r="N738">
        <v>5304.3739999999998</v>
      </c>
    </row>
    <row r="739" spans="1:14" x14ac:dyDescent="0.25">
      <c r="A739" t="s">
        <v>1599</v>
      </c>
      <c r="B739" t="s">
        <v>35</v>
      </c>
      <c r="C739" t="s">
        <v>28</v>
      </c>
      <c r="D739">
        <v>30</v>
      </c>
      <c r="E739" s="4" t="s">
        <v>2137</v>
      </c>
      <c r="F739" s="4" t="s">
        <v>2148</v>
      </c>
      <c r="G739" t="s">
        <v>36</v>
      </c>
      <c r="H739" s="1">
        <v>43939</v>
      </c>
      <c r="I739" s="4">
        <v>82547.259999999995</v>
      </c>
      <c r="J739" t="s">
        <v>323</v>
      </c>
      <c r="K739">
        <v>-9988683451</v>
      </c>
      <c r="L739" t="s">
        <v>25</v>
      </c>
      <c r="M739" t="b">
        <v>1</v>
      </c>
      <c r="N739">
        <v>8254.7260000000006</v>
      </c>
    </row>
    <row r="740" spans="1:14" x14ac:dyDescent="0.25">
      <c r="A740" t="s">
        <v>1601</v>
      </c>
      <c r="B740" t="s">
        <v>13</v>
      </c>
      <c r="C740" t="s">
        <v>28</v>
      </c>
      <c r="D740">
        <v>40</v>
      </c>
      <c r="E740" s="4" t="s">
        <v>2137</v>
      </c>
      <c r="F740" s="4" t="s">
        <v>2138</v>
      </c>
      <c r="G740" t="s">
        <v>30</v>
      </c>
      <c r="H740" s="1">
        <v>45576</v>
      </c>
      <c r="I740" s="4">
        <v>113900.81</v>
      </c>
      <c r="J740" t="s">
        <v>56</v>
      </c>
      <c r="K740">
        <v>-7346666169</v>
      </c>
      <c r="L740" t="s">
        <v>19</v>
      </c>
      <c r="M740" t="b">
        <v>1</v>
      </c>
      <c r="N740">
        <v>2278.0162</v>
      </c>
    </row>
    <row r="741" spans="1:14" x14ac:dyDescent="0.25">
      <c r="A741" t="s">
        <v>1603</v>
      </c>
      <c r="B741" t="s">
        <v>13</v>
      </c>
      <c r="C741" t="s">
        <v>21</v>
      </c>
      <c r="D741">
        <v>25</v>
      </c>
      <c r="E741" s="4" t="s">
        <v>2147</v>
      </c>
      <c r="F741" s="4" t="s">
        <v>2142</v>
      </c>
      <c r="G741" t="s">
        <v>36</v>
      </c>
      <c r="H741" s="1">
        <v>44304</v>
      </c>
      <c r="I741" s="4">
        <v>118585.5</v>
      </c>
      <c r="J741" t="s">
        <v>24</v>
      </c>
      <c r="K741">
        <v>-7158796473</v>
      </c>
      <c r="L741" t="s">
        <v>19</v>
      </c>
      <c r="M741" t="b">
        <v>1</v>
      </c>
      <c r="N741">
        <v>2371.71</v>
      </c>
    </row>
    <row r="742" spans="1:14" x14ac:dyDescent="0.25">
      <c r="A742" t="s">
        <v>1605</v>
      </c>
      <c r="B742" t="s">
        <v>13</v>
      </c>
      <c r="C742" t="s">
        <v>14</v>
      </c>
      <c r="D742">
        <v>35</v>
      </c>
      <c r="E742" s="4" t="s">
        <v>2139</v>
      </c>
      <c r="F742" s="4" t="s">
        <v>2148</v>
      </c>
      <c r="G742" t="s">
        <v>30</v>
      </c>
      <c r="H742" s="1">
        <v>44011</v>
      </c>
      <c r="I742" s="4">
        <v>63049.22</v>
      </c>
      <c r="J742" t="s">
        <v>18</v>
      </c>
      <c r="K742">
        <v>-803149981</v>
      </c>
      <c r="L742" t="s">
        <v>45</v>
      </c>
      <c r="M742" t="b">
        <v>1</v>
      </c>
      <c r="N742">
        <v>0</v>
      </c>
    </row>
    <row r="743" spans="1:14" x14ac:dyDescent="0.25">
      <c r="A743" t="s">
        <v>1607</v>
      </c>
      <c r="B743" t="s">
        <v>75</v>
      </c>
      <c r="C743" t="s">
        <v>106</v>
      </c>
      <c r="E743" s="4" t="s">
        <v>2137</v>
      </c>
      <c r="F743" s="4" t="s">
        <v>2140</v>
      </c>
      <c r="G743" t="s">
        <v>16</v>
      </c>
      <c r="H743" s="1">
        <v>44337</v>
      </c>
      <c r="I743" s="4">
        <v>114558.91</v>
      </c>
      <c r="J743" t="s">
        <v>153</v>
      </c>
      <c r="K743">
        <v>-5080046357</v>
      </c>
      <c r="L743" t="s">
        <v>19</v>
      </c>
      <c r="M743" t="b">
        <v>0</v>
      </c>
      <c r="N743">
        <v>2291.1782000000003</v>
      </c>
    </row>
    <row r="744" spans="1:14" x14ac:dyDescent="0.25">
      <c r="A744" t="s">
        <v>1609</v>
      </c>
      <c r="B744" t="s">
        <v>75</v>
      </c>
      <c r="C744" t="s">
        <v>62</v>
      </c>
      <c r="D744">
        <v>40</v>
      </c>
      <c r="E744" s="4" t="s">
        <v>2137</v>
      </c>
      <c r="F744" s="4" t="s">
        <v>2146</v>
      </c>
      <c r="G744" t="s">
        <v>16</v>
      </c>
      <c r="H744" s="1">
        <v>44541</v>
      </c>
      <c r="I744" s="4">
        <v>97901.79</v>
      </c>
      <c r="J744" t="s">
        <v>132</v>
      </c>
      <c r="K744">
        <v>-688285030</v>
      </c>
      <c r="L744" t="s">
        <v>19</v>
      </c>
      <c r="M744" t="b">
        <v>1</v>
      </c>
      <c r="N744">
        <v>1958.0357999999999</v>
      </c>
    </row>
    <row r="745" spans="1:14" x14ac:dyDescent="0.25">
      <c r="A745" t="s">
        <v>1611</v>
      </c>
      <c r="B745" t="s">
        <v>35</v>
      </c>
      <c r="C745" t="s">
        <v>28</v>
      </c>
      <c r="D745">
        <v>30</v>
      </c>
      <c r="E745" s="4" t="s">
        <v>2145</v>
      </c>
      <c r="F745" s="4" t="s">
        <v>2138</v>
      </c>
      <c r="G745" t="s">
        <v>16</v>
      </c>
      <c r="H745" s="1">
        <v>45112</v>
      </c>
      <c r="I745" s="4">
        <v>68037.56</v>
      </c>
      <c r="J745" t="s">
        <v>323</v>
      </c>
      <c r="K745">
        <v>-7235137398</v>
      </c>
      <c r="L745" t="s">
        <v>19</v>
      </c>
      <c r="M745" t="b">
        <v>0</v>
      </c>
      <c r="N745">
        <v>1360.7511999999999</v>
      </c>
    </row>
    <row r="746" spans="1:14" x14ac:dyDescent="0.25">
      <c r="A746" t="s">
        <v>1613</v>
      </c>
      <c r="B746" t="s">
        <v>27</v>
      </c>
      <c r="C746" t="s">
        <v>41</v>
      </c>
      <c r="E746" s="4" t="s">
        <v>2147</v>
      </c>
      <c r="F746" s="4" t="s">
        <v>2146</v>
      </c>
      <c r="G746" t="s">
        <v>16</v>
      </c>
      <c r="H746" s="1">
        <v>44530</v>
      </c>
      <c r="I746" s="4">
        <v>112802.27</v>
      </c>
      <c r="J746" t="s">
        <v>431</v>
      </c>
      <c r="K746">
        <v>-63140351</v>
      </c>
      <c r="L746" t="s">
        <v>25</v>
      </c>
      <c r="M746" t="b">
        <v>0</v>
      </c>
      <c r="N746">
        <v>11280.227000000001</v>
      </c>
    </row>
    <row r="747" spans="1:14" x14ac:dyDescent="0.25">
      <c r="A747" t="s">
        <v>1615</v>
      </c>
      <c r="B747" t="s">
        <v>13</v>
      </c>
      <c r="C747" t="s">
        <v>62</v>
      </c>
      <c r="D747">
        <v>40</v>
      </c>
      <c r="E747" s="4" t="s">
        <v>2145</v>
      </c>
      <c r="F747" s="4" t="s">
        <v>2142</v>
      </c>
      <c r="G747" t="s">
        <v>30</v>
      </c>
      <c r="H747" s="1">
        <v>45618</v>
      </c>
      <c r="I747" s="4">
        <v>93786.72</v>
      </c>
      <c r="J747" t="s">
        <v>237</v>
      </c>
      <c r="K747">
        <v>-6356022938</v>
      </c>
      <c r="L747" t="s">
        <v>45</v>
      </c>
      <c r="M747" t="b">
        <v>0</v>
      </c>
      <c r="N747">
        <v>0</v>
      </c>
    </row>
    <row r="748" spans="1:14" x14ac:dyDescent="0.25">
      <c r="A748" t="s">
        <v>1617</v>
      </c>
      <c r="B748" t="s">
        <v>67</v>
      </c>
      <c r="C748" t="s">
        <v>41</v>
      </c>
      <c r="E748" s="4" t="s">
        <v>2141</v>
      </c>
      <c r="F748" s="4" t="s">
        <v>2144</v>
      </c>
      <c r="G748" t="s">
        <v>36</v>
      </c>
      <c r="H748" s="1">
        <v>45070</v>
      </c>
      <c r="I748" s="4">
        <v>73049.929999999993</v>
      </c>
      <c r="J748" t="s">
        <v>70</v>
      </c>
      <c r="K748">
        <v>-4694346065</v>
      </c>
      <c r="L748" t="s">
        <v>33</v>
      </c>
      <c r="M748" t="b">
        <v>0</v>
      </c>
      <c r="N748">
        <v>3652.4964999999997</v>
      </c>
    </row>
    <row r="749" spans="1:14" x14ac:dyDescent="0.25">
      <c r="A749" t="s">
        <v>1619</v>
      </c>
      <c r="B749" t="s">
        <v>67</v>
      </c>
      <c r="C749" t="s">
        <v>14</v>
      </c>
      <c r="D749">
        <v>30</v>
      </c>
      <c r="E749" s="4" t="s">
        <v>2145</v>
      </c>
      <c r="F749" s="4" t="s">
        <v>2148</v>
      </c>
      <c r="G749" t="s">
        <v>30</v>
      </c>
      <c r="H749" s="1">
        <v>45469</v>
      </c>
      <c r="I749" s="4">
        <v>64161.72</v>
      </c>
      <c r="J749" t="s">
        <v>73</v>
      </c>
      <c r="K749">
        <v>-6437490606</v>
      </c>
      <c r="L749" t="s">
        <v>25</v>
      </c>
      <c r="M749" t="b">
        <v>1</v>
      </c>
      <c r="N749">
        <v>6416.1720000000005</v>
      </c>
    </row>
    <row r="750" spans="1:14" x14ac:dyDescent="0.25">
      <c r="A750" t="s">
        <v>1621</v>
      </c>
      <c r="B750" t="s">
        <v>61</v>
      </c>
      <c r="C750" t="s">
        <v>142</v>
      </c>
      <c r="D750">
        <v>40</v>
      </c>
      <c r="E750" s="4" t="s">
        <v>2141</v>
      </c>
      <c r="F750" s="4" t="s">
        <v>2142</v>
      </c>
      <c r="G750" t="s">
        <v>30</v>
      </c>
      <c r="H750" s="1">
        <v>44154</v>
      </c>
      <c r="I750" s="4">
        <v>72224.73</v>
      </c>
      <c r="J750" t="s">
        <v>231</v>
      </c>
      <c r="K750">
        <v>-2311127127</v>
      </c>
      <c r="L750" t="s">
        <v>19</v>
      </c>
      <c r="M750" t="b">
        <v>0</v>
      </c>
      <c r="N750">
        <v>1444.4946</v>
      </c>
    </row>
    <row r="751" spans="1:14" x14ac:dyDescent="0.25">
      <c r="A751" t="s">
        <v>1623</v>
      </c>
      <c r="B751" t="s">
        <v>13</v>
      </c>
      <c r="C751" t="s">
        <v>62</v>
      </c>
      <c r="D751">
        <v>30</v>
      </c>
      <c r="E751" s="4" t="s">
        <v>2147</v>
      </c>
      <c r="F751" s="4" t="s">
        <v>2146</v>
      </c>
      <c r="G751" t="s">
        <v>30</v>
      </c>
      <c r="H751" s="1">
        <v>43891</v>
      </c>
      <c r="I751" s="4">
        <v>103580.45</v>
      </c>
      <c r="J751" t="s">
        <v>237</v>
      </c>
      <c r="K751">
        <v>-5246484493</v>
      </c>
      <c r="L751" t="s">
        <v>25</v>
      </c>
      <c r="M751" t="b">
        <v>0</v>
      </c>
      <c r="N751">
        <v>10358.045</v>
      </c>
    </row>
    <row r="752" spans="1:14" x14ac:dyDescent="0.25">
      <c r="A752" t="s">
        <v>1625</v>
      </c>
      <c r="B752" t="s">
        <v>80</v>
      </c>
      <c r="C752" t="s">
        <v>47</v>
      </c>
      <c r="D752">
        <v>40</v>
      </c>
      <c r="E752" s="4" t="s">
        <v>2147</v>
      </c>
      <c r="F752" s="4" t="s">
        <v>2144</v>
      </c>
      <c r="G752" t="s">
        <v>30</v>
      </c>
      <c r="H752" s="1">
        <v>45513</v>
      </c>
      <c r="I752" s="4">
        <v>112589.11</v>
      </c>
      <c r="J752" t="s">
        <v>96</v>
      </c>
      <c r="K752">
        <v>-1163187327</v>
      </c>
      <c r="L752" t="s">
        <v>19</v>
      </c>
      <c r="M752" t="b">
        <v>0</v>
      </c>
      <c r="N752">
        <v>2251.7822000000001</v>
      </c>
    </row>
    <row r="753" spans="1:14" x14ac:dyDescent="0.25">
      <c r="A753" t="s">
        <v>1627</v>
      </c>
      <c r="B753" t="s">
        <v>35</v>
      </c>
      <c r="C753" t="s">
        <v>28</v>
      </c>
      <c r="D753">
        <v>30</v>
      </c>
      <c r="E753" s="4" t="s">
        <v>2141</v>
      </c>
      <c r="F753" s="4" t="s">
        <v>2140</v>
      </c>
      <c r="G753" t="s">
        <v>16</v>
      </c>
      <c r="H753" s="1">
        <v>44209</v>
      </c>
      <c r="I753" s="4">
        <v>51833.88</v>
      </c>
      <c r="J753" t="s">
        <v>323</v>
      </c>
      <c r="K753">
        <v>-771130620</v>
      </c>
      <c r="L753" t="s">
        <v>19</v>
      </c>
      <c r="M753" t="b">
        <v>1</v>
      </c>
      <c r="N753">
        <v>1036.6776</v>
      </c>
    </row>
    <row r="754" spans="1:14" x14ac:dyDescent="0.25">
      <c r="A754" t="s">
        <v>1629</v>
      </c>
      <c r="B754" t="s">
        <v>35</v>
      </c>
      <c r="C754" t="s">
        <v>62</v>
      </c>
      <c r="E754" s="4" t="s">
        <v>2145</v>
      </c>
      <c r="F754" s="4" t="s">
        <v>2148</v>
      </c>
      <c r="G754" t="s">
        <v>16</v>
      </c>
      <c r="H754" s="1">
        <v>45052</v>
      </c>
      <c r="I754" s="4">
        <v>66252.78</v>
      </c>
      <c r="J754" t="s">
        <v>380</v>
      </c>
      <c r="K754">
        <v>-1369572789</v>
      </c>
      <c r="L754" t="s">
        <v>25</v>
      </c>
      <c r="M754" t="b">
        <v>1</v>
      </c>
      <c r="N754">
        <v>6625.2780000000002</v>
      </c>
    </row>
    <row r="755" spans="1:14" x14ac:dyDescent="0.25">
      <c r="A755" t="s">
        <v>1631</v>
      </c>
      <c r="B755" t="s">
        <v>40</v>
      </c>
      <c r="C755" t="s">
        <v>62</v>
      </c>
      <c r="D755">
        <v>25</v>
      </c>
      <c r="E755" s="4" t="s">
        <v>2137</v>
      </c>
      <c r="F755" s="4" t="s">
        <v>2144</v>
      </c>
      <c r="G755" t="s">
        <v>16</v>
      </c>
      <c r="H755" s="1">
        <v>44859</v>
      </c>
      <c r="I755" s="4">
        <v>109229.68</v>
      </c>
      <c r="J755" t="s">
        <v>316</v>
      </c>
      <c r="K755">
        <v>-8335090253</v>
      </c>
      <c r="L755" t="s">
        <v>45</v>
      </c>
      <c r="M755" t="b">
        <v>1</v>
      </c>
      <c r="N755">
        <v>0</v>
      </c>
    </row>
    <row r="756" spans="1:14" x14ac:dyDescent="0.25">
      <c r="A756" t="s">
        <v>1633</v>
      </c>
      <c r="B756" t="s">
        <v>40</v>
      </c>
      <c r="C756" t="s">
        <v>62</v>
      </c>
      <c r="D756">
        <v>30</v>
      </c>
      <c r="E756" s="4" t="s">
        <v>2139</v>
      </c>
      <c r="F756" s="4" t="s">
        <v>2144</v>
      </c>
      <c r="G756" t="s">
        <v>36</v>
      </c>
      <c r="H756" s="1">
        <v>44112</v>
      </c>
      <c r="I756" s="4">
        <v>61465.05</v>
      </c>
      <c r="J756" t="s">
        <v>316</v>
      </c>
      <c r="K756">
        <v>-2573066247</v>
      </c>
      <c r="L756" t="s">
        <v>19</v>
      </c>
      <c r="M756" t="b">
        <v>0</v>
      </c>
      <c r="N756">
        <v>1229.3010000000002</v>
      </c>
    </row>
    <row r="757" spans="1:14" x14ac:dyDescent="0.25">
      <c r="A757" t="s">
        <v>1635</v>
      </c>
      <c r="B757" t="s">
        <v>80</v>
      </c>
      <c r="C757" t="s">
        <v>106</v>
      </c>
      <c r="D757">
        <v>25</v>
      </c>
      <c r="E757" s="4" t="s">
        <v>2147</v>
      </c>
      <c r="F757" s="4" t="s">
        <v>2144</v>
      </c>
      <c r="G757" t="s">
        <v>16</v>
      </c>
      <c r="H757" s="1">
        <v>45351</v>
      </c>
      <c r="I757" s="4">
        <v>96993.74</v>
      </c>
      <c r="J757" t="s">
        <v>197</v>
      </c>
      <c r="K757">
        <v>-1323570712</v>
      </c>
      <c r="L757" t="s">
        <v>45</v>
      </c>
      <c r="M757" t="b">
        <v>0</v>
      </c>
      <c r="N757">
        <v>0</v>
      </c>
    </row>
    <row r="758" spans="1:14" x14ac:dyDescent="0.25">
      <c r="A758" t="s">
        <v>1637</v>
      </c>
      <c r="B758" t="s">
        <v>67</v>
      </c>
      <c r="C758" t="s">
        <v>62</v>
      </c>
      <c r="D758">
        <v>25</v>
      </c>
      <c r="E758" s="4" t="s">
        <v>2141</v>
      </c>
      <c r="F758" s="4" t="s">
        <v>2144</v>
      </c>
      <c r="G758" t="s">
        <v>30</v>
      </c>
      <c r="H758" s="1">
        <v>44834</v>
      </c>
      <c r="I758" s="4">
        <v>98150.39</v>
      </c>
      <c r="J758" t="s">
        <v>257</v>
      </c>
      <c r="K758">
        <v>-9848228500</v>
      </c>
      <c r="L758" t="s">
        <v>33</v>
      </c>
      <c r="M758" t="b">
        <v>1</v>
      </c>
      <c r="N758">
        <v>4907.5195000000003</v>
      </c>
    </row>
    <row r="759" spans="1:14" x14ac:dyDescent="0.25">
      <c r="A759" t="s">
        <v>1639</v>
      </c>
      <c r="B759" t="s">
        <v>67</v>
      </c>
      <c r="C759" t="s">
        <v>41</v>
      </c>
      <c r="D759">
        <v>40</v>
      </c>
      <c r="E759" s="4" t="s">
        <v>2139</v>
      </c>
      <c r="F759" s="4" t="s">
        <v>2140</v>
      </c>
      <c r="G759" t="s">
        <v>30</v>
      </c>
      <c r="H759" s="1">
        <v>45336</v>
      </c>
      <c r="I759" s="4">
        <v>107703</v>
      </c>
      <c r="J759" t="s">
        <v>70</v>
      </c>
      <c r="K759">
        <v>-1688092549</v>
      </c>
      <c r="L759" t="s">
        <v>19</v>
      </c>
      <c r="M759" t="b">
        <v>0</v>
      </c>
      <c r="N759">
        <v>2154.06</v>
      </c>
    </row>
    <row r="760" spans="1:14" x14ac:dyDescent="0.25">
      <c r="A760" t="s">
        <v>1641</v>
      </c>
      <c r="B760" t="s">
        <v>80</v>
      </c>
      <c r="C760" t="s">
        <v>142</v>
      </c>
      <c r="E760" s="4" t="s">
        <v>2137</v>
      </c>
      <c r="F760" s="4" t="s">
        <v>2148</v>
      </c>
      <c r="G760" t="s">
        <v>30</v>
      </c>
      <c r="H760" s="1">
        <v>44929</v>
      </c>
      <c r="I760" s="4">
        <v>86766.14</v>
      </c>
      <c r="J760" t="s">
        <v>160</v>
      </c>
      <c r="K760">
        <v>-2130609068</v>
      </c>
      <c r="L760" t="s">
        <v>45</v>
      </c>
      <c r="M760" t="b">
        <v>1</v>
      </c>
      <c r="N760">
        <v>0</v>
      </c>
    </row>
    <row r="761" spans="1:14" x14ac:dyDescent="0.25">
      <c r="A761" t="s">
        <v>1643</v>
      </c>
      <c r="B761" t="s">
        <v>27</v>
      </c>
      <c r="C761" t="s">
        <v>14</v>
      </c>
      <c r="E761" s="4" t="s">
        <v>2143</v>
      </c>
      <c r="F761" s="4" t="s">
        <v>2144</v>
      </c>
      <c r="G761" t="s">
        <v>36</v>
      </c>
      <c r="H761" s="1">
        <v>45524</v>
      </c>
      <c r="I761" s="4">
        <v>111443.69</v>
      </c>
      <c r="J761" t="s">
        <v>191</v>
      </c>
      <c r="K761">
        <v>-1309810795</v>
      </c>
      <c r="L761" t="s">
        <v>45</v>
      </c>
      <c r="M761" t="b">
        <v>1</v>
      </c>
      <c r="N761">
        <v>0</v>
      </c>
    </row>
    <row r="762" spans="1:14" x14ac:dyDescent="0.25">
      <c r="A762" t="s">
        <v>1645</v>
      </c>
      <c r="B762" t="s">
        <v>67</v>
      </c>
      <c r="C762" t="s">
        <v>21</v>
      </c>
      <c r="E762" s="4" t="s">
        <v>2145</v>
      </c>
      <c r="F762" s="4" t="s">
        <v>2144</v>
      </c>
      <c r="G762" t="s">
        <v>30</v>
      </c>
      <c r="H762" s="1">
        <v>43911</v>
      </c>
      <c r="I762" s="4">
        <v>89039.07</v>
      </c>
      <c r="J762" t="s">
        <v>265</v>
      </c>
      <c r="K762">
        <v>-4967379456</v>
      </c>
      <c r="L762" t="s">
        <v>33</v>
      </c>
      <c r="M762" t="b">
        <v>0</v>
      </c>
      <c r="N762">
        <v>4451.9535000000005</v>
      </c>
    </row>
    <row r="763" spans="1:14" x14ac:dyDescent="0.25">
      <c r="A763" t="s">
        <v>1647</v>
      </c>
      <c r="B763" t="s">
        <v>27</v>
      </c>
      <c r="C763" t="s">
        <v>62</v>
      </c>
      <c r="D763">
        <v>30</v>
      </c>
      <c r="E763" s="4" t="s">
        <v>2147</v>
      </c>
      <c r="F763" s="4" t="s">
        <v>2144</v>
      </c>
      <c r="G763" t="s">
        <v>36</v>
      </c>
      <c r="H763" s="1">
        <v>45642</v>
      </c>
      <c r="I763" s="4">
        <v>71318.789999999994</v>
      </c>
      <c r="J763" t="s">
        <v>177</v>
      </c>
      <c r="K763">
        <v>-7278532425</v>
      </c>
      <c r="L763" t="s">
        <v>45</v>
      </c>
      <c r="M763" t="b">
        <v>0</v>
      </c>
      <c r="N763">
        <v>0</v>
      </c>
    </row>
    <row r="764" spans="1:14" x14ac:dyDescent="0.25">
      <c r="A764" t="s">
        <v>1649</v>
      </c>
      <c r="B764" t="s">
        <v>75</v>
      </c>
      <c r="C764" t="s">
        <v>28</v>
      </c>
      <c r="D764">
        <v>30</v>
      </c>
      <c r="E764" s="4" t="s">
        <v>2139</v>
      </c>
      <c r="F764" s="4" t="s">
        <v>2138</v>
      </c>
      <c r="G764" t="s">
        <v>30</v>
      </c>
      <c r="H764" s="1">
        <v>43942</v>
      </c>
      <c r="I764" s="4">
        <v>98296.71</v>
      </c>
      <c r="J764" t="s">
        <v>375</v>
      </c>
      <c r="K764">
        <v>-4250642075</v>
      </c>
      <c r="L764" t="s">
        <v>45</v>
      </c>
      <c r="M764" t="b">
        <v>0</v>
      </c>
      <c r="N764">
        <v>0</v>
      </c>
    </row>
    <row r="765" spans="1:14" x14ac:dyDescent="0.25">
      <c r="A765" t="s">
        <v>1651</v>
      </c>
      <c r="B765" t="s">
        <v>75</v>
      </c>
      <c r="C765" t="s">
        <v>62</v>
      </c>
      <c r="D765">
        <v>40</v>
      </c>
      <c r="E765" s="4" t="s">
        <v>2143</v>
      </c>
      <c r="F765" s="4" t="s">
        <v>2142</v>
      </c>
      <c r="G765" t="s">
        <v>30</v>
      </c>
      <c r="H765" s="1">
        <v>44062</v>
      </c>
      <c r="I765" s="4">
        <v>62584</v>
      </c>
      <c r="J765" t="s">
        <v>132</v>
      </c>
      <c r="K765">
        <v>-8362536666</v>
      </c>
      <c r="L765" t="s">
        <v>33</v>
      </c>
      <c r="M765" t="b">
        <v>0</v>
      </c>
      <c r="N765">
        <v>3129.2000000000003</v>
      </c>
    </row>
    <row r="766" spans="1:14" x14ac:dyDescent="0.25">
      <c r="A766" t="s">
        <v>1653</v>
      </c>
      <c r="B766" t="s">
        <v>61</v>
      </c>
      <c r="C766" t="s">
        <v>28</v>
      </c>
      <c r="D766">
        <v>40</v>
      </c>
      <c r="E766" s="4" t="s">
        <v>2139</v>
      </c>
      <c r="F766" s="4" t="s">
        <v>2138</v>
      </c>
      <c r="G766" t="s">
        <v>36</v>
      </c>
      <c r="H766" s="1">
        <v>43882</v>
      </c>
      <c r="I766" s="4">
        <v>62521.5</v>
      </c>
      <c r="J766" t="s">
        <v>140</v>
      </c>
      <c r="K766">
        <v>-7767555627</v>
      </c>
      <c r="L766" t="s">
        <v>19</v>
      </c>
      <c r="M766" t="b">
        <v>1</v>
      </c>
      <c r="N766">
        <v>1250.43</v>
      </c>
    </row>
    <row r="767" spans="1:14" x14ac:dyDescent="0.25">
      <c r="A767" t="s">
        <v>1655</v>
      </c>
      <c r="B767" t="s">
        <v>67</v>
      </c>
      <c r="C767" t="s">
        <v>41</v>
      </c>
      <c r="D767">
        <v>40</v>
      </c>
      <c r="E767" s="4" t="s">
        <v>2143</v>
      </c>
      <c r="F767" s="4" t="s">
        <v>2138</v>
      </c>
      <c r="G767" t="s">
        <v>36</v>
      </c>
      <c r="H767" s="1">
        <v>45247</v>
      </c>
      <c r="I767" s="4">
        <v>95400.35</v>
      </c>
      <c r="J767" t="s">
        <v>70</v>
      </c>
      <c r="K767">
        <v>-3333939577</v>
      </c>
      <c r="L767" t="s">
        <v>45</v>
      </c>
      <c r="M767" t="b">
        <v>1</v>
      </c>
      <c r="N767">
        <v>0</v>
      </c>
    </row>
    <row r="768" spans="1:14" x14ac:dyDescent="0.25">
      <c r="A768" t="s">
        <v>1657</v>
      </c>
      <c r="B768" t="s">
        <v>61</v>
      </c>
      <c r="C768" t="s">
        <v>28</v>
      </c>
      <c r="D768">
        <v>25</v>
      </c>
      <c r="E768" s="4" t="s">
        <v>2143</v>
      </c>
      <c r="F768" s="4" t="s">
        <v>2140</v>
      </c>
      <c r="G768" t="s">
        <v>30</v>
      </c>
      <c r="H768" s="1">
        <v>44751</v>
      </c>
      <c r="I768" s="4">
        <v>94385.07</v>
      </c>
      <c r="J768" t="s">
        <v>140</v>
      </c>
      <c r="K768">
        <v>-6543627186</v>
      </c>
      <c r="L768" t="s">
        <v>45</v>
      </c>
      <c r="M768" t="b">
        <v>1</v>
      </c>
      <c r="N768">
        <v>0</v>
      </c>
    </row>
    <row r="769" spans="1:14" x14ac:dyDescent="0.25">
      <c r="A769" t="s">
        <v>1659</v>
      </c>
      <c r="B769" t="s">
        <v>80</v>
      </c>
      <c r="C769" t="s">
        <v>47</v>
      </c>
      <c r="E769" s="4" t="s">
        <v>2145</v>
      </c>
      <c r="F769" s="4" t="s">
        <v>2146</v>
      </c>
      <c r="G769" t="s">
        <v>36</v>
      </c>
      <c r="H769" s="1">
        <v>44958</v>
      </c>
      <c r="I769" s="4">
        <v>76642.490000000005</v>
      </c>
      <c r="J769" t="s">
        <v>96</v>
      </c>
      <c r="K769">
        <v>-4960335825</v>
      </c>
      <c r="L769" t="s">
        <v>45</v>
      </c>
      <c r="M769" t="b">
        <v>1</v>
      </c>
      <c r="N769">
        <v>0</v>
      </c>
    </row>
    <row r="770" spans="1:14" x14ac:dyDescent="0.25">
      <c r="A770" t="s">
        <v>1661</v>
      </c>
      <c r="B770" t="s">
        <v>40</v>
      </c>
      <c r="C770" t="s">
        <v>21</v>
      </c>
      <c r="E770" s="4" t="s">
        <v>2137</v>
      </c>
      <c r="F770" s="4" t="s">
        <v>2146</v>
      </c>
      <c r="G770" t="s">
        <v>16</v>
      </c>
      <c r="H770" s="1">
        <v>45610</v>
      </c>
      <c r="I770" s="4">
        <v>60122.52</v>
      </c>
      <c r="J770" t="s">
        <v>280</v>
      </c>
      <c r="K770">
        <v>-8627036923</v>
      </c>
      <c r="L770" t="s">
        <v>25</v>
      </c>
      <c r="M770" t="b">
        <v>1</v>
      </c>
      <c r="N770">
        <v>6012.2520000000004</v>
      </c>
    </row>
    <row r="771" spans="1:14" x14ac:dyDescent="0.25">
      <c r="A771" t="s">
        <v>1663</v>
      </c>
      <c r="B771" t="s">
        <v>27</v>
      </c>
      <c r="C771" t="s">
        <v>142</v>
      </c>
      <c r="D771">
        <v>40</v>
      </c>
      <c r="E771" s="4" t="s">
        <v>2147</v>
      </c>
      <c r="F771" s="4" t="s">
        <v>2138</v>
      </c>
      <c r="G771" t="s">
        <v>30</v>
      </c>
      <c r="H771" s="1">
        <v>45405</v>
      </c>
      <c r="I771" s="4">
        <v>117267.63</v>
      </c>
      <c r="J771" t="s">
        <v>217</v>
      </c>
      <c r="K771">
        <v>-9269326572</v>
      </c>
      <c r="L771" t="s">
        <v>33</v>
      </c>
      <c r="M771" t="b">
        <v>0</v>
      </c>
      <c r="N771">
        <v>5863.3815000000004</v>
      </c>
    </row>
    <row r="772" spans="1:14" x14ac:dyDescent="0.25">
      <c r="A772" t="s">
        <v>1665</v>
      </c>
      <c r="B772" t="s">
        <v>61</v>
      </c>
      <c r="C772" t="s">
        <v>28</v>
      </c>
      <c r="D772">
        <v>25</v>
      </c>
      <c r="E772" s="4" t="s">
        <v>2141</v>
      </c>
      <c r="F772" s="4" t="s">
        <v>2146</v>
      </c>
      <c r="G772" t="s">
        <v>16</v>
      </c>
      <c r="H772" s="1">
        <v>45106</v>
      </c>
      <c r="I772" s="4"/>
      <c r="J772" t="s">
        <v>140</v>
      </c>
      <c r="K772">
        <v>-2759980110</v>
      </c>
      <c r="L772" t="s">
        <v>25</v>
      </c>
      <c r="M772" t="b">
        <v>1</v>
      </c>
    </row>
    <row r="773" spans="1:14" x14ac:dyDescent="0.25">
      <c r="A773" t="s">
        <v>1666</v>
      </c>
      <c r="B773" t="s">
        <v>75</v>
      </c>
      <c r="C773" t="s">
        <v>28</v>
      </c>
      <c r="D773">
        <v>40</v>
      </c>
      <c r="E773" s="4" t="s">
        <v>2145</v>
      </c>
      <c r="F773" s="4" t="s">
        <v>2140</v>
      </c>
      <c r="G773" t="s">
        <v>30</v>
      </c>
      <c r="H773" s="1">
        <v>45638</v>
      </c>
      <c r="I773" s="4">
        <v>84542.68</v>
      </c>
      <c r="J773" t="s">
        <v>375</v>
      </c>
      <c r="K773">
        <v>-5155322</v>
      </c>
      <c r="L773" t="s">
        <v>33</v>
      </c>
      <c r="M773" t="b">
        <v>1</v>
      </c>
      <c r="N773">
        <v>4227.134</v>
      </c>
    </row>
    <row r="774" spans="1:14" x14ac:dyDescent="0.25">
      <c r="A774" t="s">
        <v>1668</v>
      </c>
      <c r="B774" t="s">
        <v>75</v>
      </c>
      <c r="C774" t="s">
        <v>142</v>
      </c>
      <c r="D774">
        <v>40</v>
      </c>
      <c r="E774" s="4" t="s">
        <v>2139</v>
      </c>
      <c r="F774" s="4" t="s">
        <v>2144</v>
      </c>
      <c r="G774" t="s">
        <v>16</v>
      </c>
      <c r="H774" s="1">
        <v>45062</v>
      </c>
      <c r="I774" s="4">
        <v>92007.15</v>
      </c>
      <c r="J774" t="s">
        <v>436</v>
      </c>
      <c r="K774">
        <v>-4159597751</v>
      </c>
      <c r="L774" t="s">
        <v>19</v>
      </c>
      <c r="M774" t="b">
        <v>1</v>
      </c>
      <c r="N774">
        <v>1840.143</v>
      </c>
    </row>
    <row r="775" spans="1:14" x14ac:dyDescent="0.25">
      <c r="A775" t="s">
        <v>1670</v>
      </c>
      <c r="B775" t="s">
        <v>35</v>
      </c>
      <c r="C775" t="s">
        <v>21</v>
      </c>
      <c r="E775" s="4" t="s">
        <v>2137</v>
      </c>
      <c r="F775" s="4" t="s">
        <v>2148</v>
      </c>
      <c r="G775" t="s">
        <v>16</v>
      </c>
      <c r="H775" s="1">
        <v>43931</v>
      </c>
      <c r="I775" s="4">
        <v>62938.8</v>
      </c>
      <c r="J775" t="s">
        <v>183</v>
      </c>
      <c r="K775">
        <v>-4418222617</v>
      </c>
      <c r="L775" t="s">
        <v>19</v>
      </c>
      <c r="M775" t="b">
        <v>0</v>
      </c>
      <c r="N775">
        <v>1258.7760000000001</v>
      </c>
    </row>
    <row r="776" spans="1:14" x14ac:dyDescent="0.25">
      <c r="A776" t="s">
        <v>1672</v>
      </c>
      <c r="B776" t="s">
        <v>40</v>
      </c>
      <c r="C776" t="s">
        <v>62</v>
      </c>
      <c r="D776">
        <v>25</v>
      </c>
      <c r="E776" s="4" t="s">
        <v>2141</v>
      </c>
      <c r="F776" s="4" t="s">
        <v>2140</v>
      </c>
      <c r="G776" t="s">
        <v>30</v>
      </c>
      <c r="H776" s="1">
        <v>45014</v>
      </c>
      <c r="I776" s="4">
        <v>108661.01</v>
      </c>
      <c r="J776" t="s">
        <v>316</v>
      </c>
      <c r="K776">
        <v>-9628874311</v>
      </c>
      <c r="L776" t="s">
        <v>45</v>
      </c>
      <c r="M776" t="b">
        <v>0</v>
      </c>
      <c r="N776">
        <v>0</v>
      </c>
    </row>
    <row r="777" spans="1:14" x14ac:dyDescent="0.25">
      <c r="A777" t="s">
        <v>1674</v>
      </c>
      <c r="B777" t="s">
        <v>13</v>
      </c>
      <c r="C777" t="s">
        <v>28</v>
      </c>
      <c r="D777">
        <v>25</v>
      </c>
      <c r="E777" s="4" t="s">
        <v>2143</v>
      </c>
      <c r="F777" s="4" t="s">
        <v>2144</v>
      </c>
      <c r="G777" t="s">
        <v>16</v>
      </c>
      <c r="H777" s="1">
        <v>44161</v>
      </c>
      <c r="I777" s="4">
        <v>97046.33</v>
      </c>
      <c r="J777" t="s">
        <v>56</v>
      </c>
      <c r="K777">
        <v>-7102676719</v>
      </c>
      <c r="L777" t="s">
        <v>33</v>
      </c>
      <c r="M777" t="b">
        <v>0</v>
      </c>
      <c r="N777">
        <v>4852.3164999999999</v>
      </c>
    </row>
    <row r="778" spans="1:14" x14ac:dyDescent="0.25">
      <c r="A778" t="s">
        <v>1676</v>
      </c>
      <c r="B778" t="s">
        <v>61</v>
      </c>
      <c r="C778" t="s">
        <v>142</v>
      </c>
      <c r="D778">
        <v>40</v>
      </c>
      <c r="E778" s="4" t="s">
        <v>2137</v>
      </c>
      <c r="F778" s="4" t="s">
        <v>2148</v>
      </c>
      <c r="G778" t="s">
        <v>36</v>
      </c>
      <c r="H778" s="1">
        <v>43904</v>
      </c>
      <c r="I778" s="4">
        <v>56518.84</v>
      </c>
      <c r="J778" t="s">
        <v>231</v>
      </c>
      <c r="K778">
        <v>-9579927078</v>
      </c>
      <c r="L778" t="s">
        <v>19</v>
      </c>
      <c r="M778" t="b">
        <v>0</v>
      </c>
      <c r="N778">
        <v>1130.3768</v>
      </c>
    </row>
    <row r="779" spans="1:14" x14ac:dyDescent="0.25">
      <c r="A779" t="s">
        <v>1678</v>
      </c>
      <c r="B779" t="s">
        <v>40</v>
      </c>
      <c r="C779" t="s">
        <v>47</v>
      </c>
      <c r="D779">
        <v>40</v>
      </c>
      <c r="E779" s="4" t="s">
        <v>2143</v>
      </c>
      <c r="F779" s="4" t="s">
        <v>2144</v>
      </c>
      <c r="G779" t="s">
        <v>30</v>
      </c>
      <c r="H779" s="1">
        <v>43963</v>
      </c>
      <c r="I779" s="4">
        <v>70498.289999999994</v>
      </c>
      <c r="J779" t="s">
        <v>214</v>
      </c>
      <c r="K779">
        <v>-5515122945</v>
      </c>
      <c r="L779" t="s">
        <v>33</v>
      </c>
      <c r="M779" t="b">
        <v>1</v>
      </c>
      <c r="N779">
        <v>3524.9144999999999</v>
      </c>
    </row>
    <row r="780" spans="1:14" x14ac:dyDescent="0.25">
      <c r="A780" t="s">
        <v>1680</v>
      </c>
      <c r="B780" t="s">
        <v>35</v>
      </c>
      <c r="C780" t="s">
        <v>47</v>
      </c>
      <c r="D780">
        <v>35</v>
      </c>
      <c r="E780" s="4" t="s">
        <v>2145</v>
      </c>
      <c r="F780" s="4" t="s">
        <v>2144</v>
      </c>
      <c r="G780" t="s">
        <v>30</v>
      </c>
      <c r="H780" s="1">
        <v>44260</v>
      </c>
      <c r="I780" s="4">
        <v>98708.06</v>
      </c>
      <c r="J780" t="s">
        <v>346</v>
      </c>
      <c r="K780">
        <v>-2135415969</v>
      </c>
      <c r="L780" t="s">
        <v>19</v>
      </c>
      <c r="M780" t="b">
        <v>1</v>
      </c>
      <c r="N780">
        <v>1974.1612</v>
      </c>
    </row>
    <row r="781" spans="1:14" x14ac:dyDescent="0.25">
      <c r="A781" t="s">
        <v>1682</v>
      </c>
      <c r="B781" t="s">
        <v>13</v>
      </c>
      <c r="C781" t="s">
        <v>41</v>
      </c>
      <c r="E781" s="4" t="s">
        <v>2137</v>
      </c>
      <c r="F781" s="4" t="s">
        <v>2142</v>
      </c>
      <c r="G781" t="s">
        <v>30</v>
      </c>
      <c r="H781" s="1">
        <v>44010</v>
      </c>
      <c r="I781" s="4">
        <v>83856.41</v>
      </c>
      <c r="J781" t="s">
        <v>170</v>
      </c>
      <c r="K781">
        <v>-9962543847</v>
      </c>
      <c r="L781" t="s">
        <v>25</v>
      </c>
      <c r="M781" t="b">
        <v>0</v>
      </c>
      <c r="N781">
        <v>8385.6410000000014</v>
      </c>
    </row>
    <row r="782" spans="1:14" x14ac:dyDescent="0.25">
      <c r="A782" t="s">
        <v>1684</v>
      </c>
      <c r="B782" t="s">
        <v>35</v>
      </c>
      <c r="C782" t="s">
        <v>142</v>
      </c>
      <c r="D782">
        <v>40</v>
      </c>
      <c r="E782" s="4" t="s">
        <v>2145</v>
      </c>
      <c r="F782" s="4" t="s">
        <v>2138</v>
      </c>
      <c r="G782" t="s">
        <v>36</v>
      </c>
      <c r="H782" s="1">
        <v>44907</v>
      </c>
      <c r="I782" s="4">
        <v>90259.99</v>
      </c>
      <c r="J782" t="s">
        <v>632</v>
      </c>
      <c r="K782">
        <v>-752034475</v>
      </c>
      <c r="L782" t="s">
        <v>19</v>
      </c>
      <c r="M782" t="b">
        <v>0</v>
      </c>
      <c r="N782">
        <v>1805.1998000000001</v>
      </c>
    </row>
    <row r="783" spans="1:14" x14ac:dyDescent="0.25">
      <c r="A783" t="s">
        <v>1686</v>
      </c>
      <c r="B783" t="s">
        <v>61</v>
      </c>
      <c r="C783" t="s">
        <v>41</v>
      </c>
      <c r="E783" s="4" t="s">
        <v>2145</v>
      </c>
      <c r="F783" s="4" t="s">
        <v>2144</v>
      </c>
      <c r="G783" t="s">
        <v>30</v>
      </c>
      <c r="H783" s="1">
        <v>45324</v>
      </c>
      <c r="I783" s="4">
        <v>94230.03</v>
      </c>
      <c r="J783" t="s">
        <v>104</v>
      </c>
      <c r="K783">
        <v>-5047158028</v>
      </c>
      <c r="L783" t="s">
        <v>25</v>
      </c>
      <c r="M783" t="b">
        <v>1</v>
      </c>
      <c r="N783">
        <v>9423.0030000000006</v>
      </c>
    </row>
    <row r="784" spans="1:14" x14ac:dyDescent="0.25">
      <c r="A784" t="s">
        <v>1688</v>
      </c>
      <c r="B784" t="s">
        <v>61</v>
      </c>
      <c r="C784" t="s">
        <v>47</v>
      </c>
      <c r="E784" s="4" t="s">
        <v>2141</v>
      </c>
      <c r="F784" s="4" t="s">
        <v>2142</v>
      </c>
      <c r="G784" t="s">
        <v>36</v>
      </c>
      <c r="H784" s="1">
        <v>44227</v>
      </c>
      <c r="I784" s="4">
        <v>50110.66</v>
      </c>
      <c r="J784" t="s">
        <v>100</v>
      </c>
      <c r="K784">
        <v>-904637659</v>
      </c>
      <c r="L784" t="s">
        <v>19</v>
      </c>
      <c r="M784" t="b">
        <v>1</v>
      </c>
      <c r="N784">
        <v>1002.2132000000001</v>
      </c>
    </row>
    <row r="785" spans="1:14" x14ac:dyDescent="0.25">
      <c r="A785" t="s">
        <v>1690</v>
      </c>
      <c r="B785" t="s">
        <v>13</v>
      </c>
      <c r="C785" t="s">
        <v>21</v>
      </c>
      <c r="D785">
        <v>30</v>
      </c>
      <c r="E785" s="4" t="s">
        <v>2145</v>
      </c>
      <c r="F785" s="4" t="s">
        <v>2144</v>
      </c>
      <c r="G785" t="s">
        <v>36</v>
      </c>
      <c r="H785" s="1">
        <v>43924</v>
      </c>
      <c r="I785" s="4">
        <v>73365.460000000006</v>
      </c>
      <c r="J785" t="s">
        <v>24</v>
      </c>
      <c r="K785">
        <v>-4655866524</v>
      </c>
      <c r="L785" t="s">
        <v>45</v>
      </c>
      <c r="M785" t="b">
        <v>0</v>
      </c>
      <c r="N785">
        <v>0</v>
      </c>
    </row>
    <row r="786" spans="1:14" x14ac:dyDescent="0.25">
      <c r="A786" t="s">
        <v>1692</v>
      </c>
      <c r="B786" t="s">
        <v>67</v>
      </c>
      <c r="C786" t="s">
        <v>62</v>
      </c>
      <c r="D786">
        <v>25</v>
      </c>
      <c r="E786" s="4" t="s">
        <v>2137</v>
      </c>
      <c r="F786" s="4" t="s">
        <v>2146</v>
      </c>
      <c r="G786" t="s">
        <v>30</v>
      </c>
      <c r="H786" s="1">
        <v>44407</v>
      </c>
      <c r="I786" s="4">
        <v>67809.23</v>
      </c>
      <c r="J786" t="s">
        <v>257</v>
      </c>
      <c r="K786">
        <v>-4837441714</v>
      </c>
      <c r="L786" t="s">
        <v>25</v>
      </c>
      <c r="M786" t="b">
        <v>0</v>
      </c>
      <c r="N786">
        <v>6780.9229999999998</v>
      </c>
    </row>
    <row r="787" spans="1:14" x14ac:dyDescent="0.25">
      <c r="A787" t="s">
        <v>1694</v>
      </c>
      <c r="B787" t="s">
        <v>35</v>
      </c>
      <c r="C787" t="s">
        <v>142</v>
      </c>
      <c r="E787" s="4" t="s">
        <v>2145</v>
      </c>
      <c r="F787" s="4" t="s">
        <v>2138</v>
      </c>
      <c r="G787" t="s">
        <v>16</v>
      </c>
      <c r="H787" s="1">
        <v>44064</v>
      </c>
      <c r="I787" s="4">
        <v>98008.51</v>
      </c>
      <c r="J787" t="s">
        <v>632</v>
      </c>
      <c r="K787">
        <v>-8102131250</v>
      </c>
      <c r="L787" t="s">
        <v>19</v>
      </c>
      <c r="M787" t="b">
        <v>0</v>
      </c>
      <c r="N787">
        <v>1960.1702</v>
      </c>
    </row>
    <row r="788" spans="1:14" x14ac:dyDescent="0.25">
      <c r="A788" t="s">
        <v>1696</v>
      </c>
      <c r="B788" t="s">
        <v>27</v>
      </c>
      <c r="C788" t="s">
        <v>14</v>
      </c>
      <c r="D788">
        <v>30</v>
      </c>
      <c r="E788" s="4" t="s">
        <v>2141</v>
      </c>
      <c r="F788" s="4" t="s">
        <v>2138</v>
      </c>
      <c r="G788" t="s">
        <v>36</v>
      </c>
      <c r="H788" s="1">
        <v>45208</v>
      </c>
      <c r="I788" s="4">
        <v>83537.58</v>
      </c>
      <c r="J788" t="s">
        <v>191</v>
      </c>
      <c r="K788">
        <v>-2931100590</v>
      </c>
      <c r="L788" t="s">
        <v>45</v>
      </c>
      <c r="M788" t="b">
        <v>0</v>
      </c>
      <c r="N788">
        <v>0</v>
      </c>
    </row>
    <row r="789" spans="1:14" x14ac:dyDescent="0.25">
      <c r="A789" t="s">
        <v>1698</v>
      </c>
      <c r="B789" t="s">
        <v>27</v>
      </c>
      <c r="C789" t="s">
        <v>47</v>
      </c>
      <c r="D789">
        <v>30</v>
      </c>
      <c r="E789" s="4" t="s">
        <v>2139</v>
      </c>
      <c r="F789" s="4" t="s">
        <v>2146</v>
      </c>
      <c r="G789" t="s">
        <v>30</v>
      </c>
      <c r="H789" s="1">
        <v>44774</v>
      </c>
      <c r="I789" s="4">
        <v>112444.08</v>
      </c>
      <c r="J789" t="s">
        <v>50</v>
      </c>
      <c r="K789">
        <v>-2975191022</v>
      </c>
      <c r="L789" t="s">
        <v>25</v>
      </c>
      <c r="M789" t="b">
        <v>1</v>
      </c>
      <c r="N789">
        <v>11244.408000000001</v>
      </c>
    </row>
    <row r="790" spans="1:14" x14ac:dyDescent="0.25">
      <c r="A790" t="s">
        <v>1700</v>
      </c>
      <c r="B790" t="s">
        <v>40</v>
      </c>
      <c r="C790" t="s">
        <v>47</v>
      </c>
      <c r="D790">
        <v>40</v>
      </c>
      <c r="E790" s="4" t="s">
        <v>2139</v>
      </c>
      <c r="F790" s="4" t="s">
        <v>2142</v>
      </c>
      <c r="G790" t="s">
        <v>16</v>
      </c>
      <c r="H790" s="1">
        <v>45541</v>
      </c>
      <c r="I790" s="4">
        <v>86475.13</v>
      </c>
      <c r="J790" t="s">
        <v>214</v>
      </c>
      <c r="K790">
        <v>-1211063300</v>
      </c>
      <c r="L790" t="s">
        <v>45</v>
      </c>
      <c r="M790" t="b">
        <v>1</v>
      </c>
      <c r="N790">
        <v>0</v>
      </c>
    </row>
    <row r="791" spans="1:14" x14ac:dyDescent="0.25">
      <c r="A791" t="s">
        <v>1702</v>
      </c>
      <c r="B791" t="s">
        <v>40</v>
      </c>
      <c r="C791" t="s">
        <v>14</v>
      </c>
      <c r="E791" s="4" t="s">
        <v>2145</v>
      </c>
      <c r="F791" s="4" t="s">
        <v>2140</v>
      </c>
      <c r="G791" t="s">
        <v>16</v>
      </c>
      <c r="H791" s="1">
        <v>45013</v>
      </c>
      <c r="I791" s="4">
        <v>97984.53</v>
      </c>
      <c r="J791" t="s">
        <v>59</v>
      </c>
      <c r="K791">
        <v>-6583737926</v>
      </c>
      <c r="L791" t="s">
        <v>33</v>
      </c>
      <c r="M791" t="b">
        <v>1</v>
      </c>
      <c r="N791">
        <v>4899.2264999999998</v>
      </c>
    </row>
    <row r="792" spans="1:14" x14ac:dyDescent="0.25">
      <c r="A792" t="s">
        <v>1704</v>
      </c>
      <c r="B792" t="s">
        <v>40</v>
      </c>
      <c r="C792" t="s">
        <v>106</v>
      </c>
      <c r="D792">
        <v>25</v>
      </c>
      <c r="E792" s="4" t="s">
        <v>2141</v>
      </c>
      <c r="F792" s="4" t="s">
        <v>2138</v>
      </c>
      <c r="G792" t="s">
        <v>16</v>
      </c>
      <c r="H792" s="1">
        <v>44525</v>
      </c>
      <c r="I792" s="4">
        <v>118853.31</v>
      </c>
      <c r="J792" t="s">
        <v>128</v>
      </c>
      <c r="K792">
        <v>-4907280122</v>
      </c>
      <c r="L792" t="s">
        <v>33</v>
      </c>
      <c r="M792" t="b">
        <v>0</v>
      </c>
      <c r="N792">
        <v>5942.6655000000001</v>
      </c>
    </row>
    <row r="793" spans="1:14" x14ac:dyDescent="0.25">
      <c r="A793" t="s">
        <v>1706</v>
      </c>
      <c r="B793" t="s">
        <v>61</v>
      </c>
      <c r="C793" t="s">
        <v>47</v>
      </c>
      <c r="E793" s="4" t="s">
        <v>2145</v>
      </c>
      <c r="F793" s="4" t="s">
        <v>2144</v>
      </c>
      <c r="G793" t="s">
        <v>16</v>
      </c>
      <c r="H793" s="1">
        <v>45049</v>
      </c>
      <c r="I793" s="4">
        <v>58179.12</v>
      </c>
      <c r="J793" t="s">
        <v>100</v>
      </c>
      <c r="K793">
        <v>-4289311324</v>
      </c>
      <c r="L793" t="s">
        <v>25</v>
      </c>
      <c r="M793" t="b">
        <v>0</v>
      </c>
      <c r="N793">
        <v>5817.9120000000003</v>
      </c>
    </row>
    <row r="794" spans="1:14" x14ac:dyDescent="0.25">
      <c r="A794" t="s">
        <v>1708</v>
      </c>
      <c r="B794" t="s">
        <v>35</v>
      </c>
      <c r="C794" t="s">
        <v>28</v>
      </c>
      <c r="D794">
        <v>35</v>
      </c>
      <c r="E794" s="4" t="s">
        <v>2137</v>
      </c>
      <c r="F794" s="4" t="s">
        <v>2140</v>
      </c>
      <c r="G794" t="s">
        <v>36</v>
      </c>
      <c r="H794" s="1">
        <v>44678</v>
      </c>
      <c r="I794" s="4">
        <v>56075.839999999997</v>
      </c>
      <c r="J794" t="s">
        <v>323</v>
      </c>
      <c r="K794">
        <v>-3269496842</v>
      </c>
      <c r="L794" t="s">
        <v>19</v>
      </c>
      <c r="M794" t="b">
        <v>1</v>
      </c>
      <c r="N794">
        <v>1121.5167999999999</v>
      </c>
    </row>
    <row r="795" spans="1:14" x14ac:dyDescent="0.25">
      <c r="A795" t="s">
        <v>1710</v>
      </c>
      <c r="B795" t="s">
        <v>40</v>
      </c>
      <c r="C795" t="s">
        <v>21</v>
      </c>
      <c r="D795">
        <v>40</v>
      </c>
      <c r="E795" s="4" t="s">
        <v>2147</v>
      </c>
      <c r="F795" s="4" t="s">
        <v>2146</v>
      </c>
      <c r="G795" t="s">
        <v>30</v>
      </c>
      <c r="H795" s="1">
        <v>44450</v>
      </c>
      <c r="I795" s="4">
        <v>62250.89</v>
      </c>
      <c r="J795" t="s">
        <v>280</v>
      </c>
      <c r="K795">
        <v>-6453804420</v>
      </c>
      <c r="L795" t="s">
        <v>25</v>
      </c>
      <c r="M795" t="b">
        <v>1</v>
      </c>
      <c r="N795">
        <v>6225.0889999999999</v>
      </c>
    </row>
    <row r="796" spans="1:14" x14ac:dyDescent="0.25">
      <c r="A796" t="s">
        <v>1712</v>
      </c>
      <c r="B796" t="s">
        <v>27</v>
      </c>
      <c r="C796" t="s">
        <v>142</v>
      </c>
      <c r="D796">
        <v>30</v>
      </c>
      <c r="E796" s="4" t="s">
        <v>2143</v>
      </c>
      <c r="F796" s="4" t="s">
        <v>2144</v>
      </c>
      <c r="G796" t="s">
        <v>30</v>
      </c>
      <c r="H796" s="1">
        <v>43882</v>
      </c>
      <c r="I796" s="4">
        <v>105931.77</v>
      </c>
      <c r="J796" t="s">
        <v>217</v>
      </c>
      <c r="K796">
        <v>-175096169</v>
      </c>
      <c r="L796" t="s">
        <v>45</v>
      </c>
      <c r="M796" t="b">
        <v>1</v>
      </c>
      <c r="N796">
        <v>0</v>
      </c>
    </row>
    <row r="797" spans="1:14" x14ac:dyDescent="0.25">
      <c r="A797" t="s">
        <v>1714</v>
      </c>
      <c r="B797" t="s">
        <v>61</v>
      </c>
      <c r="C797" t="s">
        <v>14</v>
      </c>
      <c r="D797">
        <v>30</v>
      </c>
      <c r="E797" s="4" t="s">
        <v>2147</v>
      </c>
      <c r="F797" s="4" t="s">
        <v>2144</v>
      </c>
      <c r="G797" t="s">
        <v>30</v>
      </c>
      <c r="H797" s="1">
        <v>45620</v>
      </c>
      <c r="I797" s="4">
        <v>86653.96</v>
      </c>
      <c r="J797" t="s">
        <v>200</v>
      </c>
      <c r="K797">
        <v>-1595919456</v>
      </c>
      <c r="L797" t="s">
        <v>19</v>
      </c>
      <c r="M797" t="b">
        <v>1</v>
      </c>
      <c r="N797">
        <v>1733.0792000000001</v>
      </c>
    </row>
    <row r="798" spans="1:14" x14ac:dyDescent="0.25">
      <c r="A798" t="s">
        <v>1716</v>
      </c>
      <c r="B798" t="s">
        <v>61</v>
      </c>
      <c r="C798" t="s">
        <v>28</v>
      </c>
      <c r="D798">
        <v>25</v>
      </c>
      <c r="E798" s="4" t="s">
        <v>2145</v>
      </c>
      <c r="F798" s="4" t="s">
        <v>2142</v>
      </c>
      <c r="G798" t="s">
        <v>16</v>
      </c>
      <c r="H798" s="1">
        <v>44251</v>
      </c>
      <c r="I798" s="4">
        <v>100719.94</v>
      </c>
      <c r="J798" t="s">
        <v>140</v>
      </c>
      <c r="K798">
        <v>-5757475832</v>
      </c>
      <c r="L798" t="s">
        <v>33</v>
      </c>
      <c r="M798" t="b">
        <v>0</v>
      </c>
      <c r="N798">
        <v>5035.9970000000003</v>
      </c>
    </row>
    <row r="799" spans="1:14" x14ac:dyDescent="0.25">
      <c r="A799" t="s">
        <v>1718</v>
      </c>
      <c r="B799" t="s">
        <v>13</v>
      </c>
      <c r="C799" t="s">
        <v>14</v>
      </c>
      <c r="D799">
        <v>25</v>
      </c>
      <c r="E799" s="4" t="s">
        <v>2147</v>
      </c>
      <c r="F799" s="4" t="s">
        <v>2140</v>
      </c>
      <c r="G799" t="s">
        <v>30</v>
      </c>
      <c r="H799" s="1">
        <v>45567</v>
      </c>
      <c r="I799" s="4">
        <v>91600.13</v>
      </c>
      <c r="J799" t="s">
        <v>18</v>
      </c>
      <c r="K799">
        <v>-9205677566</v>
      </c>
      <c r="L799" t="s">
        <v>19</v>
      </c>
      <c r="M799" t="b">
        <v>1</v>
      </c>
      <c r="N799">
        <v>1832.0026</v>
      </c>
    </row>
    <row r="800" spans="1:14" x14ac:dyDescent="0.25">
      <c r="A800" t="s">
        <v>1720</v>
      </c>
      <c r="B800" t="s">
        <v>75</v>
      </c>
      <c r="C800" t="s">
        <v>142</v>
      </c>
      <c r="D800">
        <v>25</v>
      </c>
      <c r="E800" s="4" t="s">
        <v>2143</v>
      </c>
      <c r="F800" s="4" t="s">
        <v>2148</v>
      </c>
      <c r="G800" t="s">
        <v>30</v>
      </c>
      <c r="H800" s="1">
        <v>45357</v>
      </c>
      <c r="I800" s="4">
        <v>71873.66</v>
      </c>
      <c r="J800" t="s">
        <v>436</v>
      </c>
      <c r="K800">
        <v>-7722660255</v>
      </c>
      <c r="L800" t="s">
        <v>33</v>
      </c>
      <c r="M800" t="b">
        <v>1</v>
      </c>
      <c r="N800">
        <v>3593.6830000000004</v>
      </c>
    </row>
    <row r="801" spans="1:14" x14ac:dyDescent="0.25">
      <c r="A801" t="s">
        <v>1722</v>
      </c>
      <c r="B801" t="s">
        <v>35</v>
      </c>
      <c r="C801" t="s">
        <v>41</v>
      </c>
      <c r="D801">
        <v>30</v>
      </c>
      <c r="E801" s="4" t="s">
        <v>2147</v>
      </c>
      <c r="F801" s="4" t="s">
        <v>2146</v>
      </c>
      <c r="G801" t="s">
        <v>16</v>
      </c>
      <c r="H801" s="1">
        <v>44417</v>
      </c>
      <c r="I801" s="4">
        <v>69365.47</v>
      </c>
      <c r="J801" t="s">
        <v>167</v>
      </c>
      <c r="K801">
        <v>-2650622922</v>
      </c>
      <c r="L801" t="s">
        <v>19</v>
      </c>
      <c r="M801" t="b">
        <v>1</v>
      </c>
      <c r="N801">
        <v>1387.3094000000001</v>
      </c>
    </row>
    <row r="802" spans="1:14" x14ac:dyDescent="0.25">
      <c r="A802" t="s">
        <v>1724</v>
      </c>
      <c r="B802" t="s">
        <v>75</v>
      </c>
      <c r="C802" t="s">
        <v>142</v>
      </c>
      <c r="D802">
        <v>25</v>
      </c>
      <c r="E802" s="4" t="s">
        <v>2147</v>
      </c>
      <c r="F802" s="4" t="s">
        <v>2146</v>
      </c>
      <c r="G802" t="s">
        <v>16</v>
      </c>
      <c r="H802" s="1">
        <v>44391</v>
      </c>
      <c r="I802" s="4">
        <v>58012.23</v>
      </c>
      <c r="J802" t="s">
        <v>436</v>
      </c>
      <c r="K802">
        <v>-1067245306</v>
      </c>
      <c r="L802" t="s">
        <v>19</v>
      </c>
      <c r="M802" t="b">
        <v>1</v>
      </c>
      <c r="N802">
        <v>1160.2446</v>
      </c>
    </row>
    <row r="803" spans="1:14" x14ac:dyDescent="0.25">
      <c r="A803" t="s">
        <v>1726</v>
      </c>
      <c r="B803" t="s">
        <v>13</v>
      </c>
      <c r="C803" t="s">
        <v>106</v>
      </c>
      <c r="D803">
        <v>30</v>
      </c>
      <c r="E803" s="4" t="s">
        <v>2145</v>
      </c>
      <c r="F803" s="4" t="s">
        <v>2138</v>
      </c>
      <c r="G803" t="s">
        <v>30</v>
      </c>
      <c r="H803" s="1">
        <v>44483</v>
      </c>
      <c r="I803" s="4">
        <v>68973.649999999994</v>
      </c>
      <c r="J803" t="s">
        <v>108</v>
      </c>
      <c r="K803">
        <v>-6248433796</v>
      </c>
      <c r="L803" t="s">
        <v>19</v>
      </c>
      <c r="M803" t="b">
        <v>1</v>
      </c>
      <c r="N803">
        <v>1379.473</v>
      </c>
    </row>
    <row r="804" spans="1:14" x14ac:dyDescent="0.25">
      <c r="A804" t="s">
        <v>1728</v>
      </c>
      <c r="B804" t="s">
        <v>35</v>
      </c>
      <c r="C804" t="s">
        <v>142</v>
      </c>
      <c r="E804" s="4" t="s">
        <v>2141</v>
      </c>
      <c r="F804" s="4" t="s">
        <v>2146</v>
      </c>
      <c r="G804" t="s">
        <v>16</v>
      </c>
      <c r="H804" s="1">
        <v>44468</v>
      </c>
      <c r="I804" s="4">
        <v>92928.4</v>
      </c>
      <c r="J804" t="s">
        <v>632</v>
      </c>
      <c r="K804">
        <v>-6627051156</v>
      </c>
      <c r="L804" t="s">
        <v>45</v>
      </c>
      <c r="M804" t="b">
        <v>1</v>
      </c>
      <c r="N804">
        <v>0</v>
      </c>
    </row>
    <row r="805" spans="1:14" x14ac:dyDescent="0.25">
      <c r="A805" t="s">
        <v>1730</v>
      </c>
      <c r="B805" t="s">
        <v>75</v>
      </c>
      <c r="C805" t="s">
        <v>142</v>
      </c>
      <c r="D805">
        <v>25</v>
      </c>
      <c r="E805" s="4" t="s">
        <v>2141</v>
      </c>
      <c r="F805" s="4" t="s">
        <v>2140</v>
      </c>
      <c r="G805" t="s">
        <v>36</v>
      </c>
      <c r="H805" s="1">
        <v>45214</v>
      </c>
      <c r="I805" s="4">
        <v>53531.92</v>
      </c>
      <c r="J805" t="s">
        <v>436</v>
      </c>
      <c r="K805">
        <v>-9423873669</v>
      </c>
      <c r="L805" t="s">
        <v>45</v>
      </c>
      <c r="M805" t="b">
        <v>1</v>
      </c>
      <c r="N805">
        <v>0</v>
      </c>
    </row>
    <row r="806" spans="1:14" x14ac:dyDescent="0.25">
      <c r="A806" t="s">
        <v>1732</v>
      </c>
      <c r="B806" t="s">
        <v>13</v>
      </c>
      <c r="C806" t="s">
        <v>106</v>
      </c>
      <c r="D806">
        <v>40</v>
      </c>
      <c r="E806" s="4" t="s">
        <v>2139</v>
      </c>
      <c r="F806" s="4" t="s">
        <v>2146</v>
      </c>
      <c r="G806" t="s">
        <v>30</v>
      </c>
      <c r="H806" s="1">
        <v>45051</v>
      </c>
      <c r="I806" s="4">
        <v>112389.31</v>
      </c>
      <c r="J806" t="s">
        <v>108</v>
      </c>
      <c r="K806">
        <v>-4254969191</v>
      </c>
      <c r="L806" t="s">
        <v>25</v>
      </c>
      <c r="M806" t="b">
        <v>0</v>
      </c>
      <c r="N806">
        <v>11238.931</v>
      </c>
    </row>
    <row r="807" spans="1:14" x14ac:dyDescent="0.25">
      <c r="A807" t="s">
        <v>1734</v>
      </c>
      <c r="B807" t="s">
        <v>75</v>
      </c>
      <c r="C807" t="s">
        <v>21</v>
      </c>
      <c r="E807" s="4" t="s">
        <v>2147</v>
      </c>
      <c r="F807" s="4" t="s">
        <v>2138</v>
      </c>
      <c r="G807" t="s">
        <v>36</v>
      </c>
      <c r="H807" s="1">
        <v>45505</v>
      </c>
      <c r="I807" s="4">
        <v>63870.3</v>
      </c>
      <c r="J807" t="s">
        <v>480</v>
      </c>
      <c r="K807">
        <v>-8455259709</v>
      </c>
      <c r="L807" t="s">
        <v>25</v>
      </c>
      <c r="M807" t="b">
        <v>0</v>
      </c>
      <c r="N807">
        <v>6387.0300000000007</v>
      </c>
    </row>
    <row r="808" spans="1:14" x14ac:dyDescent="0.25">
      <c r="A808" t="s">
        <v>1736</v>
      </c>
      <c r="B808" t="s">
        <v>13</v>
      </c>
      <c r="C808" t="s">
        <v>47</v>
      </c>
      <c r="D808">
        <v>40</v>
      </c>
      <c r="E808" s="4" t="s">
        <v>2145</v>
      </c>
      <c r="F808" s="4" t="s">
        <v>2146</v>
      </c>
      <c r="G808" t="s">
        <v>16</v>
      </c>
      <c r="H808" s="1">
        <v>45495</v>
      </c>
      <c r="I808" s="4">
        <v>106164.53</v>
      </c>
      <c r="J808" t="s">
        <v>180</v>
      </c>
      <c r="K808">
        <v>-7563353573</v>
      </c>
      <c r="L808" t="s">
        <v>33</v>
      </c>
      <c r="M808" t="b">
        <v>0</v>
      </c>
      <c r="N808">
        <v>5308.2265000000007</v>
      </c>
    </row>
    <row r="809" spans="1:14" x14ac:dyDescent="0.25">
      <c r="A809" t="s">
        <v>1738</v>
      </c>
      <c r="B809" t="s">
        <v>13</v>
      </c>
      <c r="C809" t="s">
        <v>142</v>
      </c>
      <c r="D809">
        <v>40</v>
      </c>
      <c r="E809" s="4" t="s">
        <v>2147</v>
      </c>
      <c r="F809" s="4" t="s">
        <v>2142</v>
      </c>
      <c r="G809" t="s">
        <v>30</v>
      </c>
      <c r="H809" s="1">
        <v>45285</v>
      </c>
      <c r="I809" s="4">
        <v>103654.54</v>
      </c>
      <c r="J809" t="s">
        <v>144</v>
      </c>
      <c r="K809">
        <v>-8595325938</v>
      </c>
      <c r="L809" t="s">
        <v>45</v>
      </c>
      <c r="M809" t="b">
        <v>0</v>
      </c>
      <c r="N809">
        <v>0</v>
      </c>
    </row>
    <row r="810" spans="1:14" x14ac:dyDescent="0.25">
      <c r="A810" t="s">
        <v>1740</v>
      </c>
      <c r="B810" t="s">
        <v>67</v>
      </c>
      <c r="C810" t="s">
        <v>106</v>
      </c>
      <c r="D810">
        <v>30</v>
      </c>
      <c r="E810" s="4" t="s">
        <v>2145</v>
      </c>
      <c r="F810" s="4" t="s">
        <v>2138</v>
      </c>
      <c r="G810" t="s">
        <v>36</v>
      </c>
      <c r="H810" s="1">
        <v>44633</v>
      </c>
      <c r="I810" s="4">
        <v>62834.720000000001</v>
      </c>
      <c r="J810" t="s">
        <v>124</v>
      </c>
      <c r="K810">
        <v>-9337970580</v>
      </c>
      <c r="L810" t="s">
        <v>33</v>
      </c>
      <c r="M810" t="b">
        <v>1</v>
      </c>
      <c r="N810">
        <v>3141.7360000000003</v>
      </c>
    </row>
    <row r="811" spans="1:14" x14ac:dyDescent="0.25">
      <c r="A811" t="s">
        <v>1742</v>
      </c>
      <c r="B811" t="s">
        <v>40</v>
      </c>
      <c r="C811" t="s">
        <v>28</v>
      </c>
      <c r="D811">
        <v>35</v>
      </c>
      <c r="E811" s="4" t="s">
        <v>2139</v>
      </c>
      <c r="F811" s="4" t="s">
        <v>2144</v>
      </c>
      <c r="G811" t="s">
        <v>16</v>
      </c>
      <c r="H811" s="1">
        <v>43964</v>
      </c>
      <c r="I811" s="4">
        <v>83273.41</v>
      </c>
      <c r="J811" t="s">
        <v>53</v>
      </c>
      <c r="K811">
        <v>-6295187793</v>
      </c>
      <c r="L811" t="s">
        <v>25</v>
      </c>
      <c r="M811" t="b">
        <v>0</v>
      </c>
      <c r="N811">
        <v>8327.3410000000003</v>
      </c>
    </row>
    <row r="812" spans="1:14" x14ac:dyDescent="0.25">
      <c r="A812" t="s">
        <v>1744</v>
      </c>
      <c r="B812" t="s">
        <v>75</v>
      </c>
      <c r="C812" t="s">
        <v>41</v>
      </c>
      <c r="D812">
        <v>30</v>
      </c>
      <c r="E812" s="4" t="s">
        <v>2147</v>
      </c>
      <c r="F812" s="4" t="s">
        <v>2138</v>
      </c>
      <c r="G812" t="s">
        <v>30</v>
      </c>
      <c r="H812" s="1">
        <v>45007</v>
      </c>
      <c r="I812" s="4">
        <v>58917.58</v>
      </c>
      <c r="J812" t="s">
        <v>78</v>
      </c>
      <c r="K812">
        <v>-1763425072</v>
      </c>
      <c r="L812" t="s">
        <v>33</v>
      </c>
      <c r="M812" t="b">
        <v>0</v>
      </c>
      <c r="N812">
        <v>2945.8790000000004</v>
      </c>
    </row>
    <row r="813" spans="1:14" x14ac:dyDescent="0.25">
      <c r="A813" t="s">
        <v>1746</v>
      </c>
      <c r="B813" t="s">
        <v>13</v>
      </c>
      <c r="C813" t="s">
        <v>41</v>
      </c>
      <c r="D813">
        <v>35</v>
      </c>
      <c r="E813" s="4" t="s">
        <v>2145</v>
      </c>
      <c r="F813" s="4" t="s">
        <v>2142</v>
      </c>
      <c r="G813" t="s">
        <v>16</v>
      </c>
      <c r="H813" s="1">
        <v>45453</v>
      </c>
      <c r="I813" s="4">
        <v>71148.27</v>
      </c>
      <c r="J813" t="s">
        <v>170</v>
      </c>
      <c r="K813">
        <v>-3055978244</v>
      </c>
      <c r="L813" t="s">
        <v>25</v>
      </c>
      <c r="M813" t="b">
        <v>1</v>
      </c>
      <c r="N813">
        <v>7114.8270000000011</v>
      </c>
    </row>
    <row r="814" spans="1:14" x14ac:dyDescent="0.25">
      <c r="A814" t="s">
        <v>1748</v>
      </c>
      <c r="B814" t="s">
        <v>80</v>
      </c>
      <c r="C814" t="s">
        <v>142</v>
      </c>
      <c r="D814">
        <v>30</v>
      </c>
      <c r="E814" s="4" t="s">
        <v>2145</v>
      </c>
      <c r="F814" s="4" t="s">
        <v>2146</v>
      </c>
      <c r="G814" t="s">
        <v>30</v>
      </c>
      <c r="H814" s="1">
        <v>44156</v>
      </c>
      <c r="I814" s="4">
        <v>118172.42</v>
      </c>
      <c r="J814" t="s">
        <v>160</v>
      </c>
      <c r="K814">
        <v>-7598339913</v>
      </c>
      <c r="L814" t="s">
        <v>45</v>
      </c>
      <c r="M814" t="b">
        <v>1</v>
      </c>
      <c r="N814">
        <v>0</v>
      </c>
    </row>
    <row r="815" spans="1:14" x14ac:dyDescent="0.25">
      <c r="A815" t="s">
        <v>1750</v>
      </c>
      <c r="B815" t="s">
        <v>40</v>
      </c>
      <c r="C815" t="s">
        <v>21</v>
      </c>
      <c r="D815">
        <v>30</v>
      </c>
      <c r="E815" s="4" t="s">
        <v>2137</v>
      </c>
      <c r="F815" s="4" t="s">
        <v>2148</v>
      </c>
      <c r="G815" t="s">
        <v>36</v>
      </c>
      <c r="H815" s="1">
        <v>45437</v>
      </c>
      <c r="I815" s="4">
        <v>118614.37</v>
      </c>
      <c r="J815" t="s">
        <v>280</v>
      </c>
      <c r="K815">
        <v>-388436603</v>
      </c>
      <c r="L815" t="s">
        <v>19</v>
      </c>
      <c r="M815" t="b">
        <v>0</v>
      </c>
      <c r="N815">
        <v>2372.2874000000002</v>
      </c>
    </row>
    <row r="816" spans="1:14" x14ac:dyDescent="0.25">
      <c r="A816" t="s">
        <v>1752</v>
      </c>
      <c r="B816" t="s">
        <v>40</v>
      </c>
      <c r="C816" t="s">
        <v>21</v>
      </c>
      <c r="E816" s="4" t="s">
        <v>2137</v>
      </c>
      <c r="F816" s="4" t="s">
        <v>2146</v>
      </c>
      <c r="G816" t="s">
        <v>16</v>
      </c>
      <c r="H816" s="1">
        <v>45188</v>
      </c>
      <c r="I816" s="4">
        <v>96872.36</v>
      </c>
      <c r="J816" t="s">
        <v>280</v>
      </c>
      <c r="K816">
        <v>-4324006156</v>
      </c>
      <c r="L816" t="s">
        <v>45</v>
      </c>
      <c r="M816" t="b">
        <v>0</v>
      </c>
      <c r="N816">
        <v>0</v>
      </c>
    </row>
    <row r="817" spans="1:14" x14ac:dyDescent="0.25">
      <c r="A817" t="s">
        <v>1754</v>
      </c>
      <c r="B817" t="s">
        <v>75</v>
      </c>
      <c r="C817" t="s">
        <v>28</v>
      </c>
      <c r="D817">
        <v>25</v>
      </c>
      <c r="E817" s="4" t="s">
        <v>2145</v>
      </c>
      <c r="F817" s="4" t="s">
        <v>2148</v>
      </c>
      <c r="G817" t="s">
        <v>36</v>
      </c>
      <c r="H817" s="1">
        <v>44497</v>
      </c>
      <c r="I817" s="4">
        <v>88856.14</v>
      </c>
      <c r="J817" t="s">
        <v>375</v>
      </c>
      <c r="K817">
        <v>-2768297513</v>
      </c>
      <c r="L817" t="s">
        <v>33</v>
      </c>
      <c r="M817" t="b">
        <v>1</v>
      </c>
      <c r="N817">
        <v>4442.8069999999998</v>
      </c>
    </row>
    <row r="818" spans="1:14" x14ac:dyDescent="0.25">
      <c r="A818" t="s">
        <v>1756</v>
      </c>
      <c r="B818" t="s">
        <v>61</v>
      </c>
      <c r="C818" t="s">
        <v>142</v>
      </c>
      <c r="D818">
        <v>35</v>
      </c>
      <c r="E818" s="4" t="s">
        <v>2139</v>
      </c>
      <c r="F818" s="4" t="s">
        <v>2140</v>
      </c>
      <c r="G818" t="s">
        <v>30</v>
      </c>
      <c r="H818" s="1">
        <v>44053</v>
      </c>
      <c r="I818" s="4">
        <v>97985.61</v>
      </c>
      <c r="J818" t="s">
        <v>231</v>
      </c>
      <c r="K818">
        <v>-7439742924</v>
      </c>
      <c r="L818" t="s">
        <v>33</v>
      </c>
      <c r="M818" t="b">
        <v>0</v>
      </c>
      <c r="N818">
        <v>4899.2804999999998</v>
      </c>
    </row>
    <row r="819" spans="1:14" x14ac:dyDescent="0.25">
      <c r="A819" t="s">
        <v>1758</v>
      </c>
      <c r="B819" t="s">
        <v>80</v>
      </c>
      <c r="C819" t="s">
        <v>41</v>
      </c>
      <c r="D819">
        <v>35</v>
      </c>
      <c r="E819" s="4" t="s">
        <v>2139</v>
      </c>
      <c r="F819" s="4" t="s">
        <v>2142</v>
      </c>
      <c r="G819" t="s">
        <v>30</v>
      </c>
      <c r="H819" s="1">
        <v>43956</v>
      </c>
      <c r="I819" s="4">
        <v>56337.31</v>
      </c>
      <c r="J819" t="s">
        <v>83</v>
      </c>
      <c r="K819">
        <v>-105875255</v>
      </c>
      <c r="L819" t="s">
        <v>45</v>
      </c>
      <c r="M819" t="b">
        <v>1</v>
      </c>
      <c r="N819">
        <v>0</v>
      </c>
    </row>
    <row r="820" spans="1:14" x14ac:dyDescent="0.25">
      <c r="A820" t="s">
        <v>1760</v>
      </c>
      <c r="B820" t="s">
        <v>27</v>
      </c>
      <c r="C820" t="s">
        <v>21</v>
      </c>
      <c r="D820">
        <v>30</v>
      </c>
      <c r="E820" s="4" t="s">
        <v>2137</v>
      </c>
      <c r="F820" s="4" t="s">
        <v>2146</v>
      </c>
      <c r="G820" t="s">
        <v>36</v>
      </c>
      <c r="H820" s="1">
        <v>44919</v>
      </c>
      <c r="I820" s="4">
        <v>70405.23</v>
      </c>
      <c r="J820" t="s">
        <v>93</v>
      </c>
      <c r="K820">
        <v>-8065625903</v>
      </c>
      <c r="L820" t="s">
        <v>45</v>
      </c>
      <c r="M820" t="b">
        <v>1</v>
      </c>
      <c r="N820">
        <v>0</v>
      </c>
    </row>
    <row r="821" spans="1:14" x14ac:dyDescent="0.25">
      <c r="A821" t="s">
        <v>1762</v>
      </c>
      <c r="B821" t="s">
        <v>75</v>
      </c>
      <c r="C821" t="s">
        <v>142</v>
      </c>
      <c r="D821">
        <v>30</v>
      </c>
      <c r="E821" s="4" t="s">
        <v>2141</v>
      </c>
      <c r="F821" s="4" t="s">
        <v>2142</v>
      </c>
      <c r="G821" t="s">
        <v>36</v>
      </c>
      <c r="H821" s="1">
        <v>44444</v>
      </c>
      <c r="I821" s="4">
        <v>89919.35</v>
      </c>
      <c r="J821" t="s">
        <v>436</v>
      </c>
      <c r="K821">
        <v>-5990802710</v>
      </c>
      <c r="L821" t="s">
        <v>25</v>
      </c>
      <c r="M821" t="b">
        <v>1</v>
      </c>
      <c r="N821">
        <v>8991.9350000000013</v>
      </c>
    </row>
    <row r="822" spans="1:14" x14ac:dyDescent="0.25">
      <c r="A822" t="s">
        <v>1764</v>
      </c>
      <c r="B822" t="s">
        <v>35</v>
      </c>
      <c r="C822" t="s">
        <v>14</v>
      </c>
      <c r="D822">
        <v>40</v>
      </c>
      <c r="E822" s="4" t="s">
        <v>2137</v>
      </c>
      <c r="F822" s="4" t="s">
        <v>2138</v>
      </c>
      <c r="G822" t="s">
        <v>16</v>
      </c>
      <c r="H822" s="1">
        <v>45024</v>
      </c>
      <c r="I822" s="4">
        <v>50568.35</v>
      </c>
      <c r="J822" t="s">
        <v>38</v>
      </c>
      <c r="K822">
        <v>-2218231554</v>
      </c>
      <c r="L822" t="s">
        <v>33</v>
      </c>
      <c r="M822" t="b">
        <v>1</v>
      </c>
      <c r="N822">
        <v>2528.4175</v>
      </c>
    </row>
    <row r="823" spans="1:14" x14ac:dyDescent="0.25">
      <c r="A823" t="s">
        <v>1766</v>
      </c>
      <c r="B823" t="s">
        <v>80</v>
      </c>
      <c r="C823" t="s">
        <v>21</v>
      </c>
      <c r="D823">
        <v>30</v>
      </c>
      <c r="E823" s="4" t="s">
        <v>2147</v>
      </c>
      <c r="F823" s="4" t="s">
        <v>2140</v>
      </c>
      <c r="G823" t="s">
        <v>36</v>
      </c>
      <c r="H823" s="1">
        <v>44955</v>
      </c>
      <c r="I823" s="4"/>
      <c r="J823" t="s">
        <v>240</v>
      </c>
      <c r="K823">
        <v>-1651768085</v>
      </c>
      <c r="L823" t="s">
        <v>33</v>
      </c>
      <c r="M823" t="b">
        <v>0</v>
      </c>
    </row>
    <row r="824" spans="1:14" x14ac:dyDescent="0.25">
      <c r="A824" t="s">
        <v>1767</v>
      </c>
      <c r="B824" t="s">
        <v>40</v>
      </c>
      <c r="C824" t="s">
        <v>106</v>
      </c>
      <c r="D824">
        <v>25</v>
      </c>
      <c r="E824" s="4" t="s">
        <v>2147</v>
      </c>
      <c r="F824" s="4" t="s">
        <v>2140</v>
      </c>
      <c r="G824" t="s">
        <v>16</v>
      </c>
      <c r="H824" s="1">
        <v>44715</v>
      </c>
      <c r="I824" s="4">
        <v>99155.53</v>
      </c>
      <c r="J824" t="s">
        <v>128</v>
      </c>
      <c r="K824">
        <v>-6281372142</v>
      </c>
      <c r="L824" t="s">
        <v>45</v>
      </c>
      <c r="M824" t="b">
        <v>1</v>
      </c>
      <c r="N824">
        <v>0</v>
      </c>
    </row>
    <row r="825" spans="1:14" x14ac:dyDescent="0.25">
      <c r="A825" t="s">
        <v>1769</v>
      </c>
      <c r="B825" t="s">
        <v>40</v>
      </c>
      <c r="C825" t="s">
        <v>14</v>
      </c>
      <c r="D825">
        <v>40</v>
      </c>
      <c r="E825" s="4" t="s">
        <v>2139</v>
      </c>
      <c r="F825" s="4" t="s">
        <v>2144</v>
      </c>
      <c r="G825" t="s">
        <v>36</v>
      </c>
      <c r="H825" s="1">
        <v>44947</v>
      </c>
      <c r="I825" s="4">
        <v>64785.13</v>
      </c>
      <c r="J825" t="s">
        <v>59</v>
      </c>
      <c r="K825">
        <v>-3080037002</v>
      </c>
      <c r="L825" t="s">
        <v>19</v>
      </c>
      <c r="M825" t="b">
        <v>1</v>
      </c>
      <c r="N825">
        <v>1295.7026000000001</v>
      </c>
    </row>
    <row r="826" spans="1:14" x14ac:dyDescent="0.25">
      <c r="A826" t="s">
        <v>1771</v>
      </c>
      <c r="B826" t="s">
        <v>61</v>
      </c>
      <c r="C826" t="s">
        <v>47</v>
      </c>
      <c r="D826">
        <v>30</v>
      </c>
      <c r="E826" s="4" t="s">
        <v>2145</v>
      </c>
      <c r="F826" s="4" t="s">
        <v>2144</v>
      </c>
      <c r="G826" t="s">
        <v>36</v>
      </c>
      <c r="H826" s="1">
        <v>45551</v>
      </c>
      <c r="I826" s="4">
        <v>79206.48</v>
      </c>
      <c r="J826" t="s">
        <v>100</v>
      </c>
      <c r="K826">
        <v>-3228556607</v>
      </c>
      <c r="L826" t="s">
        <v>33</v>
      </c>
      <c r="M826" t="b">
        <v>0</v>
      </c>
      <c r="N826">
        <v>3960.3240000000001</v>
      </c>
    </row>
    <row r="827" spans="1:14" x14ac:dyDescent="0.25">
      <c r="A827" t="s">
        <v>1773</v>
      </c>
      <c r="B827" t="s">
        <v>61</v>
      </c>
      <c r="C827" t="s">
        <v>21</v>
      </c>
      <c r="D827">
        <v>30</v>
      </c>
      <c r="E827" s="4" t="s">
        <v>2143</v>
      </c>
      <c r="F827" s="4" t="s">
        <v>2140</v>
      </c>
      <c r="G827" t="s">
        <v>30</v>
      </c>
      <c r="H827" s="1">
        <v>43863</v>
      </c>
      <c r="I827" s="4">
        <v>60079.71</v>
      </c>
      <c r="J827" t="s">
        <v>147</v>
      </c>
      <c r="K827">
        <v>-4706810389</v>
      </c>
      <c r="L827" t="s">
        <v>19</v>
      </c>
      <c r="M827" t="b">
        <v>1</v>
      </c>
      <c r="N827">
        <v>1201.5942</v>
      </c>
    </row>
    <row r="828" spans="1:14" x14ac:dyDescent="0.25">
      <c r="A828" t="s">
        <v>1775</v>
      </c>
      <c r="B828" t="s">
        <v>80</v>
      </c>
      <c r="C828" t="s">
        <v>41</v>
      </c>
      <c r="D828">
        <v>30</v>
      </c>
      <c r="E828" s="4" t="s">
        <v>2143</v>
      </c>
      <c r="F828" s="4" t="s">
        <v>2146</v>
      </c>
      <c r="G828" t="s">
        <v>30</v>
      </c>
      <c r="H828" s="1">
        <v>45481</v>
      </c>
      <c r="I828" s="4">
        <v>79109.88</v>
      </c>
      <c r="J828" t="s">
        <v>83</v>
      </c>
      <c r="K828">
        <v>-3397051957</v>
      </c>
      <c r="L828" t="s">
        <v>45</v>
      </c>
      <c r="M828" t="b">
        <v>0</v>
      </c>
      <c r="N828">
        <v>0</v>
      </c>
    </row>
    <row r="829" spans="1:14" x14ac:dyDescent="0.25">
      <c r="A829" t="s">
        <v>1777</v>
      </c>
      <c r="B829" t="s">
        <v>80</v>
      </c>
      <c r="C829" t="s">
        <v>62</v>
      </c>
      <c r="E829" s="4" t="s">
        <v>2141</v>
      </c>
      <c r="F829" s="4" t="s">
        <v>2144</v>
      </c>
      <c r="G829" t="s">
        <v>30</v>
      </c>
      <c r="H829" s="1">
        <v>44699</v>
      </c>
      <c r="I829" s="4">
        <v>88643.5</v>
      </c>
      <c r="J829" t="s">
        <v>150</v>
      </c>
      <c r="K829">
        <v>-2632809447</v>
      </c>
      <c r="L829" t="s">
        <v>45</v>
      </c>
      <c r="M829" t="b">
        <v>0</v>
      </c>
      <c r="N829">
        <v>0</v>
      </c>
    </row>
    <row r="830" spans="1:14" x14ac:dyDescent="0.25">
      <c r="A830" t="s">
        <v>1779</v>
      </c>
      <c r="B830" t="s">
        <v>40</v>
      </c>
      <c r="C830" t="s">
        <v>14</v>
      </c>
      <c r="D830">
        <v>30</v>
      </c>
      <c r="E830" s="4" t="s">
        <v>2141</v>
      </c>
      <c r="F830" s="4" t="s">
        <v>2144</v>
      </c>
      <c r="G830" t="s">
        <v>30</v>
      </c>
      <c r="H830" s="1">
        <v>43846</v>
      </c>
      <c r="I830" s="4">
        <v>90455.7</v>
      </c>
      <c r="J830" t="s">
        <v>59</v>
      </c>
      <c r="K830">
        <v>-5862394534</v>
      </c>
      <c r="L830" t="s">
        <v>25</v>
      </c>
      <c r="M830" t="b">
        <v>0</v>
      </c>
      <c r="N830">
        <v>9045.57</v>
      </c>
    </row>
    <row r="831" spans="1:14" x14ac:dyDescent="0.25">
      <c r="A831" t="s">
        <v>1781</v>
      </c>
      <c r="B831" t="s">
        <v>67</v>
      </c>
      <c r="C831" t="s">
        <v>47</v>
      </c>
      <c r="E831" s="4" t="s">
        <v>2147</v>
      </c>
      <c r="F831" s="4" t="s">
        <v>2144</v>
      </c>
      <c r="G831" t="s">
        <v>30</v>
      </c>
      <c r="H831" s="1">
        <v>45011</v>
      </c>
      <c r="I831" s="4">
        <v>75687.899999999994</v>
      </c>
      <c r="J831" t="s">
        <v>118</v>
      </c>
      <c r="K831">
        <v>-4614707985</v>
      </c>
      <c r="L831" t="s">
        <v>33</v>
      </c>
      <c r="M831" t="b">
        <v>1</v>
      </c>
      <c r="N831">
        <v>3784.395</v>
      </c>
    </row>
    <row r="832" spans="1:14" x14ac:dyDescent="0.25">
      <c r="A832" t="s">
        <v>1783</v>
      </c>
      <c r="B832" t="s">
        <v>75</v>
      </c>
      <c r="C832" t="s">
        <v>28</v>
      </c>
      <c r="D832">
        <v>35</v>
      </c>
      <c r="E832" s="4" t="s">
        <v>2143</v>
      </c>
      <c r="F832" s="4" t="s">
        <v>2148</v>
      </c>
      <c r="G832" t="s">
        <v>36</v>
      </c>
      <c r="H832" s="1">
        <v>45245</v>
      </c>
      <c r="I832" s="4">
        <v>55604.42</v>
      </c>
      <c r="J832" t="s">
        <v>375</v>
      </c>
      <c r="K832">
        <v>-3210613393</v>
      </c>
      <c r="L832" t="s">
        <v>19</v>
      </c>
      <c r="M832" t="b">
        <v>0</v>
      </c>
      <c r="N832">
        <v>1112.0884000000001</v>
      </c>
    </row>
    <row r="833" spans="1:14" x14ac:dyDescent="0.25">
      <c r="A833" t="s">
        <v>1785</v>
      </c>
      <c r="B833" t="s">
        <v>35</v>
      </c>
      <c r="C833" t="s">
        <v>28</v>
      </c>
      <c r="D833">
        <v>40</v>
      </c>
      <c r="E833" s="4" t="s">
        <v>2145</v>
      </c>
      <c r="F833" s="4" t="s">
        <v>2140</v>
      </c>
      <c r="G833" t="s">
        <v>30</v>
      </c>
      <c r="H833" s="1">
        <v>45653</v>
      </c>
      <c r="I833" s="4">
        <v>92704.94</v>
      </c>
      <c r="J833" t="s">
        <v>323</v>
      </c>
      <c r="K833">
        <v>-3945703942</v>
      </c>
      <c r="L833" t="s">
        <v>25</v>
      </c>
      <c r="M833" t="b">
        <v>0</v>
      </c>
      <c r="N833">
        <v>9270.4940000000006</v>
      </c>
    </row>
    <row r="834" spans="1:14" x14ac:dyDescent="0.25">
      <c r="A834" t="s">
        <v>1787</v>
      </c>
      <c r="B834" t="s">
        <v>13</v>
      </c>
      <c r="C834" t="s">
        <v>41</v>
      </c>
      <c r="E834" s="4" t="s">
        <v>2145</v>
      </c>
      <c r="F834" s="4" t="s">
        <v>2138</v>
      </c>
      <c r="G834" t="s">
        <v>30</v>
      </c>
      <c r="H834" s="1">
        <v>43939</v>
      </c>
      <c r="I834" s="4">
        <v>113250.97</v>
      </c>
      <c r="J834" t="s">
        <v>170</v>
      </c>
      <c r="K834">
        <v>-8040325375</v>
      </c>
      <c r="L834" t="s">
        <v>33</v>
      </c>
      <c r="M834" t="b">
        <v>1</v>
      </c>
      <c r="N834">
        <v>5662.5485000000008</v>
      </c>
    </row>
    <row r="835" spans="1:14" x14ac:dyDescent="0.25">
      <c r="A835" t="s">
        <v>1789</v>
      </c>
      <c r="B835" t="s">
        <v>27</v>
      </c>
      <c r="C835" t="s">
        <v>21</v>
      </c>
      <c r="D835">
        <v>40</v>
      </c>
      <c r="E835" s="4" t="s">
        <v>2139</v>
      </c>
      <c r="F835" s="4" t="s">
        <v>2148</v>
      </c>
      <c r="G835" t="s">
        <v>36</v>
      </c>
      <c r="H835" s="1">
        <v>45006</v>
      </c>
      <c r="I835" s="4">
        <v>101367.02</v>
      </c>
      <c r="J835" t="s">
        <v>93</v>
      </c>
      <c r="K835">
        <v>-5769277893</v>
      </c>
      <c r="L835" t="s">
        <v>25</v>
      </c>
      <c r="M835" t="b">
        <v>0</v>
      </c>
      <c r="N835">
        <v>10136.702000000001</v>
      </c>
    </row>
    <row r="836" spans="1:14" x14ac:dyDescent="0.25">
      <c r="A836" t="s">
        <v>1791</v>
      </c>
      <c r="B836" t="s">
        <v>35</v>
      </c>
      <c r="C836" t="s">
        <v>142</v>
      </c>
      <c r="D836">
        <v>35</v>
      </c>
      <c r="E836" s="4" t="s">
        <v>2141</v>
      </c>
      <c r="F836" s="4" t="s">
        <v>2140</v>
      </c>
      <c r="G836" t="s">
        <v>30</v>
      </c>
      <c r="H836" s="1">
        <v>45054</v>
      </c>
      <c r="I836" s="4">
        <v>102459.77</v>
      </c>
      <c r="J836" t="s">
        <v>632</v>
      </c>
      <c r="K836">
        <v>-3191009003</v>
      </c>
      <c r="L836" t="s">
        <v>45</v>
      </c>
      <c r="M836" t="b">
        <v>0</v>
      </c>
      <c r="N836">
        <v>0</v>
      </c>
    </row>
    <row r="837" spans="1:14" x14ac:dyDescent="0.25">
      <c r="A837" t="s">
        <v>1793</v>
      </c>
      <c r="B837" t="s">
        <v>35</v>
      </c>
      <c r="C837" t="s">
        <v>21</v>
      </c>
      <c r="D837">
        <v>25</v>
      </c>
      <c r="E837" s="4" t="s">
        <v>2137</v>
      </c>
      <c r="F837" s="4" t="s">
        <v>2144</v>
      </c>
      <c r="G837" t="s">
        <v>30</v>
      </c>
      <c r="H837" s="1">
        <v>44177</v>
      </c>
      <c r="I837" s="4">
        <v>90100.2</v>
      </c>
      <c r="J837" t="s">
        <v>183</v>
      </c>
      <c r="K837">
        <v>-476921052</v>
      </c>
      <c r="L837" t="s">
        <v>33</v>
      </c>
      <c r="M837" t="b">
        <v>0</v>
      </c>
      <c r="N837">
        <v>4505.01</v>
      </c>
    </row>
    <row r="838" spans="1:14" x14ac:dyDescent="0.25">
      <c r="A838" t="s">
        <v>1795</v>
      </c>
      <c r="B838" t="s">
        <v>35</v>
      </c>
      <c r="C838" t="s">
        <v>41</v>
      </c>
      <c r="E838" s="4" t="s">
        <v>2143</v>
      </c>
      <c r="F838" s="4" t="s">
        <v>2138</v>
      </c>
      <c r="G838" t="s">
        <v>36</v>
      </c>
      <c r="H838" s="1">
        <v>43999</v>
      </c>
      <c r="I838" s="4">
        <v>58877.49</v>
      </c>
      <c r="J838" t="s">
        <v>167</v>
      </c>
      <c r="K838">
        <v>-3651460400</v>
      </c>
      <c r="L838" t="s">
        <v>25</v>
      </c>
      <c r="M838" t="b">
        <v>0</v>
      </c>
      <c r="N838">
        <v>5887.7489999999998</v>
      </c>
    </row>
    <row r="839" spans="1:14" x14ac:dyDescent="0.25">
      <c r="A839" t="s">
        <v>1797</v>
      </c>
      <c r="B839" t="s">
        <v>35</v>
      </c>
      <c r="C839" t="s">
        <v>28</v>
      </c>
      <c r="D839">
        <v>35</v>
      </c>
      <c r="E839" s="4" t="s">
        <v>2141</v>
      </c>
      <c r="F839" s="4" t="s">
        <v>2148</v>
      </c>
      <c r="G839" t="s">
        <v>36</v>
      </c>
      <c r="H839" s="1">
        <v>44394</v>
      </c>
      <c r="I839" s="4"/>
      <c r="J839" t="s">
        <v>323</v>
      </c>
      <c r="K839">
        <v>-4247310719</v>
      </c>
      <c r="L839" t="s">
        <v>25</v>
      </c>
      <c r="M839" t="b">
        <v>0</v>
      </c>
    </row>
    <row r="840" spans="1:14" x14ac:dyDescent="0.25">
      <c r="A840" t="s">
        <v>1798</v>
      </c>
      <c r="B840" t="s">
        <v>13</v>
      </c>
      <c r="C840" t="s">
        <v>21</v>
      </c>
      <c r="E840" s="4" t="s">
        <v>2141</v>
      </c>
      <c r="F840" s="4" t="s">
        <v>2148</v>
      </c>
      <c r="G840" t="s">
        <v>30</v>
      </c>
      <c r="H840" s="1">
        <v>44140</v>
      </c>
      <c r="I840" s="4">
        <v>96140.89</v>
      </c>
      <c r="J840" t="s">
        <v>24</v>
      </c>
      <c r="K840">
        <v>-1137984408</v>
      </c>
      <c r="L840" t="s">
        <v>19</v>
      </c>
      <c r="M840" t="b">
        <v>1</v>
      </c>
      <c r="N840">
        <v>1922.8178</v>
      </c>
    </row>
    <row r="841" spans="1:14" x14ac:dyDescent="0.25">
      <c r="A841" t="s">
        <v>1800</v>
      </c>
      <c r="B841" t="s">
        <v>61</v>
      </c>
      <c r="C841" t="s">
        <v>28</v>
      </c>
      <c r="D841">
        <v>35</v>
      </c>
      <c r="E841" s="4" t="s">
        <v>2137</v>
      </c>
      <c r="F841" s="4" t="s">
        <v>2146</v>
      </c>
      <c r="G841" t="s">
        <v>36</v>
      </c>
      <c r="H841" s="1">
        <v>44201</v>
      </c>
      <c r="I841" s="4">
        <v>105956.04</v>
      </c>
      <c r="J841" t="s">
        <v>140</v>
      </c>
      <c r="K841">
        <v>-7123166006</v>
      </c>
      <c r="L841" t="s">
        <v>25</v>
      </c>
      <c r="M841" t="b">
        <v>0</v>
      </c>
      <c r="N841">
        <v>10595.603999999999</v>
      </c>
    </row>
    <row r="842" spans="1:14" x14ac:dyDescent="0.25">
      <c r="A842" t="s">
        <v>1802</v>
      </c>
      <c r="B842" t="s">
        <v>40</v>
      </c>
      <c r="C842" t="s">
        <v>14</v>
      </c>
      <c r="D842">
        <v>25</v>
      </c>
      <c r="E842" s="4" t="s">
        <v>2141</v>
      </c>
      <c r="F842" s="4" t="s">
        <v>2148</v>
      </c>
      <c r="G842" t="s">
        <v>16</v>
      </c>
      <c r="H842" s="1">
        <v>45546</v>
      </c>
      <c r="I842" s="4">
        <v>84716.38</v>
      </c>
      <c r="J842" t="s">
        <v>59</v>
      </c>
      <c r="K842">
        <v>-6762090143</v>
      </c>
      <c r="L842" t="s">
        <v>33</v>
      </c>
      <c r="M842" t="b">
        <v>0</v>
      </c>
      <c r="N842">
        <v>4235.8190000000004</v>
      </c>
    </row>
    <row r="843" spans="1:14" x14ac:dyDescent="0.25">
      <c r="A843" t="s">
        <v>1804</v>
      </c>
      <c r="B843" t="s">
        <v>80</v>
      </c>
      <c r="C843" t="s">
        <v>47</v>
      </c>
      <c r="D843">
        <v>30</v>
      </c>
      <c r="E843" s="4" t="s">
        <v>2137</v>
      </c>
      <c r="F843" s="4" t="s">
        <v>2144</v>
      </c>
      <c r="G843" t="s">
        <v>30</v>
      </c>
      <c r="H843" s="1">
        <v>45136</v>
      </c>
      <c r="I843" s="4">
        <v>61709.83</v>
      </c>
      <c r="J843" t="s">
        <v>96</v>
      </c>
      <c r="K843">
        <v>-7340433699</v>
      </c>
      <c r="L843" t="s">
        <v>33</v>
      </c>
      <c r="M843" t="b">
        <v>1</v>
      </c>
      <c r="N843">
        <v>3085.4915000000001</v>
      </c>
    </row>
    <row r="844" spans="1:14" x14ac:dyDescent="0.25">
      <c r="A844" t="s">
        <v>1806</v>
      </c>
      <c r="B844" t="s">
        <v>40</v>
      </c>
      <c r="C844" t="s">
        <v>142</v>
      </c>
      <c r="D844">
        <v>25</v>
      </c>
      <c r="E844" s="4" t="s">
        <v>2137</v>
      </c>
      <c r="F844" s="4" t="s">
        <v>2138</v>
      </c>
      <c r="G844" t="s">
        <v>16</v>
      </c>
      <c r="H844" s="1">
        <v>43938</v>
      </c>
      <c r="I844" s="4">
        <v>61732.03</v>
      </c>
      <c r="J844" t="s">
        <v>163</v>
      </c>
      <c r="K844">
        <v>-9687304518</v>
      </c>
      <c r="L844" t="s">
        <v>19</v>
      </c>
      <c r="M844" t="b">
        <v>1</v>
      </c>
      <c r="N844">
        <v>1234.6405999999999</v>
      </c>
    </row>
    <row r="845" spans="1:14" x14ac:dyDescent="0.25">
      <c r="A845" t="s">
        <v>1808</v>
      </c>
      <c r="B845" t="s">
        <v>35</v>
      </c>
      <c r="C845" t="s">
        <v>14</v>
      </c>
      <c r="D845">
        <v>40</v>
      </c>
      <c r="E845" s="4" t="s">
        <v>2137</v>
      </c>
      <c r="F845" s="4" t="s">
        <v>2148</v>
      </c>
      <c r="G845" t="s">
        <v>16</v>
      </c>
      <c r="H845" s="1">
        <v>44608</v>
      </c>
      <c r="I845" s="4">
        <v>97845.7</v>
      </c>
      <c r="J845" t="s">
        <v>38</v>
      </c>
      <c r="K845">
        <v>-5778255881</v>
      </c>
      <c r="L845" t="s">
        <v>33</v>
      </c>
      <c r="M845" t="b">
        <v>1</v>
      </c>
      <c r="N845">
        <v>4892.2849999999999</v>
      </c>
    </row>
    <row r="846" spans="1:14" x14ac:dyDescent="0.25">
      <c r="A846" t="s">
        <v>1810</v>
      </c>
      <c r="B846" t="s">
        <v>35</v>
      </c>
      <c r="C846" t="s">
        <v>28</v>
      </c>
      <c r="D846">
        <v>30</v>
      </c>
      <c r="E846" s="4" t="s">
        <v>2145</v>
      </c>
      <c r="F846" s="4" t="s">
        <v>2144</v>
      </c>
      <c r="G846" t="s">
        <v>16</v>
      </c>
      <c r="H846" s="1">
        <v>44422</v>
      </c>
      <c r="I846" s="4">
        <v>114905.58</v>
      </c>
      <c r="J846" t="s">
        <v>323</v>
      </c>
      <c r="K846">
        <v>-5562965753</v>
      </c>
      <c r="L846" t="s">
        <v>45</v>
      </c>
      <c r="M846" t="b">
        <v>0</v>
      </c>
      <c r="N846">
        <v>0</v>
      </c>
    </row>
    <row r="847" spans="1:14" x14ac:dyDescent="0.25">
      <c r="A847" t="s">
        <v>1812</v>
      </c>
      <c r="B847" t="s">
        <v>40</v>
      </c>
      <c r="C847" t="s">
        <v>28</v>
      </c>
      <c r="E847" s="4" t="s">
        <v>2137</v>
      </c>
      <c r="F847" s="4" t="s">
        <v>2140</v>
      </c>
      <c r="G847" t="s">
        <v>16</v>
      </c>
      <c r="H847" s="1">
        <v>44919</v>
      </c>
      <c r="I847" s="4">
        <v>94619.69</v>
      </c>
      <c r="J847" t="s">
        <v>53</v>
      </c>
      <c r="K847">
        <v>-2786561941</v>
      </c>
      <c r="L847" t="s">
        <v>33</v>
      </c>
      <c r="M847" t="b">
        <v>1</v>
      </c>
      <c r="N847">
        <v>4730.9845000000005</v>
      </c>
    </row>
    <row r="848" spans="1:14" x14ac:dyDescent="0.25">
      <c r="A848" t="s">
        <v>1814</v>
      </c>
      <c r="B848" t="s">
        <v>80</v>
      </c>
      <c r="C848" t="s">
        <v>62</v>
      </c>
      <c r="E848" s="4" t="s">
        <v>2137</v>
      </c>
      <c r="F848" s="4" t="s">
        <v>2138</v>
      </c>
      <c r="G848" t="s">
        <v>36</v>
      </c>
      <c r="H848" s="1">
        <v>44384</v>
      </c>
      <c r="I848" s="4">
        <v>68696.149999999994</v>
      </c>
      <c r="J848" t="s">
        <v>150</v>
      </c>
      <c r="K848">
        <v>-5577820581</v>
      </c>
      <c r="L848" t="s">
        <v>33</v>
      </c>
      <c r="M848" t="b">
        <v>0</v>
      </c>
      <c r="N848">
        <v>3434.8074999999999</v>
      </c>
    </row>
    <row r="849" spans="1:14" x14ac:dyDescent="0.25">
      <c r="A849" t="s">
        <v>1816</v>
      </c>
      <c r="B849" t="s">
        <v>80</v>
      </c>
      <c r="C849" t="s">
        <v>62</v>
      </c>
      <c r="D849">
        <v>40</v>
      </c>
      <c r="E849" s="4" t="s">
        <v>2137</v>
      </c>
      <c r="F849" s="4" t="s">
        <v>2142</v>
      </c>
      <c r="G849" t="s">
        <v>16</v>
      </c>
      <c r="H849" s="1">
        <v>45334</v>
      </c>
      <c r="I849" s="4">
        <v>97032.29</v>
      </c>
      <c r="J849" t="s">
        <v>150</v>
      </c>
      <c r="K849">
        <v>-9582923615</v>
      </c>
      <c r="L849" t="s">
        <v>25</v>
      </c>
      <c r="M849" t="b">
        <v>0</v>
      </c>
      <c r="N849">
        <v>9703.2289999999994</v>
      </c>
    </row>
    <row r="850" spans="1:14" x14ac:dyDescent="0.25">
      <c r="A850" t="s">
        <v>1818</v>
      </c>
      <c r="B850" t="s">
        <v>40</v>
      </c>
      <c r="C850" t="s">
        <v>14</v>
      </c>
      <c r="D850">
        <v>30</v>
      </c>
      <c r="E850" s="4" t="s">
        <v>2147</v>
      </c>
      <c r="F850" s="4" t="s">
        <v>2148</v>
      </c>
      <c r="G850" t="s">
        <v>16</v>
      </c>
      <c r="H850" s="1">
        <v>45208</v>
      </c>
      <c r="I850" s="4">
        <v>50593.33</v>
      </c>
      <c r="J850" t="s">
        <v>59</v>
      </c>
      <c r="K850">
        <v>-1880819047</v>
      </c>
      <c r="L850" t="s">
        <v>25</v>
      </c>
      <c r="M850" t="b">
        <v>1</v>
      </c>
      <c r="N850">
        <v>5059.3330000000005</v>
      </c>
    </row>
    <row r="851" spans="1:14" x14ac:dyDescent="0.25">
      <c r="A851" t="s">
        <v>1820</v>
      </c>
      <c r="B851" t="s">
        <v>80</v>
      </c>
      <c r="C851" t="s">
        <v>106</v>
      </c>
      <c r="D851">
        <v>25</v>
      </c>
      <c r="E851" s="4" t="s">
        <v>2145</v>
      </c>
      <c r="F851" s="4" t="s">
        <v>2140</v>
      </c>
      <c r="G851" t="s">
        <v>30</v>
      </c>
      <c r="H851" s="1">
        <v>44744</v>
      </c>
      <c r="I851" s="4">
        <v>74606.149999999994</v>
      </c>
      <c r="J851" t="s">
        <v>197</v>
      </c>
      <c r="K851">
        <v>-2357155867</v>
      </c>
      <c r="L851" t="s">
        <v>33</v>
      </c>
      <c r="M851" t="b">
        <v>1</v>
      </c>
      <c r="N851">
        <v>3730.3074999999999</v>
      </c>
    </row>
    <row r="852" spans="1:14" x14ac:dyDescent="0.25">
      <c r="A852" t="s">
        <v>1822</v>
      </c>
      <c r="B852" t="s">
        <v>35</v>
      </c>
      <c r="C852" t="s">
        <v>14</v>
      </c>
      <c r="D852">
        <v>30</v>
      </c>
      <c r="E852" s="4" t="s">
        <v>2143</v>
      </c>
      <c r="F852" s="4" t="s">
        <v>2140</v>
      </c>
      <c r="G852" t="s">
        <v>30</v>
      </c>
      <c r="H852" s="1">
        <v>44019</v>
      </c>
      <c r="I852" s="4">
        <v>53981.73</v>
      </c>
      <c r="J852" t="s">
        <v>38</v>
      </c>
      <c r="K852">
        <v>-6395613722</v>
      </c>
      <c r="L852" t="s">
        <v>19</v>
      </c>
      <c r="M852" t="b">
        <v>0</v>
      </c>
      <c r="N852">
        <v>1079.6346000000001</v>
      </c>
    </row>
    <row r="853" spans="1:14" x14ac:dyDescent="0.25">
      <c r="A853" t="s">
        <v>1824</v>
      </c>
      <c r="B853" t="s">
        <v>67</v>
      </c>
      <c r="C853" t="s">
        <v>62</v>
      </c>
      <c r="E853" s="4" t="s">
        <v>2137</v>
      </c>
      <c r="F853" s="4" t="s">
        <v>2140</v>
      </c>
      <c r="G853" t="s">
        <v>30</v>
      </c>
      <c r="H853" s="1">
        <v>44076</v>
      </c>
      <c r="I853" s="4">
        <v>56047.05</v>
      </c>
      <c r="J853" t="s">
        <v>257</v>
      </c>
      <c r="K853">
        <v>-817214363</v>
      </c>
      <c r="L853" t="s">
        <v>25</v>
      </c>
      <c r="M853" t="b">
        <v>1</v>
      </c>
      <c r="N853">
        <v>5604.7050000000008</v>
      </c>
    </row>
    <row r="854" spans="1:14" x14ac:dyDescent="0.25">
      <c r="A854" t="s">
        <v>1826</v>
      </c>
      <c r="B854" t="s">
        <v>80</v>
      </c>
      <c r="C854" t="s">
        <v>28</v>
      </c>
      <c r="E854" s="4" t="s">
        <v>2141</v>
      </c>
      <c r="F854" s="4" t="s">
        <v>2140</v>
      </c>
      <c r="G854" t="s">
        <v>30</v>
      </c>
      <c r="H854" s="1">
        <v>44208</v>
      </c>
      <c r="I854" s="4">
        <v>67733.5</v>
      </c>
      <c r="J854" t="s">
        <v>89</v>
      </c>
      <c r="K854">
        <v>-3813000412</v>
      </c>
      <c r="L854" t="s">
        <v>19</v>
      </c>
      <c r="M854" t="b">
        <v>0</v>
      </c>
      <c r="N854">
        <v>1354.67</v>
      </c>
    </row>
    <row r="855" spans="1:14" x14ac:dyDescent="0.25">
      <c r="A855" t="s">
        <v>1828</v>
      </c>
      <c r="B855" t="s">
        <v>13</v>
      </c>
      <c r="C855" t="s">
        <v>41</v>
      </c>
      <c r="D855">
        <v>40</v>
      </c>
      <c r="E855" s="4" t="s">
        <v>2147</v>
      </c>
      <c r="F855" s="4" t="s">
        <v>2144</v>
      </c>
      <c r="G855" t="s">
        <v>30</v>
      </c>
      <c r="H855" s="1">
        <v>45198</v>
      </c>
      <c r="I855" s="4">
        <v>103891.64</v>
      </c>
      <c r="J855" t="s">
        <v>170</v>
      </c>
      <c r="K855">
        <v>-2114716559</v>
      </c>
      <c r="L855" t="s">
        <v>33</v>
      </c>
      <c r="M855" t="b">
        <v>1</v>
      </c>
      <c r="N855">
        <v>5194.5820000000003</v>
      </c>
    </row>
    <row r="856" spans="1:14" x14ac:dyDescent="0.25">
      <c r="A856" t="s">
        <v>1830</v>
      </c>
      <c r="B856" t="s">
        <v>61</v>
      </c>
      <c r="C856" t="s">
        <v>14</v>
      </c>
      <c r="D856">
        <v>25</v>
      </c>
      <c r="E856" s="4" t="s">
        <v>2147</v>
      </c>
      <c r="F856" s="4" t="s">
        <v>2140</v>
      </c>
      <c r="G856" t="s">
        <v>36</v>
      </c>
      <c r="H856" s="1">
        <v>44626</v>
      </c>
      <c r="I856" s="4">
        <v>73285.83</v>
      </c>
      <c r="J856" t="s">
        <v>200</v>
      </c>
      <c r="K856">
        <v>-9456534698</v>
      </c>
      <c r="L856" t="s">
        <v>33</v>
      </c>
      <c r="M856" t="b">
        <v>1</v>
      </c>
      <c r="N856">
        <v>3664.2915000000003</v>
      </c>
    </row>
    <row r="857" spans="1:14" x14ac:dyDescent="0.25">
      <c r="A857" t="s">
        <v>1832</v>
      </c>
      <c r="B857" t="s">
        <v>35</v>
      </c>
      <c r="C857" t="s">
        <v>28</v>
      </c>
      <c r="D857">
        <v>30</v>
      </c>
      <c r="E857" s="4" t="s">
        <v>2139</v>
      </c>
      <c r="F857" s="4" t="s">
        <v>2140</v>
      </c>
      <c r="G857" t="s">
        <v>36</v>
      </c>
      <c r="H857" s="1">
        <v>44241</v>
      </c>
      <c r="I857" s="4">
        <v>92721.13</v>
      </c>
      <c r="J857" t="s">
        <v>323</v>
      </c>
      <c r="K857">
        <v>-7990707549</v>
      </c>
      <c r="L857" t="s">
        <v>45</v>
      </c>
      <c r="M857" t="b">
        <v>1</v>
      </c>
      <c r="N857">
        <v>0</v>
      </c>
    </row>
    <row r="858" spans="1:14" x14ac:dyDescent="0.25">
      <c r="A858" t="s">
        <v>1834</v>
      </c>
      <c r="B858" t="s">
        <v>75</v>
      </c>
      <c r="C858" t="s">
        <v>41</v>
      </c>
      <c r="D858">
        <v>25</v>
      </c>
      <c r="E858" s="4" t="s">
        <v>2141</v>
      </c>
      <c r="F858" s="4" t="s">
        <v>2148</v>
      </c>
      <c r="G858" t="s">
        <v>36</v>
      </c>
      <c r="H858" s="1">
        <v>44278</v>
      </c>
      <c r="I858" s="4">
        <v>92977.64</v>
      </c>
      <c r="J858" t="s">
        <v>78</v>
      </c>
      <c r="K858">
        <v>-4768169956</v>
      </c>
      <c r="L858" t="s">
        <v>25</v>
      </c>
      <c r="M858" t="b">
        <v>0</v>
      </c>
      <c r="N858">
        <v>9297.764000000001</v>
      </c>
    </row>
    <row r="859" spans="1:14" x14ac:dyDescent="0.25">
      <c r="A859" t="s">
        <v>1836</v>
      </c>
      <c r="B859" t="s">
        <v>75</v>
      </c>
      <c r="C859" t="s">
        <v>41</v>
      </c>
      <c r="D859">
        <v>35</v>
      </c>
      <c r="E859" s="4" t="s">
        <v>2143</v>
      </c>
      <c r="F859" s="4" t="s">
        <v>2140</v>
      </c>
      <c r="G859" t="s">
        <v>16</v>
      </c>
      <c r="H859" s="1">
        <v>43975</v>
      </c>
      <c r="I859" s="4">
        <v>89994.12</v>
      </c>
      <c r="J859" t="s">
        <v>78</v>
      </c>
      <c r="K859">
        <v>-607174810</v>
      </c>
      <c r="L859" t="s">
        <v>33</v>
      </c>
      <c r="M859" t="b">
        <v>1</v>
      </c>
      <c r="N859">
        <v>4499.7060000000001</v>
      </c>
    </row>
    <row r="860" spans="1:14" x14ac:dyDescent="0.25">
      <c r="A860" t="s">
        <v>1838</v>
      </c>
      <c r="B860" t="s">
        <v>75</v>
      </c>
      <c r="C860" t="s">
        <v>62</v>
      </c>
      <c r="D860">
        <v>25</v>
      </c>
      <c r="E860" s="4" t="s">
        <v>2139</v>
      </c>
      <c r="F860" s="4" t="s">
        <v>2146</v>
      </c>
      <c r="G860" t="s">
        <v>30</v>
      </c>
      <c r="H860" s="1">
        <v>45142</v>
      </c>
      <c r="I860" s="4">
        <v>50060.73</v>
      </c>
      <c r="J860" t="s">
        <v>132</v>
      </c>
      <c r="K860">
        <v>-3176539704</v>
      </c>
      <c r="L860" t="s">
        <v>45</v>
      </c>
      <c r="M860" t="b">
        <v>0</v>
      </c>
      <c r="N860">
        <v>0</v>
      </c>
    </row>
    <row r="861" spans="1:14" x14ac:dyDescent="0.25">
      <c r="A861" t="s">
        <v>1840</v>
      </c>
      <c r="B861" t="s">
        <v>80</v>
      </c>
      <c r="C861" t="s">
        <v>14</v>
      </c>
      <c r="D861">
        <v>35</v>
      </c>
      <c r="E861" s="4" t="s">
        <v>2141</v>
      </c>
      <c r="F861" s="4" t="s">
        <v>2142</v>
      </c>
      <c r="G861" t="s">
        <v>36</v>
      </c>
      <c r="H861" s="1">
        <v>44632</v>
      </c>
      <c r="I861" s="4">
        <v>90224.82</v>
      </c>
      <c r="J861" t="s">
        <v>276</v>
      </c>
      <c r="K861">
        <v>-4873961028</v>
      </c>
      <c r="L861" t="s">
        <v>25</v>
      </c>
      <c r="M861" t="b">
        <v>0</v>
      </c>
      <c r="N861">
        <v>9022.4820000000018</v>
      </c>
    </row>
    <row r="862" spans="1:14" x14ac:dyDescent="0.25">
      <c r="A862" t="s">
        <v>1842</v>
      </c>
      <c r="B862" t="s">
        <v>75</v>
      </c>
      <c r="C862" t="s">
        <v>21</v>
      </c>
      <c r="D862">
        <v>40</v>
      </c>
      <c r="E862" s="4" t="s">
        <v>2139</v>
      </c>
      <c r="F862" s="4" t="s">
        <v>2144</v>
      </c>
      <c r="G862" t="s">
        <v>30</v>
      </c>
      <c r="H862" s="1">
        <v>45430</v>
      </c>
      <c r="I862" s="4">
        <v>106859.3</v>
      </c>
      <c r="J862" t="s">
        <v>480</v>
      </c>
      <c r="K862">
        <v>-871827495</v>
      </c>
      <c r="L862" t="s">
        <v>33</v>
      </c>
      <c r="M862" t="b">
        <v>0</v>
      </c>
      <c r="N862">
        <v>5342.9650000000001</v>
      </c>
    </row>
    <row r="863" spans="1:14" x14ac:dyDescent="0.25">
      <c r="A863" t="s">
        <v>1844</v>
      </c>
      <c r="B863" t="s">
        <v>67</v>
      </c>
      <c r="C863" t="s">
        <v>142</v>
      </c>
      <c r="D863">
        <v>25</v>
      </c>
      <c r="E863" s="4" t="s">
        <v>2139</v>
      </c>
      <c r="F863" s="4" t="s">
        <v>2142</v>
      </c>
      <c r="G863" t="s">
        <v>36</v>
      </c>
      <c r="H863" s="1">
        <v>44079</v>
      </c>
      <c r="I863" s="4">
        <v>89707.07</v>
      </c>
      <c r="J863" t="s">
        <v>402</v>
      </c>
      <c r="K863">
        <v>-8049187273</v>
      </c>
      <c r="L863" t="s">
        <v>33</v>
      </c>
      <c r="M863" t="b">
        <v>0</v>
      </c>
      <c r="N863">
        <v>4485.3535000000002</v>
      </c>
    </row>
    <row r="864" spans="1:14" x14ac:dyDescent="0.25">
      <c r="A864" t="s">
        <v>1846</v>
      </c>
      <c r="B864" t="s">
        <v>40</v>
      </c>
      <c r="C864" t="s">
        <v>62</v>
      </c>
      <c r="D864">
        <v>35</v>
      </c>
      <c r="E864" s="4" t="s">
        <v>2137</v>
      </c>
      <c r="F864" s="4" t="s">
        <v>2138</v>
      </c>
      <c r="G864" t="s">
        <v>36</v>
      </c>
      <c r="H864" s="1">
        <v>43944</v>
      </c>
      <c r="I864" s="4">
        <v>94259.08</v>
      </c>
      <c r="J864" t="s">
        <v>316</v>
      </c>
      <c r="K864">
        <v>-2049561212</v>
      </c>
      <c r="L864" t="s">
        <v>25</v>
      </c>
      <c r="M864" t="b">
        <v>1</v>
      </c>
      <c r="N864">
        <v>9425.9080000000013</v>
      </c>
    </row>
    <row r="865" spans="1:14" x14ac:dyDescent="0.25">
      <c r="A865" t="s">
        <v>1848</v>
      </c>
      <c r="B865" t="s">
        <v>13</v>
      </c>
      <c r="C865" t="s">
        <v>62</v>
      </c>
      <c r="D865">
        <v>35</v>
      </c>
      <c r="E865" s="4" t="s">
        <v>2145</v>
      </c>
      <c r="F865" s="4" t="s">
        <v>2138</v>
      </c>
      <c r="G865" t="s">
        <v>16</v>
      </c>
      <c r="H865" s="1">
        <v>45553</v>
      </c>
      <c r="I865" s="4">
        <v>82174.75</v>
      </c>
      <c r="J865" t="s">
        <v>237</v>
      </c>
      <c r="K865">
        <v>-7730626041</v>
      </c>
      <c r="L865" t="s">
        <v>25</v>
      </c>
      <c r="M865" t="b">
        <v>0</v>
      </c>
      <c r="N865">
        <v>8217.4750000000004</v>
      </c>
    </row>
    <row r="866" spans="1:14" x14ac:dyDescent="0.25">
      <c r="A866" t="s">
        <v>1850</v>
      </c>
      <c r="B866" t="s">
        <v>67</v>
      </c>
      <c r="C866" t="s">
        <v>21</v>
      </c>
      <c r="D866">
        <v>30</v>
      </c>
      <c r="E866" s="4" t="s">
        <v>2145</v>
      </c>
      <c r="F866" s="4" t="s">
        <v>2140</v>
      </c>
      <c r="G866" t="s">
        <v>36</v>
      </c>
      <c r="H866" s="1">
        <v>45184</v>
      </c>
      <c r="I866" s="4">
        <v>63370.22</v>
      </c>
      <c r="J866" t="s">
        <v>265</v>
      </c>
      <c r="K866">
        <v>-3597371121</v>
      </c>
      <c r="L866" t="s">
        <v>25</v>
      </c>
      <c r="M866" t="b">
        <v>0</v>
      </c>
      <c r="N866">
        <v>6337.0220000000008</v>
      </c>
    </row>
    <row r="867" spans="1:14" x14ac:dyDescent="0.25">
      <c r="A867" t="s">
        <v>1852</v>
      </c>
      <c r="B867" t="s">
        <v>13</v>
      </c>
      <c r="C867" t="s">
        <v>142</v>
      </c>
      <c r="D867">
        <v>35</v>
      </c>
      <c r="E867" s="4" t="s">
        <v>2139</v>
      </c>
      <c r="F867" s="4" t="s">
        <v>2140</v>
      </c>
      <c r="G867" t="s">
        <v>30</v>
      </c>
      <c r="H867" s="1">
        <v>44727</v>
      </c>
      <c r="I867" s="4">
        <v>101472.69</v>
      </c>
      <c r="J867" t="s">
        <v>144</v>
      </c>
      <c r="K867">
        <v>-2990775607</v>
      </c>
      <c r="L867" t="s">
        <v>33</v>
      </c>
      <c r="M867" t="b">
        <v>1</v>
      </c>
      <c r="N867">
        <v>5073.6345000000001</v>
      </c>
    </row>
    <row r="868" spans="1:14" x14ac:dyDescent="0.25">
      <c r="A868" t="s">
        <v>1854</v>
      </c>
      <c r="B868" t="s">
        <v>67</v>
      </c>
      <c r="C868" t="s">
        <v>28</v>
      </c>
      <c r="D868">
        <v>25</v>
      </c>
      <c r="E868" s="4" t="s">
        <v>2137</v>
      </c>
      <c r="F868" s="4" t="s">
        <v>2148</v>
      </c>
      <c r="G868" t="s">
        <v>16</v>
      </c>
      <c r="H868" s="1">
        <v>44832</v>
      </c>
      <c r="I868" s="4">
        <v>77213.73</v>
      </c>
      <c r="J868" t="s">
        <v>283</v>
      </c>
      <c r="K868">
        <v>-5816704685</v>
      </c>
      <c r="L868" t="s">
        <v>33</v>
      </c>
      <c r="M868" t="b">
        <v>0</v>
      </c>
      <c r="N868">
        <v>3860.6864999999998</v>
      </c>
    </row>
    <row r="869" spans="1:14" x14ac:dyDescent="0.25">
      <c r="A869" t="s">
        <v>1856</v>
      </c>
      <c r="B869" t="s">
        <v>35</v>
      </c>
      <c r="C869" t="s">
        <v>106</v>
      </c>
      <c r="D869">
        <v>40</v>
      </c>
      <c r="E869" s="4" t="s">
        <v>2145</v>
      </c>
      <c r="F869" s="4" t="s">
        <v>2144</v>
      </c>
      <c r="G869" t="s">
        <v>16</v>
      </c>
      <c r="H869" s="1">
        <v>43906</v>
      </c>
      <c r="I869" s="4">
        <v>73749.960000000006</v>
      </c>
      <c r="J869" t="s">
        <v>307</v>
      </c>
      <c r="K869">
        <v>-1114576831</v>
      </c>
      <c r="L869" t="s">
        <v>45</v>
      </c>
      <c r="M869" t="b">
        <v>1</v>
      </c>
      <c r="N869">
        <v>0</v>
      </c>
    </row>
    <row r="870" spans="1:14" x14ac:dyDescent="0.25">
      <c r="A870" t="s">
        <v>1858</v>
      </c>
      <c r="B870" t="s">
        <v>27</v>
      </c>
      <c r="C870" t="s">
        <v>14</v>
      </c>
      <c r="D870">
        <v>40</v>
      </c>
      <c r="E870" s="4" t="s">
        <v>2143</v>
      </c>
      <c r="F870" s="4" t="s">
        <v>2146</v>
      </c>
      <c r="G870" t="s">
        <v>30</v>
      </c>
      <c r="H870" s="1">
        <v>45197</v>
      </c>
      <c r="I870" s="4">
        <v>86618.37</v>
      </c>
      <c r="J870" t="s">
        <v>191</v>
      </c>
      <c r="K870">
        <v>-1021923784</v>
      </c>
      <c r="L870" t="s">
        <v>19</v>
      </c>
      <c r="M870" t="b">
        <v>0</v>
      </c>
      <c r="N870">
        <v>1732.3673999999999</v>
      </c>
    </row>
    <row r="871" spans="1:14" x14ac:dyDescent="0.25">
      <c r="A871" t="s">
        <v>1860</v>
      </c>
      <c r="B871" t="s">
        <v>61</v>
      </c>
      <c r="C871" t="s">
        <v>106</v>
      </c>
      <c r="E871" s="4" t="s">
        <v>2141</v>
      </c>
      <c r="F871" s="4" t="s">
        <v>2140</v>
      </c>
      <c r="G871" t="s">
        <v>16</v>
      </c>
      <c r="H871" s="1">
        <v>45337</v>
      </c>
      <c r="I871" s="4">
        <v>59911.33</v>
      </c>
      <c r="J871" t="s">
        <v>607</v>
      </c>
      <c r="K871">
        <v>-8471296179</v>
      </c>
      <c r="L871" t="s">
        <v>25</v>
      </c>
      <c r="M871" t="b">
        <v>1</v>
      </c>
      <c r="N871">
        <v>5991.1330000000007</v>
      </c>
    </row>
    <row r="872" spans="1:14" x14ac:dyDescent="0.25">
      <c r="A872" t="s">
        <v>1862</v>
      </c>
      <c r="B872" t="s">
        <v>75</v>
      </c>
      <c r="C872" t="s">
        <v>28</v>
      </c>
      <c r="E872" s="4" t="s">
        <v>2143</v>
      </c>
      <c r="F872" s="4" t="s">
        <v>2146</v>
      </c>
      <c r="G872" t="s">
        <v>30</v>
      </c>
      <c r="H872" s="1">
        <v>45159</v>
      </c>
      <c r="I872" s="4">
        <v>59137.64</v>
      </c>
      <c r="J872" t="s">
        <v>375</v>
      </c>
      <c r="K872">
        <v>-3324260507</v>
      </c>
      <c r="L872" t="s">
        <v>33</v>
      </c>
      <c r="M872" t="b">
        <v>0</v>
      </c>
      <c r="N872">
        <v>2956.8820000000001</v>
      </c>
    </row>
    <row r="873" spans="1:14" x14ac:dyDescent="0.25">
      <c r="A873" t="s">
        <v>1864</v>
      </c>
      <c r="B873" t="s">
        <v>27</v>
      </c>
      <c r="C873" t="s">
        <v>47</v>
      </c>
      <c r="D873">
        <v>35</v>
      </c>
      <c r="E873" s="4" t="s">
        <v>2143</v>
      </c>
      <c r="F873" s="4" t="s">
        <v>2144</v>
      </c>
      <c r="G873" t="s">
        <v>30</v>
      </c>
      <c r="H873" s="1">
        <v>44180</v>
      </c>
      <c r="I873" s="4">
        <v>108474.65</v>
      </c>
      <c r="J873" t="s">
        <v>50</v>
      </c>
      <c r="K873">
        <v>-184980424</v>
      </c>
      <c r="L873" t="s">
        <v>33</v>
      </c>
      <c r="M873" t="b">
        <v>1</v>
      </c>
      <c r="N873">
        <v>5423.7325000000001</v>
      </c>
    </row>
    <row r="874" spans="1:14" x14ac:dyDescent="0.25">
      <c r="A874" t="s">
        <v>1866</v>
      </c>
      <c r="B874" t="s">
        <v>13</v>
      </c>
      <c r="C874" t="s">
        <v>62</v>
      </c>
      <c r="D874">
        <v>25</v>
      </c>
      <c r="E874" s="4" t="s">
        <v>2139</v>
      </c>
      <c r="F874" s="4" t="s">
        <v>2148</v>
      </c>
      <c r="G874" t="s">
        <v>30</v>
      </c>
      <c r="H874" s="1">
        <v>44282</v>
      </c>
      <c r="I874" s="4">
        <v>54417.71</v>
      </c>
      <c r="J874" t="s">
        <v>237</v>
      </c>
      <c r="K874">
        <v>-3733777311</v>
      </c>
      <c r="L874" t="s">
        <v>25</v>
      </c>
      <c r="M874" t="b">
        <v>0</v>
      </c>
      <c r="N874">
        <v>5441.7710000000006</v>
      </c>
    </row>
    <row r="875" spans="1:14" x14ac:dyDescent="0.25">
      <c r="A875" t="s">
        <v>1868</v>
      </c>
      <c r="B875" t="s">
        <v>40</v>
      </c>
      <c r="C875" t="s">
        <v>142</v>
      </c>
      <c r="D875">
        <v>40</v>
      </c>
      <c r="E875" s="4" t="s">
        <v>2147</v>
      </c>
      <c r="F875" s="4" t="s">
        <v>2140</v>
      </c>
      <c r="G875" t="s">
        <v>30</v>
      </c>
      <c r="H875" s="1">
        <v>45010</v>
      </c>
      <c r="I875" s="4">
        <v>88211.94</v>
      </c>
      <c r="J875" t="s">
        <v>163</v>
      </c>
      <c r="K875">
        <v>-6881228216</v>
      </c>
      <c r="L875" t="s">
        <v>19</v>
      </c>
      <c r="M875" t="b">
        <v>0</v>
      </c>
      <c r="N875">
        <v>1764.2388000000001</v>
      </c>
    </row>
    <row r="876" spans="1:14" x14ac:dyDescent="0.25">
      <c r="A876" t="s">
        <v>1870</v>
      </c>
      <c r="B876" t="s">
        <v>67</v>
      </c>
      <c r="C876" t="s">
        <v>62</v>
      </c>
      <c r="D876">
        <v>25</v>
      </c>
      <c r="E876" s="4" t="s">
        <v>2145</v>
      </c>
      <c r="F876" s="4" t="s">
        <v>2146</v>
      </c>
      <c r="G876" t="s">
        <v>36</v>
      </c>
      <c r="H876" s="1">
        <v>43960</v>
      </c>
      <c r="I876" s="4">
        <v>58452.18</v>
      </c>
      <c r="J876" t="s">
        <v>257</v>
      </c>
      <c r="K876">
        <v>-8192365345</v>
      </c>
      <c r="L876" t="s">
        <v>25</v>
      </c>
      <c r="M876" t="b">
        <v>1</v>
      </c>
      <c r="N876">
        <v>5845.2180000000008</v>
      </c>
    </row>
    <row r="877" spans="1:14" x14ac:dyDescent="0.25">
      <c r="A877" t="s">
        <v>1872</v>
      </c>
      <c r="B877" t="s">
        <v>80</v>
      </c>
      <c r="C877" t="s">
        <v>41</v>
      </c>
      <c r="D877">
        <v>30</v>
      </c>
      <c r="E877" s="4" t="s">
        <v>2137</v>
      </c>
      <c r="F877" s="4" t="s">
        <v>2138</v>
      </c>
      <c r="G877" t="s">
        <v>30</v>
      </c>
      <c r="H877" s="1">
        <v>44168</v>
      </c>
      <c r="I877" s="4">
        <v>80706.28</v>
      </c>
      <c r="J877" t="s">
        <v>83</v>
      </c>
      <c r="K877">
        <v>-605603566</v>
      </c>
      <c r="L877" t="s">
        <v>19</v>
      </c>
      <c r="M877" t="b">
        <v>1</v>
      </c>
      <c r="N877">
        <v>1614.1256000000001</v>
      </c>
    </row>
    <row r="878" spans="1:14" x14ac:dyDescent="0.25">
      <c r="A878" t="s">
        <v>1874</v>
      </c>
      <c r="B878" t="s">
        <v>27</v>
      </c>
      <c r="C878" t="s">
        <v>62</v>
      </c>
      <c r="D878">
        <v>30</v>
      </c>
      <c r="E878" s="4" t="s">
        <v>2143</v>
      </c>
      <c r="F878" s="4" t="s">
        <v>2142</v>
      </c>
      <c r="G878" t="s">
        <v>30</v>
      </c>
      <c r="H878" s="1">
        <v>44601</v>
      </c>
      <c r="I878" s="4"/>
      <c r="J878" t="s">
        <v>177</v>
      </c>
      <c r="K878">
        <v>-9327986238</v>
      </c>
      <c r="L878" t="s">
        <v>33</v>
      </c>
      <c r="M878" t="b">
        <v>1</v>
      </c>
    </row>
    <row r="879" spans="1:14" x14ac:dyDescent="0.25">
      <c r="A879" t="s">
        <v>1875</v>
      </c>
      <c r="B879" t="s">
        <v>75</v>
      </c>
      <c r="C879" t="s">
        <v>62</v>
      </c>
      <c r="D879">
        <v>25</v>
      </c>
      <c r="E879" s="4" t="s">
        <v>2143</v>
      </c>
      <c r="F879" s="4" t="s">
        <v>2140</v>
      </c>
      <c r="G879" t="s">
        <v>16</v>
      </c>
      <c r="H879" s="1">
        <v>44013</v>
      </c>
      <c r="I879" s="4">
        <v>99471.89</v>
      </c>
      <c r="J879" t="s">
        <v>132</v>
      </c>
      <c r="K879">
        <v>-8471690617</v>
      </c>
      <c r="L879" t="s">
        <v>19</v>
      </c>
      <c r="M879" t="b">
        <v>1</v>
      </c>
      <c r="N879">
        <v>1989.4377999999999</v>
      </c>
    </row>
    <row r="880" spans="1:14" x14ac:dyDescent="0.25">
      <c r="A880" t="s">
        <v>1877</v>
      </c>
      <c r="B880" t="s">
        <v>35</v>
      </c>
      <c r="C880" t="s">
        <v>28</v>
      </c>
      <c r="D880">
        <v>40</v>
      </c>
      <c r="E880" s="4" t="s">
        <v>2137</v>
      </c>
      <c r="F880" s="4" t="s">
        <v>2144</v>
      </c>
      <c r="G880" t="s">
        <v>30</v>
      </c>
      <c r="H880" s="1">
        <v>44090</v>
      </c>
      <c r="I880" s="4">
        <v>64431.22</v>
      </c>
      <c r="J880" t="s">
        <v>323</v>
      </c>
      <c r="K880">
        <v>-1205464753</v>
      </c>
      <c r="L880" t="s">
        <v>45</v>
      </c>
      <c r="M880" t="b">
        <v>0</v>
      </c>
      <c r="N880">
        <v>0</v>
      </c>
    </row>
    <row r="881" spans="1:14" x14ac:dyDescent="0.25">
      <c r="A881" t="s">
        <v>1879</v>
      </c>
      <c r="B881" t="s">
        <v>75</v>
      </c>
      <c r="C881" t="s">
        <v>28</v>
      </c>
      <c r="D881">
        <v>40</v>
      </c>
      <c r="E881" s="4" t="s">
        <v>2141</v>
      </c>
      <c r="F881" s="4" t="s">
        <v>2146</v>
      </c>
      <c r="G881" t="s">
        <v>30</v>
      </c>
      <c r="H881" s="1">
        <v>45247</v>
      </c>
      <c r="I881" s="4">
        <v>52633.48</v>
      </c>
      <c r="J881" t="s">
        <v>375</v>
      </c>
      <c r="K881">
        <v>-8954787697</v>
      </c>
      <c r="L881" t="s">
        <v>33</v>
      </c>
      <c r="M881" t="b">
        <v>0</v>
      </c>
      <c r="N881">
        <v>2631.6740000000004</v>
      </c>
    </row>
    <row r="882" spans="1:14" x14ac:dyDescent="0.25">
      <c r="A882" t="s">
        <v>1881</v>
      </c>
      <c r="B882" t="s">
        <v>75</v>
      </c>
      <c r="C882" t="s">
        <v>28</v>
      </c>
      <c r="E882" s="4" t="s">
        <v>2143</v>
      </c>
      <c r="F882" s="4" t="s">
        <v>2142</v>
      </c>
      <c r="G882" t="s">
        <v>36</v>
      </c>
      <c r="H882" s="1">
        <v>44543</v>
      </c>
      <c r="I882" s="4">
        <v>79315.009999999995</v>
      </c>
      <c r="J882" t="s">
        <v>375</v>
      </c>
      <c r="K882">
        <v>-9992751757</v>
      </c>
      <c r="L882" t="s">
        <v>45</v>
      </c>
      <c r="M882" t="b">
        <v>1</v>
      </c>
      <c r="N882">
        <v>0</v>
      </c>
    </row>
    <row r="883" spans="1:14" x14ac:dyDescent="0.25">
      <c r="A883" t="s">
        <v>1883</v>
      </c>
      <c r="B883" t="s">
        <v>67</v>
      </c>
      <c r="C883" t="s">
        <v>106</v>
      </c>
      <c r="D883">
        <v>25</v>
      </c>
      <c r="E883" s="4" t="s">
        <v>2145</v>
      </c>
      <c r="F883" s="4" t="s">
        <v>2140</v>
      </c>
      <c r="G883" t="s">
        <v>30</v>
      </c>
      <c r="H883" s="1">
        <v>44572</v>
      </c>
      <c r="I883" s="4">
        <v>110391.17</v>
      </c>
      <c r="J883" t="s">
        <v>124</v>
      </c>
      <c r="K883">
        <v>-8914444982</v>
      </c>
      <c r="L883" t="s">
        <v>25</v>
      </c>
      <c r="M883" t="b">
        <v>0</v>
      </c>
      <c r="N883">
        <v>11039.117</v>
      </c>
    </row>
    <row r="884" spans="1:14" x14ac:dyDescent="0.25">
      <c r="A884" t="s">
        <v>1885</v>
      </c>
      <c r="B884" t="s">
        <v>67</v>
      </c>
      <c r="C884" t="s">
        <v>41</v>
      </c>
      <c r="D884">
        <v>40</v>
      </c>
      <c r="E884" s="4" t="s">
        <v>2137</v>
      </c>
      <c r="F884" s="4" t="s">
        <v>2142</v>
      </c>
      <c r="G884" t="s">
        <v>16</v>
      </c>
      <c r="H884" s="1">
        <v>44397</v>
      </c>
      <c r="I884" s="4">
        <v>53714.83</v>
      </c>
      <c r="J884" t="s">
        <v>70</v>
      </c>
      <c r="K884">
        <v>-5539354357</v>
      </c>
      <c r="L884" t="s">
        <v>25</v>
      </c>
      <c r="M884" t="b">
        <v>1</v>
      </c>
      <c r="N884">
        <v>5371.4830000000002</v>
      </c>
    </row>
    <row r="885" spans="1:14" x14ac:dyDescent="0.25">
      <c r="A885" t="s">
        <v>1887</v>
      </c>
      <c r="B885" t="s">
        <v>61</v>
      </c>
      <c r="C885" t="s">
        <v>47</v>
      </c>
      <c r="D885">
        <v>40</v>
      </c>
      <c r="E885" s="4" t="s">
        <v>2139</v>
      </c>
      <c r="F885" s="4" t="s">
        <v>2146</v>
      </c>
      <c r="G885" t="s">
        <v>16</v>
      </c>
      <c r="H885" s="1">
        <v>45203</v>
      </c>
      <c r="I885" s="4">
        <v>114587.11</v>
      </c>
      <c r="J885" t="s">
        <v>100</v>
      </c>
      <c r="K885">
        <v>-6449639242</v>
      </c>
      <c r="L885" t="s">
        <v>25</v>
      </c>
      <c r="M885" t="b">
        <v>1</v>
      </c>
      <c r="N885">
        <v>11458.711000000001</v>
      </c>
    </row>
    <row r="886" spans="1:14" x14ac:dyDescent="0.25">
      <c r="A886" t="s">
        <v>1889</v>
      </c>
      <c r="B886" t="s">
        <v>40</v>
      </c>
      <c r="C886" t="s">
        <v>47</v>
      </c>
      <c r="D886">
        <v>35</v>
      </c>
      <c r="E886" s="4" t="s">
        <v>2141</v>
      </c>
      <c r="F886" s="4" t="s">
        <v>2144</v>
      </c>
      <c r="G886" t="s">
        <v>36</v>
      </c>
      <c r="H886" s="1">
        <v>44515</v>
      </c>
      <c r="I886" s="4">
        <v>93177.35</v>
      </c>
      <c r="J886" t="s">
        <v>214</v>
      </c>
      <c r="K886">
        <v>-5885379820</v>
      </c>
      <c r="L886" t="s">
        <v>19</v>
      </c>
      <c r="M886" t="b">
        <v>0</v>
      </c>
      <c r="N886">
        <v>1863.5470000000003</v>
      </c>
    </row>
    <row r="887" spans="1:14" x14ac:dyDescent="0.25">
      <c r="A887" t="s">
        <v>1891</v>
      </c>
      <c r="B887" t="s">
        <v>75</v>
      </c>
      <c r="C887" t="s">
        <v>28</v>
      </c>
      <c r="D887">
        <v>25</v>
      </c>
      <c r="E887" s="4" t="s">
        <v>2143</v>
      </c>
      <c r="F887" s="4" t="s">
        <v>2142</v>
      </c>
      <c r="G887" t="s">
        <v>16</v>
      </c>
      <c r="H887" s="1">
        <v>44931</v>
      </c>
      <c r="I887" s="4">
        <v>62312.13</v>
      </c>
      <c r="J887" t="s">
        <v>375</v>
      </c>
      <c r="K887">
        <v>-4339527535</v>
      </c>
      <c r="L887" t="s">
        <v>33</v>
      </c>
      <c r="M887" t="b">
        <v>0</v>
      </c>
      <c r="N887">
        <v>3115.6064999999999</v>
      </c>
    </row>
    <row r="888" spans="1:14" x14ac:dyDescent="0.25">
      <c r="A888" t="s">
        <v>1893</v>
      </c>
      <c r="B888" t="s">
        <v>75</v>
      </c>
      <c r="C888" t="s">
        <v>142</v>
      </c>
      <c r="E888" s="4" t="s">
        <v>2143</v>
      </c>
      <c r="F888" s="4" t="s">
        <v>2140</v>
      </c>
      <c r="G888" t="s">
        <v>16</v>
      </c>
      <c r="H888" s="1">
        <v>45308</v>
      </c>
      <c r="I888" s="4">
        <v>81137.460000000006</v>
      </c>
      <c r="J888" t="s">
        <v>436</v>
      </c>
      <c r="K888">
        <v>-7497852490</v>
      </c>
      <c r="L888" t="s">
        <v>25</v>
      </c>
      <c r="M888" t="b">
        <v>0</v>
      </c>
      <c r="N888">
        <v>8113.746000000001</v>
      </c>
    </row>
    <row r="889" spans="1:14" x14ac:dyDescent="0.25">
      <c r="A889" t="s">
        <v>1895</v>
      </c>
      <c r="B889" t="s">
        <v>80</v>
      </c>
      <c r="C889" t="s">
        <v>106</v>
      </c>
      <c r="D889">
        <v>30</v>
      </c>
      <c r="E889" s="4" t="s">
        <v>2137</v>
      </c>
      <c r="F889" s="4" t="s">
        <v>2142</v>
      </c>
      <c r="G889" t="s">
        <v>36</v>
      </c>
      <c r="H889" s="1">
        <v>44302</v>
      </c>
      <c r="I889" s="4">
        <v>104528.27</v>
      </c>
      <c r="J889" t="s">
        <v>197</v>
      </c>
      <c r="K889">
        <v>-4168601346</v>
      </c>
      <c r="L889" t="s">
        <v>25</v>
      </c>
      <c r="M889" t="b">
        <v>0</v>
      </c>
      <c r="N889">
        <v>10452.827000000001</v>
      </c>
    </row>
    <row r="890" spans="1:14" x14ac:dyDescent="0.25">
      <c r="A890" t="s">
        <v>1897</v>
      </c>
      <c r="B890" t="s">
        <v>13</v>
      </c>
      <c r="C890" t="s">
        <v>21</v>
      </c>
      <c r="D890">
        <v>30</v>
      </c>
      <c r="E890" s="4" t="s">
        <v>2137</v>
      </c>
      <c r="F890" s="4" t="s">
        <v>2144</v>
      </c>
      <c r="G890" t="s">
        <v>16</v>
      </c>
      <c r="H890" s="1">
        <v>44600</v>
      </c>
      <c r="I890" s="4">
        <v>112395.56</v>
      </c>
      <c r="J890" t="s">
        <v>24</v>
      </c>
      <c r="K890">
        <v>-7894896339</v>
      </c>
      <c r="L890" t="s">
        <v>33</v>
      </c>
      <c r="M890" t="b">
        <v>0</v>
      </c>
      <c r="N890">
        <v>5619.7780000000002</v>
      </c>
    </row>
    <row r="891" spans="1:14" x14ac:dyDescent="0.25">
      <c r="A891" t="s">
        <v>1899</v>
      </c>
      <c r="B891" t="s">
        <v>75</v>
      </c>
      <c r="C891" t="s">
        <v>142</v>
      </c>
      <c r="D891">
        <v>25</v>
      </c>
      <c r="E891" s="4" t="s">
        <v>2139</v>
      </c>
      <c r="F891" s="4" t="s">
        <v>2146</v>
      </c>
      <c r="G891" t="s">
        <v>16</v>
      </c>
      <c r="H891" s="1">
        <v>45079</v>
      </c>
      <c r="I891" s="4">
        <v>81849.36</v>
      </c>
      <c r="J891" t="s">
        <v>436</v>
      </c>
      <c r="K891">
        <v>-6791766511</v>
      </c>
      <c r="L891" t="s">
        <v>25</v>
      </c>
      <c r="M891" t="b">
        <v>0</v>
      </c>
      <c r="N891">
        <v>8184.9360000000006</v>
      </c>
    </row>
    <row r="892" spans="1:14" x14ac:dyDescent="0.25">
      <c r="A892" t="s">
        <v>1901</v>
      </c>
      <c r="B892" t="s">
        <v>61</v>
      </c>
      <c r="C892" t="s">
        <v>14</v>
      </c>
      <c r="D892">
        <v>40</v>
      </c>
      <c r="E892" s="4" t="s">
        <v>2137</v>
      </c>
      <c r="F892" s="4" t="s">
        <v>2146</v>
      </c>
      <c r="G892" t="s">
        <v>30</v>
      </c>
      <c r="H892" s="1">
        <v>44565</v>
      </c>
      <c r="I892" s="4">
        <v>118288.91</v>
      </c>
      <c r="J892" t="s">
        <v>200</v>
      </c>
      <c r="K892">
        <v>-2150014187</v>
      </c>
      <c r="L892" t="s">
        <v>45</v>
      </c>
      <c r="M892" t="b">
        <v>0</v>
      </c>
      <c r="N892">
        <v>0</v>
      </c>
    </row>
    <row r="893" spans="1:14" x14ac:dyDescent="0.25">
      <c r="A893" t="s">
        <v>1903</v>
      </c>
      <c r="B893" t="s">
        <v>61</v>
      </c>
      <c r="C893" t="s">
        <v>14</v>
      </c>
      <c r="D893">
        <v>25</v>
      </c>
      <c r="E893" s="4" t="s">
        <v>2137</v>
      </c>
      <c r="F893" s="4" t="s">
        <v>2148</v>
      </c>
      <c r="G893" t="s">
        <v>16</v>
      </c>
      <c r="H893" s="1">
        <v>44405</v>
      </c>
      <c r="I893" s="4">
        <v>59555.1</v>
      </c>
      <c r="J893" t="s">
        <v>200</v>
      </c>
      <c r="K893">
        <v>-4216309000</v>
      </c>
      <c r="L893" t="s">
        <v>33</v>
      </c>
      <c r="M893" t="b">
        <v>1</v>
      </c>
      <c r="N893">
        <v>2977.7550000000001</v>
      </c>
    </row>
    <row r="894" spans="1:14" x14ac:dyDescent="0.25">
      <c r="A894" t="s">
        <v>1905</v>
      </c>
      <c r="B894" t="s">
        <v>75</v>
      </c>
      <c r="C894" t="s">
        <v>142</v>
      </c>
      <c r="D894">
        <v>40</v>
      </c>
      <c r="E894" s="4" t="s">
        <v>2141</v>
      </c>
      <c r="F894" s="4" t="s">
        <v>2138</v>
      </c>
      <c r="G894" t="s">
        <v>16</v>
      </c>
      <c r="H894" s="1">
        <v>45646</v>
      </c>
      <c r="I894" s="4">
        <v>70661.31</v>
      </c>
      <c r="J894" t="s">
        <v>436</v>
      </c>
      <c r="K894">
        <v>-5944633398</v>
      </c>
      <c r="L894" t="s">
        <v>33</v>
      </c>
      <c r="M894" t="b">
        <v>1</v>
      </c>
      <c r="N894">
        <v>3533.0655000000002</v>
      </c>
    </row>
    <row r="895" spans="1:14" x14ac:dyDescent="0.25">
      <c r="A895" t="s">
        <v>1907</v>
      </c>
      <c r="B895" t="s">
        <v>61</v>
      </c>
      <c r="C895" t="s">
        <v>28</v>
      </c>
      <c r="E895" s="4" t="s">
        <v>2145</v>
      </c>
      <c r="F895" s="4" t="s">
        <v>2146</v>
      </c>
      <c r="G895" t="s">
        <v>16</v>
      </c>
      <c r="H895" s="1">
        <v>44674</v>
      </c>
      <c r="I895" s="4">
        <v>109988.16</v>
      </c>
      <c r="J895" t="s">
        <v>140</v>
      </c>
      <c r="K895">
        <v>-9485320894</v>
      </c>
      <c r="L895" t="s">
        <v>33</v>
      </c>
      <c r="M895" t="b">
        <v>1</v>
      </c>
      <c r="N895">
        <v>5499.4080000000004</v>
      </c>
    </row>
    <row r="896" spans="1:14" x14ac:dyDescent="0.25">
      <c r="A896" t="s">
        <v>1909</v>
      </c>
      <c r="B896" t="s">
        <v>67</v>
      </c>
      <c r="C896" t="s">
        <v>21</v>
      </c>
      <c r="E896" s="4" t="s">
        <v>2139</v>
      </c>
      <c r="F896" s="4" t="s">
        <v>2144</v>
      </c>
      <c r="G896" t="s">
        <v>36</v>
      </c>
      <c r="H896" s="1">
        <v>43860</v>
      </c>
      <c r="I896" s="4">
        <v>101101.24</v>
      </c>
      <c r="J896" t="s">
        <v>265</v>
      </c>
      <c r="K896">
        <v>-3263890218</v>
      </c>
      <c r="L896" t="s">
        <v>45</v>
      </c>
      <c r="M896" t="b">
        <v>1</v>
      </c>
      <c r="N896">
        <v>0</v>
      </c>
    </row>
    <row r="897" spans="1:14" x14ac:dyDescent="0.25">
      <c r="A897" t="s">
        <v>1911</v>
      </c>
      <c r="B897" t="s">
        <v>67</v>
      </c>
      <c r="C897" t="s">
        <v>21</v>
      </c>
      <c r="D897">
        <v>30</v>
      </c>
      <c r="E897" s="4" t="s">
        <v>2147</v>
      </c>
      <c r="F897" s="4" t="s">
        <v>2144</v>
      </c>
      <c r="G897" t="s">
        <v>30</v>
      </c>
      <c r="H897" s="1">
        <v>44286</v>
      </c>
      <c r="I897" s="4">
        <v>112427.58</v>
      </c>
      <c r="J897" t="s">
        <v>265</v>
      </c>
      <c r="K897">
        <v>-9471136336</v>
      </c>
      <c r="L897" t="s">
        <v>33</v>
      </c>
      <c r="M897" t="b">
        <v>1</v>
      </c>
      <c r="N897">
        <v>5621.3790000000008</v>
      </c>
    </row>
    <row r="898" spans="1:14" x14ac:dyDescent="0.25">
      <c r="A898" t="s">
        <v>1913</v>
      </c>
      <c r="B898" t="s">
        <v>61</v>
      </c>
      <c r="C898" t="s">
        <v>106</v>
      </c>
      <c r="E898" s="4" t="s">
        <v>2143</v>
      </c>
      <c r="F898" s="4" t="s">
        <v>2144</v>
      </c>
      <c r="G898" t="s">
        <v>16</v>
      </c>
      <c r="H898" s="1">
        <v>43913</v>
      </c>
      <c r="I898" s="4">
        <v>119389.15</v>
      </c>
      <c r="J898" t="s">
        <v>607</v>
      </c>
      <c r="K898">
        <v>-9223410345</v>
      </c>
      <c r="L898" t="s">
        <v>45</v>
      </c>
      <c r="M898" t="b">
        <v>0</v>
      </c>
      <c r="N898">
        <v>0</v>
      </c>
    </row>
    <row r="899" spans="1:14" x14ac:dyDescent="0.25">
      <c r="A899" t="s">
        <v>1915</v>
      </c>
      <c r="B899" t="s">
        <v>27</v>
      </c>
      <c r="C899" t="s">
        <v>21</v>
      </c>
      <c r="D899">
        <v>40</v>
      </c>
      <c r="E899" s="4" t="s">
        <v>2145</v>
      </c>
      <c r="F899" s="4" t="s">
        <v>2144</v>
      </c>
      <c r="G899" t="s">
        <v>36</v>
      </c>
      <c r="H899" s="1">
        <v>45489</v>
      </c>
      <c r="I899" s="4">
        <v>105861.23</v>
      </c>
      <c r="J899" t="s">
        <v>93</v>
      </c>
      <c r="K899">
        <v>-9967331166</v>
      </c>
      <c r="L899" t="s">
        <v>33</v>
      </c>
      <c r="M899" t="b">
        <v>1</v>
      </c>
      <c r="N899">
        <v>5293.0614999999998</v>
      </c>
    </row>
    <row r="900" spans="1:14" x14ac:dyDescent="0.25">
      <c r="A900" t="s">
        <v>1917</v>
      </c>
      <c r="B900" t="s">
        <v>75</v>
      </c>
      <c r="C900" t="s">
        <v>14</v>
      </c>
      <c r="D900">
        <v>40</v>
      </c>
      <c r="E900" s="4" t="s">
        <v>2141</v>
      </c>
      <c r="F900" s="4" t="s">
        <v>2140</v>
      </c>
      <c r="G900" t="s">
        <v>30</v>
      </c>
      <c r="H900" s="1">
        <v>45373</v>
      </c>
      <c r="I900" s="4">
        <v>50869.61</v>
      </c>
      <c r="J900" t="s">
        <v>469</v>
      </c>
      <c r="K900">
        <v>-7269608436</v>
      </c>
      <c r="L900" t="s">
        <v>19</v>
      </c>
      <c r="M900" t="b">
        <v>1</v>
      </c>
      <c r="N900">
        <v>1017.3922</v>
      </c>
    </row>
    <row r="901" spans="1:14" x14ac:dyDescent="0.25">
      <c r="A901" t="s">
        <v>1919</v>
      </c>
      <c r="B901" t="s">
        <v>67</v>
      </c>
      <c r="C901" t="s">
        <v>41</v>
      </c>
      <c r="D901">
        <v>30</v>
      </c>
      <c r="E901" s="4" t="s">
        <v>2147</v>
      </c>
      <c r="F901" s="4" t="s">
        <v>2138</v>
      </c>
      <c r="G901" t="s">
        <v>16</v>
      </c>
      <c r="H901" s="1">
        <v>45157</v>
      </c>
      <c r="I901" s="4"/>
      <c r="J901" t="s">
        <v>70</v>
      </c>
      <c r="K901">
        <v>-6855078966</v>
      </c>
      <c r="L901" t="s">
        <v>25</v>
      </c>
      <c r="M901" t="b">
        <v>1</v>
      </c>
    </row>
    <row r="902" spans="1:14" x14ac:dyDescent="0.25">
      <c r="A902" t="s">
        <v>1920</v>
      </c>
      <c r="B902" t="s">
        <v>35</v>
      </c>
      <c r="C902" t="s">
        <v>28</v>
      </c>
      <c r="D902">
        <v>30</v>
      </c>
      <c r="E902" s="4" t="s">
        <v>2137</v>
      </c>
      <c r="F902" s="4" t="s">
        <v>2144</v>
      </c>
      <c r="G902" t="s">
        <v>30</v>
      </c>
      <c r="H902" s="1">
        <v>45361</v>
      </c>
      <c r="I902" s="4">
        <v>90856.21</v>
      </c>
      <c r="J902" t="s">
        <v>323</v>
      </c>
      <c r="K902">
        <v>-9352196262</v>
      </c>
      <c r="L902" t="s">
        <v>19</v>
      </c>
      <c r="M902" t="b">
        <v>1</v>
      </c>
      <c r="N902">
        <v>1817.1242000000002</v>
      </c>
    </row>
    <row r="903" spans="1:14" x14ac:dyDescent="0.25">
      <c r="A903" t="s">
        <v>1922</v>
      </c>
      <c r="B903" t="s">
        <v>75</v>
      </c>
      <c r="C903" t="s">
        <v>21</v>
      </c>
      <c r="D903">
        <v>30</v>
      </c>
      <c r="E903" s="4" t="s">
        <v>2137</v>
      </c>
      <c r="F903" s="4" t="s">
        <v>2144</v>
      </c>
      <c r="G903" t="s">
        <v>16</v>
      </c>
      <c r="H903" s="1">
        <v>45448</v>
      </c>
      <c r="I903" s="4">
        <v>111008.63</v>
      </c>
      <c r="J903" t="s">
        <v>480</v>
      </c>
      <c r="K903">
        <v>-3556434368</v>
      </c>
      <c r="L903" t="s">
        <v>25</v>
      </c>
      <c r="M903" t="b">
        <v>1</v>
      </c>
      <c r="N903">
        <v>11100.863000000001</v>
      </c>
    </row>
    <row r="904" spans="1:14" x14ac:dyDescent="0.25">
      <c r="A904" t="s">
        <v>1924</v>
      </c>
      <c r="B904" t="s">
        <v>27</v>
      </c>
      <c r="C904" t="s">
        <v>106</v>
      </c>
      <c r="D904">
        <v>25</v>
      </c>
      <c r="E904" s="4" t="s">
        <v>2139</v>
      </c>
      <c r="F904" s="4" t="s">
        <v>2142</v>
      </c>
      <c r="G904" t="s">
        <v>36</v>
      </c>
      <c r="H904" s="1">
        <v>44918</v>
      </c>
      <c r="I904" s="4">
        <v>52289.99</v>
      </c>
      <c r="J904" t="s">
        <v>194</v>
      </c>
      <c r="K904">
        <v>-7093170694</v>
      </c>
      <c r="L904" t="s">
        <v>45</v>
      </c>
      <c r="M904" t="b">
        <v>1</v>
      </c>
      <c r="N904">
        <v>0</v>
      </c>
    </row>
    <row r="905" spans="1:14" x14ac:dyDescent="0.25">
      <c r="A905" t="s">
        <v>1926</v>
      </c>
      <c r="B905" t="s">
        <v>35</v>
      </c>
      <c r="C905" t="s">
        <v>14</v>
      </c>
      <c r="E905" s="4" t="s">
        <v>2145</v>
      </c>
      <c r="F905" s="4" t="s">
        <v>2148</v>
      </c>
      <c r="G905" t="s">
        <v>16</v>
      </c>
      <c r="H905" s="1">
        <v>45444</v>
      </c>
      <c r="I905" s="4">
        <v>97926.56</v>
      </c>
      <c r="J905" t="s">
        <v>38</v>
      </c>
      <c r="K905">
        <v>-5607676163</v>
      </c>
      <c r="L905" t="s">
        <v>19</v>
      </c>
      <c r="M905" t="b">
        <v>1</v>
      </c>
      <c r="N905">
        <v>1958.5311999999999</v>
      </c>
    </row>
    <row r="906" spans="1:14" x14ac:dyDescent="0.25">
      <c r="A906" t="s">
        <v>1928</v>
      </c>
      <c r="B906" t="s">
        <v>40</v>
      </c>
      <c r="C906" t="s">
        <v>41</v>
      </c>
      <c r="D906">
        <v>25</v>
      </c>
      <c r="E906" s="4" t="s">
        <v>2145</v>
      </c>
      <c r="F906" s="4" t="s">
        <v>2142</v>
      </c>
      <c r="G906" t="s">
        <v>36</v>
      </c>
      <c r="H906" s="1">
        <v>45649</v>
      </c>
      <c r="I906" s="4">
        <v>53609.38</v>
      </c>
      <c r="J906" t="s">
        <v>44</v>
      </c>
      <c r="K906">
        <v>-5345472238</v>
      </c>
      <c r="L906" t="s">
        <v>33</v>
      </c>
      <c r="M906" t="b">
        <v>0</v>
      </c>
      <c r="N906">
        <v>2680.4690000000001</v>
      </c>
    </row>
    <row r="907" spans="1:14" x14ac:dyDescent="0.25">
      <c r="A907" t="s">
        <v>1930</v>
      </c>
      <c r="B907" t="s">
        <v>75</v>
      </c>
      <c r="C907" t="s">
        <v>62</v>
      </c>
      <c r="E907" s="4" t="s">
        <v>2143</v>
      </c>
      <c r="F907" s="4" t="s">
        <v>2138</v>
      </c>
      <c r="G907" t="s">
        <v>36</v>
      </c>
      <c r="H907" s="1">
        <v>44189</v>
      </c>
      <c r="I907" s="4">
        <v>95372.09</v>
      </c>
      <c r="J907" t="s">
        <v>132</v>
      </c>
      <c r="K907">
        <v>-8983065030</v>
      </c>
      <c r="L907" t="s">
        <v>25</v>
      </c>
      <c r="M907" t="b">
        <v>0</v>
      </c>
      <c r="N907">
        <v>9537.2090000000007</v>
      </c>
    </row>
    <row r="908" spans="1:14" x14ac:dyDescent="0.25">
      <c r="A908" t="s">
        <v>1932</v>
      </c>
      <c r="B908" t="s">
        <v>67</v>
      </c>
      <c r="C908" t="s">
        <v>62</v>
      </c>
      <c r="D908">
        <v>30</v>
      </c>
      <c r="E908" s="4" t="s">
        <v>2147</v>
      </c>
      <c r="F908" s="4" t="s">
        <v>2146</v>
      </c>
      <c r="G908" t="s">
        <v>30</v>
      </c>
      <c r="H908" s="1">
        <v>44063</v>
      </c>
      <c r="I908" s="4">
        <v>95432.69</v>
      </c>
      <c r="J908" t="s">
        <v>257</v>
      </c>
      <c r="K908">
        <v>-2198041846</v>
      </c>
      <c r="L908" t="s">
        <v>25</v>
      </c>
      <c r="M908" t="b">
        <v>1</v>
      </c>
      <c r="N908">
        <v>9543.2690000000002</v>
      </c>
    </row>
    <row r="909" spans="1:14" x14ac:dyDescent="0.25">
      <c r="A909" t="s">
        <v>1934</v>
      </c>
      <c r="B909" t="s">
        <v>67</v>
      </c>
      <c r="C909" t="s">
        <v>41</v>
      </c>
      <c r="D909">
        <v>30</v>
      </c>
      <c r="E909" s="4" t="s">
        <v>2147</v>
      </c>
      <c r="F909" s="4" t="s">
        <v>2138</v>
      </c>
      <c r="G909" t="s">
        <v>36</v>
      </c>
      <c r="H909" s="1">
        <v>44862</v>
      </c>
      <c r="I909" s="4">
        <v>97615.87</v>
      </c>
      <c r="J909" t="s">
        <v>70</v>
      </c>
      <c r="K909">
        <v>-2426423641</v>
      </c>
      <c r="L909" t="s">
        <v>19</v>
      </c>
      <c r="M909" t="b">
        <v>0</v>
      </c>
      <c r="N909">
        <v>1952.3173999999999</v>
      </c>
    </row>
    <row r="910" spans="1:14" x14ac:dyDescent="0.25">
      <c r="A910" t="s">
        <v>1936</v>
      </c>
      <c r="B910" t="s">
        <v>13</v>
      </c>
      <c r="C910" t="s">
        <v>14</v>
      </c>
      <c r="D910">
        <v>35</v>
      </c>
      <c r="E910" s="4" t="s">
        <v>2147</v>
      </c>
      <c r="F910" s="4" t="s">
        <v>2144</v>
      </c>
      <c r="G910" t="s">
        <v>36</v>
      </c>
      <c r="H910" s="1">
        <v>44857</v>
      </c>
      <c r="I910" s="4">
        <v>86867.78</v>
      </c>
      <c r="J910" t="s">
        <v>18</v>
      </c>
      <c r="K910">
        <v>-8131909247</v>
      </c>
      <c r="L910" t="s">
        <v>45</v>
      </c>
      <c r="M910" t="b">
        <v>0</v>
      </c>
      <c r="N910">
        <v>0</v>
      </c>
    </row>
    <row r="911" spans="1:14" x14ac:dyDescent="0.25">
      <c r="A911" t="s">
        <v>1938</v>
      </c>
      <c r="B911" t="s">
        <v>35</v>
      </c>
      <c r="C911" t="s">
        <v>106</v>
      </c>
      <c r="D911">
        <v>40</v>
      </c>
      <c r="E911" s="4" t="s">
        <v>2145</v>
      </c>
      <c r="F911" s="4" t="s">
        <v>2138</v>
      </c>
      <c r="G911" t="s">
        <v>30</v>
      </c>
      <c r="H911" s="1">
        <v>45250</v>
      </c>
      <c r="I911" s="4">
        <v>106615.71</v>
      </c>
      <c r="J911" t="s">
        <v>307</v>
      </c>
      <c r="K911">
        <v>-7623039110</v>
      </c>
      <c r="L911" t="s">
        <v>19</v>
      </c>
      <c r="M911" t="b">
        <v>0</v>
      </c>
      <c r="N911">
        <v>2132.3142000000003</v>
      </c>
    </row>
    <row r="912" spans="1:14" x14ac:dyDescent="0.25">
      <c r="A912" t="s">
        <v>1940</v>
      </c>
      <c r="B912" t="s">
        <v>13</v>
      </c>
      <c r="C912" t="s">
        <v>41</v>
      </c>
      <c r="D912">
        <v>30</v>
      </c>
      <c r="E912" s="4" t="s">
        <v>2139</v>
      </c>
      <c r="F912" s="4" t="s">
        <v>2140</v>
      </c>
      <c r="G912" t="s">
        <v>16</v>
      </c>
      <c r="H912" s="1">
        <v>44631</v>
      </c>
      <c r="I912" s="4">
        <v>112856.21</v>
      </c>
      <c r="J912" t="s">
        <v>170</v>
      </c>
      <c r="K912">
        <v>-4281785227</v>
      </c>
      <c r="L912" t="s">
        <v>45</v>
      </c>
      <c r="M912" t="b">
        <v>0</v>
      </c>
      <c r="N912">
        <v>0</v>
      </c>
    </row>
    <row r="913" spans="1:14" x14ac:dyDescent="0.25">
      <c r="A913" t="s">
        <v>1942</v>
      </c>
      <c r="B913" t="s">
        <v>13</v>
      </c>
      <c r="C913" t="s">
        <v>28</v>
      </c>
      <c r="D913">
        <v>25</v>
      </c>
      <c r="E913" s="4" t="s">
        <v>2141</v>
      </c>
      <c r="F913" s="4" t="s">
        <v>2138</v>
      </c>
      <c r="G913" t="s">
        <v>16</v>
      </c>
      <c r="H913" s="1">
        <v>45258</v>
      </c>
      <c r="I913" s="4">
        <v>60356.78</v>
      </c>
      <c r="J913" t="s">
        <v>56</v>
      </c>
      <c r="K913">
        <v>-2305248087</v>
      </c>
      <c r="L913" t="s">
        <v>45</v>
      </c>
      <c r="M913" t="b">
        <v>1</v>
      </c>
      <c r="N913">
        <v>0</v>
      </c>
    </row>
    <row r="914" spans="1:14" x14ac:dyDescent="0.25">
      <c r="A914" t="s">
        <v>1944</v>
      </c>
      <c r="B914" t="s">
        <v>67</v>
      </c>
      <c r="C914" t="s">
        <v>28</v>
      </c>
      <c r="E914" s="4" t="s">
        <v>2137</v>
      </c>
      <c r="F914" s="4" t="s">
        <v>2140</v>
      </c>
      <c r="G914" t="s">
        <v>36</v>
      </c>
      <c r="H914" s="1">
        <v>44684</v>
      </c>
      <c r="I914" s="4">
        <v>117870.22</v>
      </c>
      <c r="J914" t="s">
        <v>283</v>
      </c>
      <c r="K914">
        <v>-622072238</v>
      </c>
      <c r="L914" t="s">
        <v>25</v>
      </c>
      <c r="M914" t="b">
        <v>0</v>
      </c>
      <c r="N914">
        <v>11787.022000000001</v>
      </c>
    </row>
    <row r="915" spans="1:14" x14ac:dyDescent="0.25">
      <c r="A915" t="s">
        <v>1946</v>
      </c>
      <c r="B915" t="s">
        <v>61</v>
      </c>
      <c r="C915" t="s">
        <v>62</v>
      </c>
      <c r="D915">
        <v>40</v>
      </c>
      <c r="E915" s="4" t="s">
        <v>2147</v>
      </c>
      <c r="F915" s="4" t="s">
        <v>2144</v>
      </c>
      <c r="G915" t="s">
        <v>36</v>
      </c>
      <c r="H915" s="1">
        <v>45341</v>
      </c>
      <c r="I915" s="4">
        <v>95127.91</v>
      </c>
      <c r="J915" t="s">
        <v>65</v>
      </c>
      <c r="K915">
        <v>-5947372131</v>
      </c>
      <c r="L915" t="s">
        <v>19</v>
      </c>
      <c r="M915" t="b">
        <v>0</v>
      </c>
      <c r="N915">
        <v>1902.5582000000002</v>
      </c>
    </row>
    <row r="916" spans="1:14" x14ac:dyDescent="0.25">
      <c r="A916" t="s">
        <v>1948</v>
      </c>
      <c r="B916" t="s">
        <v>13</v>
      </c>
      <c r="C916" t="s">
        <v>21</v>
      </c>
      <c r="D916">
        <v>25</v>
      </c>
      <c r="E916" s="4" t="s">
        <v>2141</v>
      </c>
      <c r="F916" s="4" t="s">
        <v>2148</v>
      </c>
      <c r="G916" t="s">
        <v>30</v>
      </c>
      <c r="H916" s="1">
        <v>44518</v>
      </c>
      <c r="I916" s="4">
        <v>78818.42</v>
      </c>
      <c r="J916" t="s">
        <v>24</v>
      </c>
      <c r="K916">
        <v>-9016204786</v>
      </c>
      <c r="L916" t="s">
        <v>19</v>
      </c>
      <c r="M916" t="b">
        <v>0</v>
      </c>
      <c r="N916">
        <v>1576.3684000000001</v>
      </c>
    </row>
    <row r="917" spans="1:14" x14ac:dyDescent="0.25">
      <c r="A917" t="s">
        <v>1950</v>
      </c>
      <c r="B917" t="s">
        <v>40</v>
      </c>
      <c r="C917" t="s">
        <v>106</v>
      </c>
      <c r="D917">
        <v>40</v>
      </c>
      <c r="E917" s="4" t="s">
        <v>2145</v>
      </c>
      <c r="F917" s="4" t="s">
        <v>2142</v>
      </c>
      <c r="G917" t="s">
        <v>30</v>
      </c>
      <c r="H917" s="1">
        <v>44916</v>
      </c>
      <c r="I917" s="4">
        <v>108933.55</v>
      </c>
      <c r="J917" t="s">
        <v>128</v>
      </c>
      <c r="K917">
        <v>-6886878598</v>
      </c>
      <c r="L917" t="s">
        <v>45</v>
      </c>
      <c r="M917" t="b">
        <v>1</v>
      </c>
      <c r="N917">
        <v>0</v>
      </c>
    </row>
    <row r="918" spans="1:14" x14ac:dyDescent="0.25">
      <c r="A918" t="s">
        <v>1952</v>
      </c>
      <c r="B918" t="s">
        <v>35</v>
      </c>
      <c r="C918" t="s">
        <v>62</v>
      </c>
      <c r="E918" s="4" t="s">
        <v>2141</v>
      </c>
      <c r="F918" s="4" t="s">
        <v>2138</v>
      </c>
      <c r="G918" t="s">
        <v>16</v>
      </c>
      <c r="H918" s="1">
        <v>45447</v>
      </c>
      <c r="I918" s="4">
        <v>68200.52</v>
      </c>
      <c r="J918" t="s">
        <v>380</v>
      </c>
      <c r="K918">
        <v>-6486287202</v>
      </c>
      <c r="L918" t="s">
        <v>19</v>
      </c>
      <c r="M918" t="b">
        <v>1</v>
      </c>
      <c r="N918">
        <v>1364.0104000000001</v>
      </c>
    </row>
    <row r="919" spans="1:14" x14ac:dyDescent="0.25">
      <c r="A919" t="s">
        <v>1954</v>
      </c>
      <c r="B919" t="s">
        <v>35</v>
      </c>
      <c r="C919" t="s">
        <v>21</v>
      </c>
      <c r="D919">
        <v>25</v>
      </c>
      <c r="E919" s="4" t="s">
        <v>2141</v>
      </c>
      <c r="F919" s="4" t="s">
        <v>2138</v>
      </c>
      <c r="G919" t="s">
        <v>36</v>
      </c>
      <c r="H919" s="1">
        <v>44764</v>
      </c>
      <c r="I919" s="4">
        <v>116934.97</v>
      </c>
      <c r="J919" t="s">
        <v>183</v>
      </c>
      <c r="K919">
        <v>-1954196663</v>
      </c>
      <c r="L919" t="s">
        <v>33</v>
      </c>
      <c r="M919" t="b">
        <v>1</v>
      </c>
      <c r="N919">
        <v>5846.7485000000006</v>
      </c>
    </row>
    <row r="920" spans="1:14" x14ac:dyDescent="0.25">
      <c r="A920" t="s">
        <v>1956</v>
      </c>
      <c r="B920" t="s">
        <v>61</v>
      </c>
      <c r="C920" t="s">
        <v>21</v>
      </c>
      <c r="E920" s="4" t="s">
        <v>2147</v>
      </c>
      <c r="F920" s="4" t="s">
        <v>2146</v>
      </c>
      <c r="G920" t="s">
        <v>16</v>
      </c>
      <c r="H920" s="1">
        <v>45549</v>
      </c>
      <c r="I920" s="4">
        <v>99567.78</v>
      </c>
      <c r="J920" t="s">
        <v>147</v>
      </c>
      <c r="K920">
        <v>-5057303626</v>
      </c>
      <c r="L920" t="s">
        <v>33</v>
      </c>
      <c r="M920" t="b">
        <v>1</v>
      </c>
      <c r="N920">
        <v>4978.3890000000001</v>
      </c>
    </row>
    <row r="921" spans="1:14" x14ac:dyDescent="0.25">
      <c r="A921" t="s">
        <v>1958</v>
      </c>
      <c r="B921" t="s">
        <v>61</v>
      </c>
      <c r="C921" t="s">
        <v>47</v>
      </c>
      <c r="D921">
        <v>30</v>
      </c>
      <c r="E921" s="4" t="s">
        <v>2141</v>
      </c>
      <c r="F921" s="4" t="s">
        <v>2140</v>
      </c>
      <c r="G921" t="s">
        <v>16</v>
      </c>
      <c r="H921" s="1">
        <v>44479</v>
      </c>
      <c r="I921" s="4">
        <v>90216.76</v>
      </c>
      <c r="J921" t="s">
        <v>100</v>
      </c>
      <c r="K921">
        <v>-9246320373</v>
      </c>
      <c r="L921" t="s">
        <v>19</v>
      </c>
      <c r="M921" t="b">
        <v>1</v>
      </c>
      <c r="N921">
        <v>1804.3352</v>
      </c>
    </row>
    <row r="922" spans="1:14" x14ac:dyDescent="0.25">
      <c r="A922" t="s">
        <v>1960</v>
      </c>
      <c r="B922" t="s">
        <v>40</v>
      </c>
      <c r="C922" t="s">
        <v>28</v>
      </c>
      <c r="D922">
        <v>30</v>
      </c>
      <c r="E922" s="4" t="s">
        <v>2141</v>
      </c>
      <c r="F922" s="4" t="s">
        <v>2148</v>
      </c>
      <c r="G922" t="s">
        <v>30</v>
      </c>
      <c r="H922" s="1">
        <v>43902</v>
      </c>
      <c r="I922" s="4">
        <v>96588.73</v>
      </c>
      <c r="J922" t="s">
        <v>53</v>
      </c>
      <c r="K922">
        <v>-7677537259</v>
      </c>
      <c r="L922" t="s">
        <v>19</v>
      </c>
      <c r="M922" t="b">
        <v>1</v>
      </c>
      <c r="N922">
        <v>1931.7746</v>
      </c>
    </row>
    <row r="923" spans="1:14" x14ac:dyDescent="0.25">
      <c r="A923" t="s">
        <v>1962</v>
      </c>
      <c r="B923" t="s">
        <v>61</v>
      </c>
      <c r="C923" t="s">
        <v>14</v>
      </c>
      <c r="D923">
        <v>35</v>
      </c>
      <c r="E923" s="4" t="s">
        <v>2139</v>
      </c>
      <c r="F923" s="4" t="s">
        <v>2148</v>
      </c>
      <c r="G923" t="s">
        <v>16</v>
      </c>
      <c r="H923" s="1">
        <v>44923</v>
      </c>
      <c r="I923" s="4">
        <v>71109.179999999993</v>
      </c>
      <c r="J923" t="s">
        <v>200</v>
      </c>
      <c r="K923">
        <v>-3214505765</v>
      </c>
      <c r="L923" t="s">
        <v>45</v>
      </c>
      <c r="M923" t="b">
        <v>1</v>
      </c>
      <c r="N923">
        <v>0</v>
      </c>
    </row>
    <row r="924" spans="1:14" x14ac:dyDescent="0.25">
      <c r="A924" t="s">
        <v>1964</v>
      </c>
      <c r="B924" t="s">
        <v>80</v>
      </c>
      <c r="C924" t="s">
        <v>142</v>
      </c>
      <c r="D924">
        <v>40</v>
      </c>
      <c r="E924" s="4" t="s">
        <v>2141</v>
      </c>
      <c r="F924" s="4" t="s">
        <v>2144</v>
      </c>
      <c r="G924" t="s">
        <v>36</v>
      </c>
      <c r="H924" s="1">
        <v>44150</v>
      </c>
      <c r="I924" s="4">
        <v>50300.6</v>
      </c>
      <c r="J924" t="s">
        <v>160</v>
      </c>
      <c r="K924">
        <v>-1945887070</v>
      </c>
      <c r="L924" t="s">
        <v>33</v>
      </c>
      <c r="M924" t="b">
        <v>0</v>
      </c>
      <c r="N924">
        <v>2515.0300000000002</v>
      </c>
    </row>
    <row r="925" spans="1:14" x14ac:dyDescent="0.25">
      <c r="A925" t="s">
        <v>1966</v>
      </c>
      <c r="B925" t="s">
        <v>40</v>
      </c>
      <c r="C925" t="s">
        <v>14</v>
      </c>
      <c r="D925">
        <v>35</v>
      </c>
      <c r="E925" s="4" t="s">
        <v>2139</v>
      </c>
      <c r="F925" s="4" t="s">
        <v>2138</v>
      </c>
      <c r="G925" t="s">
        <v>30</v>
      </c>
      <c r="H925" s="1">
        <v>45196</v>
      </c>
      <c r="I925" s="4">
        <v>60295.839999999997</v>
      </c>
      <c r="J925" t="s">
        <v>59</v>
      </c>
      <c r="K925">
        <v>-5534820127</v>
      </c>
      <c r="L925" t="s">
        <v>33</v>
      </c>
      <c r="M925" t="b">
        <v>0</v>
      </c>
      <c r="N925">
        <v>3014.7919999999999</v>
      </c>
    </row>
    <row r="926" spans="1:14" x14ac:dyDescent="0.25">
      <c r="A926" t="s">
        <v>1968</v>
      </c>
      <c r="B926" t="s">
        <v>75</v>
      </c>
      <c r="C926" t="s">
        <v>142</v>
      </c>
      <c r="D926">
        <v>35</v>
      </c>
      <c r="E926" s="4" t="s">
        <v>2137</v>
      </c>
      <c r="F926" s="4" t="s">
        <v>2140</v>
      </c>
      <c r="G926" t="s">
        <v>30</v>
      </c>
      <c r="H926" s="1">
        <v>44811</v>
      </c>
      <c r="I926" s="4">
        <v>113012.21</v>
      </c>
      <c r="J926" t="s">
        <v>436</v>
      </c>
      <c r="K926">
        <v>-4008385075</v>
      </c>
      <c r="L926" t="s">
        <v>25</v>
      </c>
      <c r="M926" t="b">
        <v>0</v>
      </c>
      <c r="N926">
        <v>11301.221000000001</v>
      </c>
    </row>
    <row r="927" spans="1:14" x14ac:dyDescent="0.25">
      <c r="A927" t="s">
        <v>1970</v>
      </c>
      <c r="B927" t="s">
        <v>13</v>
      </c>
      <c r="C927" t="s">
        <v>41</v>
      </c>
      <c r="D927">
        <v>35</v>
      </c>
      <c r="E927" s="4" t="s">
        <v>2143</v>
      </c>
      <c r="F927" s="4" t="s">
        <v>2144</v>
      </c>
      <c r="G927" t="s">
        <v>30</v>
      </c>
      <c r="H927" s="1">
        <v>45553</v>
      </c>
      <c r="I927" s="4">
        <v>65425.54</v>
      </c>
      <c r="J927" t="s">
        <v>170</v>
      </c>
      <c r="K927">
        <v>-5975954507</v>
      </c>
      <c r="L927" t="s">
        <v>45</v>
      </c>
      <c r="M927" t="b">
        <v>1</v>
      </c>
      <c r="N927">
        <v>0</v>
      </c>
    </row>
    <row r="928" spans="1:14" x14ac:dyDescent="0.25">
      <c r="A928" t="s">
        <v>1972</v>
      </c>
      <c r="B928" t="s">
        <v>40</v>
      </c>
      <c r="C928" t="s">
        <v>28</v>
      </c>
      <c r="D928">
        <v>25</v>
      </c>
      <c r="E928" s="4" t="s">
        <v>2145</v>
      </c>
      <c r="F928" s="4" t="s">
        <v>2142</v>
      </c>
      <c r="G928" t="s">
        <v>16</v>
      </c>
      <c r="H928" s="1">
        <v>45025</v>
      </c>
      <c r="I928" s="4">
        <v>86850.37</v>
      </c>
      <c r="J928" t="s">
        <v>53</v>
      </c>
      <c r="K928">
        <v>-9177680897</v>
      </c>
      <c r="L928" t="s">
        <v>25</v>
      </c>
      <c r="M928" t="b">
        <v>1</v>
      </c>
      <c r="N928">
        <v>8685.0370000000003</v>
      </c>
    </row>
    <row r="929" spans="1:14" x14ac:dyDescent="0.25">
      <c r="A929" t="s">
        <v>1974</v>
      </c>
      <c r="B929" t="s">
        <v>35</v>
      </c>
      <c r="C929" t="s">
        <v>21</v>
      </c>
      <c r="D929">
        <v>30</v>
      </c>
      <c r="E929" s="4" t="s">
        <v>2143</v>
      </c>
      <c r="F929" s="4" t="s">
        <v>2140</v>
      </c>
      <c r="G929" t="s">
        <v>30</v>
      </c>
      <c r="H929" s="1">
        <v>45570</v>
      </c>
      <c r="I929" s="4">
        <v>81182.070000000007</v>
      </c>
      <c r="J929" t="s">
        <v>183</v>
      </c>
      <c r="K929">
        <v>-1265742230</v>
      </c>
      <c r="L929" t="s">
        <v>33</v>
      </c>
      <c r="M929" t="b">
        <v>1</v>
      </c>
      <c r="N929">
        <v>4059.1035000000006</v>
      </c>
    </row>
    <row r="930" spans="1:14" x14ac:dyDescent="0.25">
      <c r="A930" t="s">
        <v>1976</v>
      </c>
      <c r="B930" t="s">
        <v>13</v>
      </c>
      <c r="C930" t="s">
        <v>106</v>
      </c>
      <c r="E930" s="4" t="s">
        <v>2139</v>
      </c>
      <c r="F930" s="4" t="s">
        <v>2146</v>
      </c>
      <c r="G930" t="s">
        <v>36</v>
      </c>
      <c r="H930" s="1">
        <v>44481</v>
      </c>
      <c r="I930" s="4">
        <v>92222.03</v>
      </c>
      <c r="J930" t="s">
        <v>108</v>
      </c>
      <c r="K930">
        <v>-9646300401</v>
      </c>
      <c r="L930" t="s">
        <v>45</v>
      </c>
      <c r="M930" t="b">
        <v>1</v>
      </c>
      <c r="N930">
        <v>0</v>
      </c>
    </row>
    <row r="931" spans="1:14" x14ac:dyDescent="0.25">
      <c r="A931" t="s">
        <v>1978</v>
      </c>
      <c r="B931" t="s">
        <v>27</v>
      </c>
      <c r="C931" t="s">
        <v>142</v>
      </c>
      <c r="D931">
        <v>35</v>
      </c>
      <c r="E931" s="4" t="s">
        <v>2139</v>
      </c>
      <c r="F931" s="4" t="s">
        <v>2146</v>
      </c>
      <c r="G931" t="s">
        <v>30</v>
      </c>
      <c r="H931" s="1">
        <v>45579</v>
      </c>
      <c r="I931" s="4">
        <v>79934.83</v>
      </c>
      <c r="J931" t="s">
        <v>217</v>
      </c>
      <c r="K931">
        <v>-3693626893</v>
      </c>
      <c r="L931" t="s">
        <v>19</v>
      </c>
      <c r="M931" t="b">
        <v>1</v>
      </c>
      <c r="N931">
        <v>1598.6966</v>
      </c>
    </row>
    <row r="932" spans="1:14" x14ac:dyDescent="0.25">
      <c r="A932" t="s">
        <v>1980</v>
      </c>
      <c r="B932" t="s">
        <v>27</v>
      </c>
      <c r="C932" t="s">
        <v>14</v>
      </c>
      <c r="D932">
        <v>35</v>
      </c>
      <c r="E932" s="4" t="s">
        <v>2147</v>
      </c>
      <c r="F932" s="4" t="s">
        <v>2138</v>
      </c>
      <c r="G932" t="s">
        <v>36</v>
      </c>
      <c r="H932" s="1">
        <v>44743</v>
      </c>
      <c r="I932" s="4">
        <v>111201.12</v>
      </c>
      <c r="J932" t="s">
        <v>191</v>
      </c>
      <c r="K932">
        <v>-3012047136</v>
      </c>
      <c r="L932" t="s">
        <v>45</v>
      </c>
      <c r="M932" t="b">
        <v>0</v>
      </c>
      <c r="N932">
        <v>0</v>
      </c>
    </row>
    <row r="933" spans="1:14" x14ac:dyDescent="0.25">
      <c r="A933" t="s">
        <v>1982</v>
      </c>
      <c r="B933" t="s">
        <v>75</v>
      </c>
      <c r="C933" t="s">
        <v>21</v>
      </c>
      <c r="D933">
        <v>40</v>
      </c>
      <c r="E933" s="4" t="s">
        <v>2139</v>
      </c>
      <c r="F933" s="4" t="s">
        <v>2138</v>
      </c>
      <c r="G933" t="s">
        <v>16</v>
      </c>
      <c r="H933" s="1">
        <v>45481</v>
      </c>
      <c r="I933" s="4">
        <v>100960.05</v>
      </c>
      <c r="J933" t="s">
        <v>480</v>
      </c>
      <c r="K933">
        <v>-2711759573</v>
      </c>
      <c r="L933" t="s">
        <v>19</v>
      </c>
      <c r="M933" t="b">
        <v>0</v>
      </c>
      <c r="N933">
        <v>2019.201</v>
      </c>
    </row>
    <row r="934" spans="1:14" x14ac:dyDescent="0.25">
      <c r="A934" t="s">
        <v>1984</v>
      </c>
      <c r="B934" t="s">
        <v>80</v>
      </c>
      <c r="C934" t="s">
        <v>142</v>
      </c>
      <c r="D934">
        <v>30</v>
      </c>
      <c r="E934" s="4" t="s">
        <v>2145</v>
      </c>
      <c r="F934" s="4" t="s">
        <v>2148</v>
      </c>
      <c r="G934" t="s">
        <v>16</v>
      </c>
      <c r="H934" s="1">
        <v>44125</v>
      </c>
      <c r="I934" s="4">
        <v>64544.87</v>
      </c>
      <c r="J934" t="s">
        <v>160</v>
      </c>
      <c r="K934">
        <v>-9885582983</v>
      </c>
      <c r="L934" t="s">
        <v>19</v>
      </c>
      <c r="M934" t="b">
        <v>1</v>
      </c>
      <c r="N934">
        <v>1290.8974000000001</v>
      </c>
    </row>
    <row r="935" spans="1:14" x14ac:dyDescent="0.25">
      <c r="A935" t="s">
        <v>1986</v>
      </c>
      <c r="B935" t="s">
        <v>40</v>
      </c>
      <c r="C935" t="s">
        <v>142</v>
      </c>
      <c r="D935">
        <v>25</v>
      </c>
      <c r="E935" s="4" t="s">
        <v>2145</v>
      </c>
      <c r="F935" s="4" t="s">
        <v>2144</v>
      </c>
      <c r="G935" t="s">
        <v>16</v>
      </c>
      <c r="H935" s="1">
        <v>43844</v>
      </c>
      <c r="I935" s="4">
        <v>78662.240000000005</v>
      </c>
      <c r="J935" t="s">
        <v>163</v>
      </c>
      <c r="K935">
        <v>-9330674583</v>
      </c>
      <c r="L935" t="s">
        <v>45</v>
      </c>
      <c r="M935" t="b">
        <v>1</v>
      </c>
      <c r="N935">
        <v>0</v>
      </c>
    </row>
    <row r="936" spans="1:14" x14ac:dyDescent="0.25">
      <c r="A936" t="s">
        <v>1988</v>
      </c>
      <c r="B936" t="s">
        <v>80</v>
      </c>
      <c r="C936" t="s">
        <v>47</v>
      </c>
      <c r="D936">
        <v>30</v>
      </c>
      <c r="E936" s="4" t="s">
        <v>2145</v>
      </c>
      <c r="F936" s="4" t="s">
        <v>2144</v>
      </c>
      <c r="G936" t="s">
        <v>30</v>
      </c>
      <c r="H936" s="1">
        <v>44994</v>
      </c>
      <c r="I936" s="4">
        <v>102867.06</v>
      </c>
      <c r="J936" t="s">
        <v>96</v>
      </c>
      <c r="K936">
        <v>-7609441282</v>
      </c>
      <c r="L936" t="s">
        <v>19</v>
      </c>
      <c r="M936" t="b">
        <v>1</v>
      </c>
      <c r="N936">
        <v>2057.3411999999998</v>
      </c>
    </row>
    <row r="937" spans="1:14" x14ac:dyDescent="0.25">
      <c r="A937" t="s">
        <v>1990</v>
      </c>
      <c r="B937" t="s">
        <v>61</v>
      </c>
      <c r="C937" t="s">
        <v>142</v>
      </c>
      <c r="D937">
        <v>40</v>
      </c>
      <c r="E937" s="4" t="s">
        <v>2147</v>
      </c>
      <c r="F937" s="4" t="s">
        <v>2148</v>
      </c>
      <c r="G937" t="s">
        <v>36</v>
      </c>
      <c r="H937" s="1">
        <v>43917</v>
      </c>
      <c r="I937" s="4">
        <v>107595.95</v>
      </c>
      <c r="J937" t="s">
        <v>231</v>
      </c>
      <c r="K937">
        <v>-3372188565</v>
      </c>
      <c r="L937" t="s">
        <v>25</v>
      </c>
      <c r="M937" t="b">
        <v>1</v>
      </c>
      <c r="N937">
        <v>10759.595000000001</v>
      </c>
    </row>
    <row r="938" spans="1:14" x14ac:dyDescent="0.25">
      <c r="A938" t="s">
        <v>1992</v>
      </c>
      <c r="B938" t="s">
        <v>35</v>
      </c>
      <c r="C938" t="s">
        <v>106</v>
      </c>
      <c r="D938">
        <v>40</v>
      </c>
      <c r="E938" s="4" t="s">
        <v>2145</v>
      </c>
      <c r="F938" s="4" t="s">
        <v>2142</v>
      </c>
      <c r="G938" t="s">
        <v>36</v>
      </c>
      <c r="H938" s="1">
        <v>44290</v>
      </c>
      <c r="I938" s="4"/>
      <c r="J938" t="s">
        <v>307</v>
      </c>
      <c r="K938">
        <v>-6954132970</v>
      </c>
      <c r="L938" t="s">
        <v>33</v>
      </c>
      <c r="M938" t="b">
        <v>0</v>
      </c>
    </row>
    <row r="939" spans="1:14" x14ac:dyDescent="0.25">
      <c r="A939" t="s">
        <v>1993</v>
      </c>
      <c r="B939" t="s">
        <v>35</v>
      </c>
      <c r="C939" t="s">
        <v>28</v>
      </c>
      <c r="D939">
        <v>35</v>
      </c>
      <c r="E939" s="4" t="s">
        <v>2137</v>
      </c>
      <c r="F939" s="4" t="s">
        <v>2142</v>
      </c>
      <c r="G939" t="s">
        <v>36</v>
      </c>
      <c r="H939" s="1">
        <v>44085</v>
      </c>
      <c r="I939" s="4">
        <v>95766.91</v>
      </c>
      <c r="J939" t="s">
        <v>323</v>
      </c>
      <c r="K939">
        <v>-5066626704</v>
      </c>
      <c r="L939" t="s">
        <v>19</v>
      </c>
      <c r="M939" t="b">
        <v>1</v>
      </c>
      <c r="N939">
        <v>1915.3382000000001</v>
      </c>
    </row>
    <row r="940" spans="1:14" x14ac:dyDescent="0.25">
      <c r="A940" t="s">
        <v>1995</v>
      </c>
      <c r="B940" t="s">
        <v>80</v>
      </c>
      <c r="C940" t="s">
        <v>106</v>
      </c>
      <c r="D940">
        <v>30</v>
      </c>
      <c r="E940" s="4" t="s">
        <v>2139</v>
      </c>
      <c r="F940" s="4" t="s">
        <v>2142</v>
      </c>
      <c r="G940" t="s">
        <v>30</v>
      </c>
      <c r="H940" s="1">
        <v>44332</v>
      </c>
      <c r="I940" s="4">
        <v>51990.98</v>
      </c>
      <c r="J940" t="s">
        <v>197</v>
      </c>
      <c r="K940">
        <v>-5143776935</v>
      </c>
      <c r="L940" t="s">
        <v>25</v>
      </c>
      <c r="M940" t="b">
        <v>1</v>
      </c>
      <c r="N940">
        <v>5199.0980000000009</v>
      </c>
    </row>
    <row r="941" spans="1:14" x14ac:dyDescent="0.25">
      <c r="A941" t="s">
        <v>1997</v>
      </c>
      <c r="B941" t="s">
        <v>75</v>
      </c>
      <c r="C941" t="s">
        <v>62</v>
      </c>
      <c r="D941">
        <v>25</v>
      </c>
      <c r="E941" s="4" t="s">
        <v>2145</v>
      </c>
      <c r="F941" s="4" t="s">
        <v>2142</v>
      </c>
      <c r="G941" t="s">
        <v>36</v>
      </c>
      <c r="H941" s="1">
        <v>45021</v>
      </c>
      <c r="I941" s="4">
        <v>83634.009999999995</v>
      </c>
      <c r="J941" t="s">
        <v>132</v>
      </c>
      <c r="K941">
        <v>-6343925294</v>
      </c>
      <c r="L941" t="s">
        <v>19</v>
      </c>
      <c r="M941" t="b">
        <v>1</v>
      </c>
      <c r="N941">
        <v>1672.6802</v>
      </c>
    </row>
    <row r="942" spans="1:14" x14ac:dyDescent="0.25">
      <c r="A942" t="s">
        <v>1999</v>
      </c>
      <c r="B942" t="s">
        <v>35</v>
      </c>
      <c r="C942" t="s">
        <v>21</v>
      </c>
      <c r="D942">
        <v>40</v>
      </c>
      <c r="E942" s="4" t="s">
        <v>2137</v>
      </c>
      <c r="F942" s="4" t="s">
        <v>2140</v>
      </c>
      <c r="G942" t="s">
        <v>36</v>
      </c>
      <c r="H942" s="1">
        <v>44880</v>
      </c>
      <c r="I942" s="4"/>
      <c r="J942" t="s">
        <v>183</v>
      </c>
      <c r="K942">
        <v>-9611110285</v>
      </c>
      <c r="L942" t="s">
        <v>33</v>
      </c>
      <c r="M942" t="b">
        <v>1</v>
      </c>
    </row>
    <row r="943" spans="1:14" x14ac:dyDescent="0.25">
      <c r="A943" t="s">
        <v>2000</v>
      </c>
      <c r="B943" t="s">
        <v>35</v>
      </c>
      <c r="C943" t="s">
        <v>28</v>
      </c>
      <c r="D943">
        <v>30</v>
      </c>
      <c r="E943" s="4" t="s">
        <v>2145</v>
      </c>
      <c r="F943" s="4" t="s">
        <v>2140</v>
      </c>
      <c r="G943" t="s">
        <v>16</v>
      </c>
      <c r="H943" s="1">
        <v>44485</v>
      </c>
      <c r="I943" s="4">
        <v>82273.08</v>
      </c>
      <c r="J943" t="s">
        <v>323</v>
      </c>
      <c r="K943">
        <v>-7120072023</v>
      </c>
      <c r="L943" t="s">
        <v>25</v>
      </c>
      <c r="M943" t="b">
        <v>0</v>
      </c>
      <c r="N943">
        <v>8227.3080000000009</v>
      </c>
    </row>
    <row r="944" spans="1:14" x14ac:dyDescent="0.25">
      <c r="A944" t="s">
        <v>2002</v>
      </c>
      <c r="B944" t="s">
        <v>40</v>
      </c>
      <c r="C944" t="s">
        <v>47</v>
      </c>
      <c r="D944">
        <v>30</v>
      </c>
      <c r="E944" s="4" t="s">
        <v>2143</v>
      </c>
      <c r="F944" s="4" t="s">
        <v>2138</v>
      </c>
      <c r="G944" t="s">
        <v>36</v>
      </c>
      <c r="H944" s="1">
        <v>44690</v>
      </c>
      <c r="I944" s="4">
        <v>94537.3</v>
      </c>
      <c r="J944" t="s">
        <v>214</v>
      </c>
      <c r="K944">
        <v>-5591024509</v>
      </c>
      <c r="L944" t="s">
        <v>33</v>
      </c>
      <c r="M944" t="b">
        <v>1</v>
      </c>
      <c r="N944">
        <v>4726.8650000000007</v>
      </c>
    </row>
    <row r="945" spans="1:14" x14ac:dyDescent="0.25">
      <c r="A945" t="s">
        <v>2004</v>
      </c>
      <c r="B945" t="s">
        <v>27</v>
      </c>
      <c r="C945" t="s">
        <v>28</v>
      </c>
      <c r="D945">
        <v>35</v>
      </c>
      <c r="E945" s="4" t="s">
        <v>2147</v>
      </c>
      <c r="F945" s="4" t="s">
        <v>2148</v>
      </c>
      <c r="G945" t="s">
        <v>30</v>
      </c>
      <c r="H945" s="1">
        <v>43988</v>
      </c>
      <c r="I945" s="4">
        <v>85970.65</v>
      </c>
      <c r="J945" t="s">
        <v>32</v>
      </c>
      <c r="K945">
        <v>-9109032670</v>
      </c>
      <c r="L945" t="s">
        <v>33</v>
      </c>
      <c r="M945" t="b">
        <v>1</v>
      </c>
      <c r="N945">
        <v>4298.5325000000003</v>
      </c>
    </row>
    <row r="946" spans="1:14" x14ac:dyDescent="0.25">
      <c r="A946" t="s">
        <v>2006</v>
      </c>
      <c r="B946" t="s">
        <v>61</v>
      </c>
      <c r="C946" t="s">
        <v>28</v>
      </c>
      <c r="D946">
        <v>25</v>
      </c>
      <c r="E946" s="4" t="s">
        <v>2145</v>
      </c>
      <c r="F946" s="4" t="s">
        <v>2146</v>
      </c>
      <c r="G946" t="s">
        <v>30</v>
      </c>
      <c r="H946" s="1">
        <v>44491</v>
      </c>
      <c r="I946" s="4">
        <v>111071.02</v>
      </c>
      <c r="J946" t="s">
        <v>140</v>
      </c>
      <c r="K946">
        <v>-4949819420</v>
      </c>
      <c r="L946" t="s">
        <v>25</v>
      </c>
      <c r="M946" t="b">
        <v>0</v>
      </c>
      <c r="N946">
        <v>11107.102000000001</v>
      </c>
    </row>
    <row r="947" spans="1:14" x14ac:dyDescent="0.25">
      <c r="A947" t="s">
        <v>2008</v>
      </c>
      <c r="B947" t="s">
        <v>35</v>
      </c>
      <c r="C947" t="s">
        <v>14</v>
      </c>
      <c r="D947">
        <v>35</v>
      </c>
      <c r="E947" s="4" t="s">
        <v>2137</v>
      </c>
      <c r="F947" s="4" t="s">
        <v>2142</v>
      </c>
      <c r="G947" t="s">
        <v>30</v>
      </c>
      <c r="H947" s="1">
        <v>44573</v>
      </c>
      <c r="I947" s="4">
        <v>56708.34</v>
      </c>
      <c r="J947" t="s">
        <v>38</v>
      </c>
      <c r="K947">
        <v>-7942817933</v>
      </c>
      <c r="L947" t="s">
        <v>25</v>
      </c>
      <c r="M947" t="b">
        <v>0</v>
      </c>
      <c r="N947">
        <v>5670.8339999999998</v>
      </c>
    </row>
    <row r="948" spans="1:14" x14ac:dyDescent="0.25">
      <c r="A948" t="s">
        <v>2010</v>
      </c>
      <c r="B948" t="s">
        <v>61</v>
      </c>
      <c r="C948" t="s">
        <v>28</v>
      </c>
      <c r="D948">
        <v>25</v>
      </c>
      <c r="E948" s="4" t="s">
        <v>2141</v>
      </c>
      <c r="F948" s="4" t="s">
        <v>2148</v>
      </c>
      <c r="G948" t="s">
        <v>36</v>
      </c>
      <c r="H948" s="1">
        <v>44594</v>
      </c>
      <c r="I948" s="4">
        <v>104516.55</v>
      </c>
      <c r="J948" t="s">
        <v>140</v>
      </c>
      <c r="K948">
        <v>-652775843</v>
      </c>
      <c r="L948" t="s">
        <v>25</v>
      </c>
      <c r="M948" t="b">
        <v>0</v>
      </c>
      <c r="N948">
        <v>10451.655000000001</v>
      </c>
    </row>
    <row r="949" spans="1:14" x14ac:dyDescent="0.25">
      <c r="A949" t="s">
        <v>2012</v>
      </c>
      <c r="B949" t="s">
        <v>61</v>
      </c>
      <c r="C949" t="s">
        <v>47</v>
      </c>
      <c r="D949">
        <v>25</v>
      </c>
      <c r="E949" s="4" t="s">
        <v>2141</v>
      </c>
      <c r="F949" s="4" t="s">
        <v>2146</v>
      </c>
      <c r="G949" t="s">
        <v>30</v>
      </c>
      <c r="H949" s="1">
        <v>44283</v>
      </c>
      <c r="I949" s="4">
        <v>108210.15</v>
      </c>
      <c r="J949" t="s">
        <v>100</v>
      </c>
      <c r="K949">
        <v>-6634533721</v>
      </c>
      <c r="L949" t="s">
        <v>45</v>
      </c>
      <c r="M949" t="b">
        <v>1</v>
      </c>
      <c r="N949">
        <v>0</v>
      </c>
    </row>
    <row r="950" spans="1:14" x14ac:dyDescent="0.25">
      <c r="A950" t="s">
        <v>2014</v>
      </c>
      <c r="B950" t="s">
        <v>13</v>
      </c>
      <c r="C950" t="s">
        <v>106</v>
      </c>
      <c r="D950">
        <v>40</v>
      </c>
      <c r="E950" s="4" t="s">
        <v>2139</v>
      </c>
      <c r="F950" s="4" t="s">
        <v>2140</v>
      </c>
      <c r="G950" t="s">
        <v>16</v>
      </c>
      <c r="H950" s="1">
        <v>45507</v>
      </c>
      <c r="I950" s="4"/>
      <c r="J950" t="s">
        <v>108</v>
      </c>
      <c r="K950">
        <v>-109121721</v>
      </c>
      <c r="L950" t="s">
        <v>25</v>
      </c>
      <c r="M950" t="b">
        <v>1</v>
      </c>
    </row>
    <row r="951" spans="1:14" x14ac:dyDescent="0.25">
      <c r="A951" t="s">
        <v>2015</v>
      </c>
      <c r="B951" t="s">
        <v>40</v>
      </c>
      <c r="C951" t="s">
        <v>28</v>
      </c>
      <c r="D951">
        <v>35</v>
      </c>
      <c r="E951" s="4" t="s">
        <v>2137</v>
      </c>
      <c r="F951" s="4" t="s">
        <v>2138</v>
      </c>
      <c r="G951" t="s">
        <v>16</v>
      </c>
      <c r="H951" s="1">
        <v>45504</v>
      </c>
      <c r="I951" s="4">
        <v>80935.649999999994</v>
      </c>
      <c r="J951" t="s">
        <v>53</v>
      </c>
      <c r="K951">
        <v>-1455937660</v>
      </c>
      <c r="L951" t="s">
        <v>25</v>
      </c>
      <c r="M951" t="b">
        <v>0</v>
      </c>
      <c r="N951">
        <v>8093.5649999999996</v>
      </c>
    </row>
    <row r="952" spans="1:14" x14ac:dyDescent="0.25">
      <c r="A952" t="s">
        <v>2017</v>
      </c>
      <c r="B952" t="s">
        <v>40</v>
      </c>
      <c r="C952" t="s">
        <v>41</v>
      </c>
      <c r="D952">
        <v>30</v>
      </c>
      <c r="E952" s="4" t="s">
        <v>2137</v>
      </c>
      <c r="F952" s="4" t="s">
        <v>2138</v>
      </c>
      <c r="G952" t="s">
        <v>16</v>
      </c>
      <c r="H952" s="1">
        <v>45355</v>
      </c>
      <c r="I952" s="4">
        <v>107020.19</v>
      </c>
      <c r="J952" t="s">
        <v>44</v>
      </c>
      <c r="K952">
        <v>-8943705262</v>
      </c>
      <c r="L952" t="s">
        <v>25</v>
      </c>
      <c r="M952" t="b">
        <v>0</v>
      </c>
      <c r="N952">
        <v>10702.019</v>
      </c>
    </row>
    <row r="953" spans="1:14" x14ac:dyDescent="0.25">
      <c r="A953" t="s">
        <v>2019</v>
      </c>
      <c r="B953" t="s">
        <v>61</v>
      </c>
      <c r="C953" t="s">
        <v>21</v>
      </c>
      <c r="D953">
        <v>30</v>
      </c>
      <c r="E953" s="4" t="s">
        <v>2147</v>
      </c>
      <c r="F953" s="4" t="s">
        <v>2146</v>
      </c>
      <c r="G953" t="s">
        <v>16</v>
      </c>
      <c r="H953" s="1">
        <v>44097</v>
      </c>
      <c r="I953" s="4">
        <v>118677.67</v>
      </c>
      <c r="J953" t="s">
        <v>147</v>
      </c>
      <c r="K953">
        <v>-5100462775</v>
      </c>
      <c r="L953" t="s">
        <v>25</v>
      </c>
      <c r="M953" t="b">
        <v>0</v>
      </c>
      <c r="N953">
        <v>11867.767</v>
      </c>
    </row>
    <row r="954" spans="1:14" x14ac:dyDescent="0.25">
      <c r="A954" t="s">
        <v>2021</v>
      </c>
      <c r="B954" t="s">
        <v>13</v>
      </c>
      <c r="C954" t="s">
        <v>28</v>
      </c>
      <c r="D954">
        <v>25</v>
      </c>
      <c r="E954" s="4" t="s">
        <v>2143</v>
      </c>
      <c r="F954" s="4" t="s">
        <v>2144</v>
      </c>
      <c r="G954" t="s">
        <v>36</v>
      </c>
      <c r="H954" s="1">
        <v>43918</v>
      </c>
      <c r="I954" s="4">
        <v>63744.57</v>
      </c>
      <c r="J954" t="s">
        <v>56</v>
      </c>
      <c r="K954">
        <v>-5725659201</v>
      </c>
      <c r="L954" t="s">
        <v>19</v>
      </c>
      <c r="M954" t="b">
        <v>0</v>
      </c>
      <c r="N954">
        <v>1274.8914</v>
      </c>
    </row>
    <row r="955" spans="1:14" x14ac:dyDescent="0.25">
      <c r="A955" t="s">
        <v>2023</v>
      </c>
      <c r="B955" t="s">
        <v>27</v>
      </c>
      <c r="C955" t="s">
        <v>21</v>
      </c>
      <c r="D955">
        <v>40</v>
      </c>
      <c r="E955" s="4" t="s">
        <v>2143</v>
      </c>
      <c r="F955" s="4" t="s">
        <v>2138</v>
      </c>
      <c r="G955" t="s">
        <v>16</v>
      </c>
      <c r="H955" s="1">
        <v>43966</v>
      </c>
      <c r="I955" s="4"/>
      <c r="J955" t="s">
        <v>93</v>
      </c>
      <c r="K955">
        <v>-4617520237</v>
      </c>
      <c r="L955" t="s">
        <v>45</v>
      </c>
      <c r="M955" t="b">
        <v>0</v>
      </c>
      <c r="N955">
        <v>0</v>
      </c>
    </row>
    <row r="956" spans="1:14" x14ac:dyDescent="0.25">
      <c r="A956" t="s">
        <v>2024</v>
      </c>
      <c r="B956" t="s">
        <v>13</v>
      </c>
      <c r="C956" t="s">
        <v>41</v>
      </c>
      <c r="D956">
        <v>25</v>
      </c>
      <c r="E956" s="4" t="s">
        <v>2145</v>
      </c>
      <c r="F956" s="4" t="s">
        <v>2146</v>
      </c>
      <c r="G956" t="s">
        <v>30</v>
      </c>
      <c r="H956" s="1">
        <v>44240</v>
      </c>
      <c r="I956" s="4">
        <v>62934.73</v>
      </c>
      <c r="J956" t="s">
        <v>170</v>
      </c>
      <c r="K956">
        <v>-9743260054</v>
      </c>
      <c r="L956" t="s">
        <v>33</v>
      </c>
      <c r="M956" t="b">
        <v>0</v>
      </c>
      <c r="N956">
        <v>3146.7365000000004</v>
      </c>
    </row>
    <row r="957" spans="1:14" x14ac:dyDescent="0.25">
      <c r="A957" t="s">
        <v>2026</v>
      </c>
      <c r="B957" t="s">
        <v>13</v>
      </c>
      <c r="C957" t="s">
        <v>41</v>
      </c>
      <c r="D957">
        <v>30</v>
      </c>
      <c r="E957" s="4" t="s">
        <v>2137</v>
      </c>
      <c r="F957" s="4" t="s">
        <v>2138</v>
      </c>
      <c r="G957" t="s">
        <v>30</v>
      </c>
      <c r="H957" s="1">
        <v>44543</v>
      </c>
      <c r="I957" s="4">
        <v>74654.23</v>
      </c>
      <c r="J957" t="s">
        <v>170</v>
      </c>
      <c r="K957">
        <v>-9550178331</v>
      </c>
      <c r="L957" t="s">
        <v>25</v>
      </c>
      <c r="M957" t="b">
        <v>1</v>
      </c>
      <c r="N957">
        <v>7465.4229999999998</v>
      </c>
    </row>
    <row r="958" spans="1:14" x14ac:dyDescent="0.25">
      <c r="A958" t="s">
        <v>2028</v>
      </c>
      <c r="B958" t="s">
        <v>67</v>
      </c>
      <c r="C958" t="s">
        <v>21</v>
      </c>
      <c r="E958" s="4" t="s">
        <v>2145</v>
      </c>
      <c r="F958" s="4" t="s">
        <v>2140</v>
      </c>
      <c r="G958" t="s">
        <v>16</v>
      </c>
      <c r="H958" s="1">
        <v>45509</v>
      </c>
      <c r="I958" s="4"/>
      <c r="J958" t="s">
        <v>265</v>
      </c>
      <c r="K958">
        <v>-5848689992</v>
      </c>
      <c r="L958" t="s">
        <v>19</v>
      </c>
      <c r="M958" t="b">
        <v>1</v>
      </c>
    </row>
    <row r="959" spans="1:14" x14ac:dyDescent="0.25">
      <c r="A959" t="s">
        <v>2029</v>
      </c>
      <c r="B959" t="s">
        <v>67</v>
      </c>
      <c r="C959" t="s">
        <v>142</v>
      </c>
      <c r="D959">
        <v>30</v>
      </c>
      <c r="E959" s="4" t="s">
        <v>2147</v>
      </c>
      <c r="F959" s="4" t="s">
        <v>2146</v>
      </c>
      <c r="G959" t="s">
        <v>30</v>
      </c>
      <c r="H959" s="1">
        <v>43839</v>
      </c>
      <c r="I959" s="4">
        <v>118150.59</v>
      </c>
      <c r="J959" t="s">
        <v>402</v>
      </c>
      <c r="K959">
        <v>-6079848703</v>
      </c>
      <c r="L959" t="s">
        <v>19</v>
      </c>
      <c r="M959" t="b">
        <v>1</v>
      </c>
      <c r="N959">
        <v>2363.0117999999998</v>
      </c>
    </row>
    <row r="960" spans="1:14" x14ac:dyDescent="0.25">
      <c r="A960" t="s">
        <v>2031</v>
      </c>
      <c r="B960" t="s">
        <v>67</v>
      </c>
      <c r="C960" t="s">
        <v>62</v>
      </c>
      <c r="E960" s="4" t="s">
        <v>2137</v>
      </c>
      <c r="F960" s="4" t="s">
        <v>2144</v>
      </c>
      <c r="G960" t="s">
        <v>36</v>
      </c>
      <c r="H960" s="1">
        <v>45260</v>
      </c>
      <c r="I960" s="4">
        <v>91256.639999999999</v>
      </c>
      <c r="J960" t="s">
        <v>257</v>
      </c>
      <c r="K960">
        <v>-5069176798</v>
      </c>
      <c r="L960" t="s">
        <v>19</v>
      </c>
      <c r="M960" t="b">
        <v>0</v>
      </c>
      <c r="N960">
        <v>1825.1328000000001</v>
      </c>
    </row>
    <row r="961" spans="1:14" x14ac:dyDescent="0.25">
      <c r="A961" t="s">
        <v>2033</v>
      </c>
      <c r="B961" t="s">
        <v>13</v>
      </c>
      <c r="C961" t="s">
        <v>14</v>
      </c>
      <c r="D961">
        <v>30</v>
      </c>
      <c r="E961" s="4" t="s">
        <v>2147</v>
      </c>
      <c r="F961" s="4" t="s">
        <v>2144</v>
      </c>
      <c r="G961" t="s">
        <v>36</v>
      </c>
      <c r="H961" s="1">
        <v>44269</v>
      </c>
      <c r="I961" s="4">
        <v>85997.57</v>
      </c>
      <c r="J961" t="s">
        <v>18</v>
      </c>
      <c r="K961">
        <v>-3593744038</v>
      </c>
      <c r="L961" t="s">
        <v>33</v>
      </c>
      <c r="M961" t="b">
        <v>0</v>
      </c>
      <c r="N961">
        <v>4299.8785000000007</v>
      </c>
    </row>
    <row r="962" spans="1:14" x14ac:dyDescent="0.25">
      <c r="A962" t="s">
        <v>2035</v>
      </c>
      <c r="B962" t="s">
        <v>40</v>
      </c>
      <c r="C962" t="s">
        <v>142</v>
      </c>
      <c r="D962">
        <v>25</v>
      </c>
      <c r="E962" s="4" t="s">
        <v>2139</v>
      </c>
      <c r="F962" s="4" t="s">
        <v>2140</v>
      </c>
      <c r="G962" t="s">
        <v>30</v>
      </c>
      <c r="H962" s="1">
        <v>44109</v>
      </c>
      <c r="I962" s="4">
        <v>84707.12</v>
      </c>
      <c r="J962" t="s">
        <v>163</v>
      </c>
      <c r="K962">
        <v>-4640830372</v>
      </c>
      <c r="L962" t="s">
        <v>25</v>
      </c>
      <c r="M962" t="b">
        <v>0</v>
      </c>
      <c r="N962">
        <v>8470.7119999999995</v>
      </c>
    </row>
    <row r="963" spans="1:14" x14ac:dyDescent="0.25">
      <c r="A963" t="s">
        <v>2037</v>
      </c>
      <c r="B963" t="s">
        <v>35</v>
      </c>
      <c r="C963" t="s">
        <v>142</v>
      </c>
      <c r="E963" s="4" t="s">
        <v>2137</v>
      </c>
      <c r="F963" s="4" t="s">
        <v>2140</v>
      </c>
      <c r="G963" t="s">
        <v>16</v>
      </c>
      <c r="H963" s="1">
        <v>44502</v>
      </c>
      <c r="I963" s="4">
        <v>84559.9</v>
      </c>
      <c r="J963" t="s">
        <v>632</v>
      </c>
      <c r="K963">
        <v>-6060148859</v>
      </c>
      <c r="L963" t="s">
        <v>45</v>
      </c>
      <c r="M963" t="b">
        <v>0</v>
      </c>
      <c r="N963">
        <v>0</v>
      </c>
    </row>
    <row r="964" spans="1:14" x14ac:dyDescent="0.25">
      <c r="A964" t="s">
        <v>2039</v>
      </c>
      <c r="B964" t="s">
        <v>75</v>
      </c>
      <c r="C964" t="s">
        <v>106</v>
      </c>
      <c r="E964" s="4" t="s">
        <v>2137</v>
      </c>
      <c r="F964" s="4" t="s">
        <v>2138</v>
      </c>
      <c r="G964" t="s">
        <v>30</v>
      </c>
      <c r="H964" s="1">
        <v>45553</v>
      </c>
      <c r="I964" s="4">
        <v>81076.91</v>
      </c>
      <c r="J964" t="s">
        <v>153</v>
      </c>
      <c r="K964">
        <v>-8490793883</v>
      </c>
      <c r="L964" t="s">
        <v>45</v>
      </c>
      <c r="M964" t="b">
        <v>0</v>
      </c>
      <c r="N964">
        <v>0</v>
      </c>
    </row>
    <row r="965" spans="1:14" x14ac:dyDescent="0.25">
      <c r="A965" t="s">
        <v>2041</v>
      </c>
      <c r="B965" t="s">
        <v>35</v>
      </c>
      <c r="C965" t="s">
        <v>14</v>
      </c>
      <c r="D965">
        <v>40</v>
      </c>
      <c r="E965" s="4" t="s">
        <v>2141</v>
      </c>
      <c r="F965" s="4" t="s">
        <v>2140</v>
      </c>
      <c r="G965" t="s">
        <v>36</v>
      </c>
      <c r="H965" s="1">
        <v>45221</v>
      </c>
      <c r="I965" s="4"/>
      <c r="J965" t="s">
        <v>38</v>
      </c>
      <c r="K965">
        <v>-1368528305</v>
      </c>
      <c r="L965" t="s">
        <v>19</v>
      </c>
      <c r="M965" t="b">
        <v>0</v>
      </c>
    </row>
    <row r="966" spans="1:14" x14ac:dyDescent="0.25">
      <c r="A966" t="s">
        <v>2042</v>
      </c>
      <c r="B966" t="s">
        <v>75</v>
      </c>
      <c r="C966" t="s">
        <v>14</v>
      </c>
      <c r="D966">
        <v>25</v>
      </c>
      <c r="E966" s="4" t="s">
        <v>2139</v>
      </c>
      <c r="F966" s="4" t="s">
        <v>2144</v>
      </c>
      <c r="G966" t="s">
        <v>30</v>
      </c>
      <c r="H966" s="1">
        <v>45179</v>
      </c>
      <c r="I966" s="4">
        <v>97356.31</v>
      </c>
      <c r="J966" t="s">
        <v>469</v>
      </c>
      <c r="K966">
        <v>-1537012423</v>
      </c>
      <c r="L966" t="s">
        <v>33</v>
      </c>
      <c r="M966" t="b">
        <v>1</v>
      </c>
      <c r="N966">
        <v>4867.8154999999997</v>
      </c>
    </row>
    <row r="967" spans="1:14" x14ac:dyDescent="0.25">
      <c r="A967" t="s">
        <v>2044</v>
      </c>
      <c r="B967" t="s">
        <v>80</v>
      </c>
      <c r="C967" t="s">
        <v>142</v>
      </c>
      <c r="D967">
        <v>40</v>
      </c>
      <c r="E967" s="4" t="s">
        <v>2137</v>
      </c>
      <c r="F967" s="4" t="s">
        <v>2148</v>
      </c>
      <c r="G967" t="s">
        <v>16</v>
      </c>
      <c r="H967" s="1">
        <v>45349</v>
      </c>
      <c r="I967" s="4">
        <v>114770.32</v>
      </c>
      <c r="J967" t="s">
        <v>160</v>
      </c>
      <c r="K967">
        <v>-4626325143</v>
      </c>
      <c r="L967" t="s">
        <v>33</v>
      </c>
      <c r="M967" t="b">
        <v>1</v>
      </c>
      <c r="N967">
        <v>5738.5160000000005</v>
      </c>
    </row>
    <row r="968" spans="1:14" x14ac:dyDescent="0.25">
      <c r="A968" t="s">
        <v>2046</v>
      </c>
      <c r="B968" t="s">
        <v>13</v>
      </c>
      <c r="C968" t="s">
        <v>28</v>
      </c>
      <c r="D968">
        <v>35</v>
      </c>
      <c r="E968" s="4" t="s">
        <v>2141</v>
      </c>
      <c r="F968" s="4" t="s">
        <v>2138</v>
      </c>
      <c r="G968" t="s">
        <v>16</v>
      </c>
      <c r="H968" s="1">
        <v>45049</v>
      </c>
      <c r="I968" s="4">
        <v>109082.07</v>
      </c>
      <c r="J968" t="s">
        <v>56</v>
      </c>
      <c r="K968">
        <v>-8811210313</v>
      </c>
      <c r="L968" t="s">
        <v>33</v>
      </c>
      <c r="M968" t="b">
        <v>0</v>
      </c>
      <c r="N968">
        <v>5454.1035000000011</v>
      </c>
    </row>
    <row r="969" spans="1:14" x14ac:dyDescent="0.25">
      <c r="A969" t="s">
        <v>2048</v>
      </c>
      <c r="B969" t="s">
        <v>67</v>
      </c>
      <c r="C969" t="s">
        <v>106</v>
      </c>
      <c r="D969">
        <v>40</v>
      </c>
      <c r="E969" s="4" t="s">
        <v>2137</v>
      </c>
      <c r="F969" s="4" t="s">
        <v>2144</v>
      </c>
      <c r="G969" t="s">
        <v>36</v>
      </c>
      <c r="H969" s="1">
        <v>45397</v>
      </c>
      <c r="I969" s="4">
        <v>99944.57</v>
      </c>
      <c r="J969" t="s">
        <v>124</v>
      </c>
      <c r="K969">
        <v>-2175188780</v>
      </c>
      <c r="L969" t="s">
        <v>45</v>
      </c>
      <c r="M969" t="b">
        <v>1</v>
      </c>
      <c r="N969">
        <v>0</v>
      </c>
    </row>
    <row r="970" spans="1:14" x14ac:dyDescent="0.25">
      <c r="A970" t="s">
        <v>2050</v>
      </c>
      <c r="B970" t="s">
        <v>35</v>
      </c>
      <c r="C970" t="s">
        <v>106</v>
      </c>
      <c r="D970">
        <v>40</v>
      </c>
      <c r="E970" s="4" t="s">
        <v>2147</v>
      </c>
      <c r="F970" s="4" t="s">
        <v>2144</v>
      </c>
      <c r="G970" t="s">
        <v>30</v>
      </c>
      <c r="H970" s="1">
        <v>45066</v>
      </c>
      <c r="I970" s="4">
        <v>116509.72</v>
      </c>
      <c r="J970" t="s">
        <v>307</v>
      </c>
      <c r="K970">
        <v>-7941515262</v>
      </c>
      <c r="L970" t="s">
        <v>19</v>
      </c>
      <c r="M970" t="b">
        <v>0</v>
      </c>
      <c r="N970">
        <v>2330.1943999999999</v>
      </c>
    </row>
    <row r="971" spans="1:14" x14ac:dyDescent="0.25">
      <c r="A971" t="s">
        <v>2052</v>
      </c>
      <c r="B971" t="s">
        <v>35</v>
      </c>
      <c r="C971" t="s">
        <v>41</v>
      </c>
      <c r="D971">
        <v>30</v>
      </c>
      <c r="E971" s="4" t="s">
        <v>2139</v>
      </c>
      <c r="F971" s="4" t="s">
        <v>2140</v>
      </c>
      <c r="G971" t="s">
        <v>16</v>
      </c>
      <c r="H971" s="1">
        <v>44344</v>
      </c>
      <c r="I971" s="4">
        <v>84253.9</v>
      </c>
      <c r="J971" t="s">
        <v>167</v>
      </c>
      <c r="K971">
        <v>-8409112251</v>
      </c>
      <c r="L971" t="s">
        <v>25</v>
      </c>
      <c r="M971" t="b">
        <v>1</v>
      </c>
      <c r="N971">
        <v>8425.39</v>
      </c>
    </row>
    <row r="972" spans="1:14" x14ac:dyDescent="0.25">
      <c r="A972" t="s">
        <v>2054</v>
      </c>
      <c r="B972" t="s">
        <v>61</v>
      </c>
      <c r="C972" t="s">
        <v>47</v>
      </c>
      <c r="D972">
        <v>25</v>
      </c>
      <c r="E972" s="4" t="s">
        <v>2143</v>
      </c>
      <c r="F972" s="4" t="s">
        <v>2142</v>
      </c>
      <c r="G972" t="s">
        <v>16</v>
      </c>
      <c r="H972" s="1">
        <v>45531</v>
      </c>
      <c r="I972" s="4">
        <v>54776.01</v>
      </c>
      <c r="J972" t="s">
        <v>100</v>
      </c>
      <c r="K972">
        <v>-8837505660</v>
      </c>
      <c r="L972" t="s">
        <v>45</v>
      </c>
      <c r="M972" t="b">
        <v>0</v>
      </c>
      <c r="N972">
        <v>0</v>
      </c>
    </row>
    <row r="973" spans="1:14" x14ac:dyDescent="0.25">
      <c r="A973" t="s">
        <v>2056</v>
      </c>
      <c r="B973" t="s">
        <v>61</v>
      </c>
      <c r="C973" t="s">
        <v>14</v>
      </c>
      <c r="D973">
        <v>40</v>
      </c>
      <c r="E973" s="4" t="s">
        <v>2145</v>
      </c>
      <c r="F973" s="4" t="s">
        <v>2142</v>
      </c>
      <c r="G973" t="s">
        <v>36</v>
      </c>
      <c r="H973" s="1">
        <v>44143</v>
      </c>
      <c r="I973" s="4">
        <v>71192.679999999993</v>
      </c>
      <c r="J973" t="s">
        <v>200</v>
      </c>
      <c r="K973">
        <v>-8632397912</v>
      </c>
      <c r="L973" t="s">
        <v>19</v>
      </c>
      <c r="M973" t="b">
        <v>0</v>
      </c>
      <c r="N973">
        <v>1423.8535999999999</v>
      </c>
    </row>
    <row r="974" spans="1:14" x14ac:dyDescent="0.25">
      <c r="A974" t="s">
        <v>2058</v>
      </c>
      <c r="B974" t="s">
        <v>13</v>
      </c>
      <c r="C974" t="s">
        <v>142</v>
      </c>
      <c r="E974" s="4" t="s">
        <v>2139</v>
      </c>
      <c r="F974" s="4" t="s">
        <v>2144</v>
      </c>
      <c r="G974" t="s">
        <v>16</v>
      </c>
      <c r="H974" s="1">
        <v>44432</v>
      </c>
      <c r="I974" s="4">
        <v>96346.53</v>
      </c>
      <c r="J974" t="s">
        <v>144</v>
      </c>
      <c r="K974">
        <v>-7876553006</v>
      </c>
      <c r="L974" t="s">
        <v>19</v>
      </c>
      <c r="M974" t="b">
        <v>1</v>
      </c>
      <c r="N974">
        <v>1926.9305999999999</v>
      </c>
    </row>
    <row r="975" spans="1:14" x14ac:dyDescent="0.25">
      <c r="A975" t="s">
        <v>2060</v>
      </c>
      <c r="B975" t="s">
        <v>35</v>
      </c>
      <c r="C975" t="s">
        <v>41</v>
      </c>
      <c r="E975" s="4" t="s">
        <v>2147</v>
      </c>
      <c r="F975" s="4" t="s">
        <v>2148</v>
      </c>
      <c r="G975" t="s">
        <v>30</v>
      </c>
      <c r="H975" s="1">
        <v>43867</v>
      </c>
      <c r="I975" s="4">
        <v>116680.63</v>
      </c>
      <c r="J975" t="s">
        <v>167</v>
      </c>
      <c r="K975">
        <v>-3095055604</v>
      </c>
      <c r="L975" t="s">
        <v>25</v>
      </c>
      <c r="M975" t="b">
        <v>1</v>
      </c>
      <c r="N975">
        <v>11668.063000000002</v>
      </c>
    </row>
    <row r="976" spans="1:14" x14ac:dyDescent="0.25">
      <c r="A976" t="s">
        <v>2062</v>
      </c>
      <c r="B976" t="s">
        <v>80</v>
      </c>
      <c r="C976" t="s">
        <v>21</v>
      </c>
      <c r="D976">
        <v>25</v>
      </c>
      <c r="E976" s="4" t="s">
        <v>2139</v>
      </c>
      <c r="F976" s="4" t="s">
        <v>2144</v>
      </c>
      <c r="G976" t="s">
        <v>36</v>
      </c>
      <c r="H976" s="1">
        <v>45577</v>
      </c>
      <c r="I976" s="4">
        <v>76343.56</v>
      </c>
      <c r="J976" t="s">
        <v>240</v>
      </c>
      <c r="K976">
        <v>-7121988191</v>
      </c>
      <c r="L976" t="s">
        <v>25</v>
      </c>
      <c r="M976" t="b">
        <v>0</v>
      </c>
      <c r="N976">
        <v>7634.3559999999998</v>
      </c>
    </row>
    <row r="977" spans="1:14" x14ac:dyDescent="0.25">
      <c r="A977" t="s">
        <v>2064</v>
      </c>
      <c r="B977" t="s">
        <v>27</v>
      </c>
      <c r="C977" t="s">
        <v>62</v>
      </c>
      <c r="D977">
        <v>30</v>
      </c>
      <c r="E977" s="4" t="s">
        <v>2145</v>
      </c>
      <c r="F977" s="4" t="s">
        <v>2142</v>
      </c>
      <c r="G977" t="s">
        <v>36</v>
      </c>
      <c r="H977" s="1">
        <v>45642</v>
      </c>
      <c r="I977" s="4">
        <v>99424.14</v>
      </c>
      <c r="J977" t="s">
        <v>177</v>
      </c>
      <c r="K977">
        <v>-7788519052</v>
      </c>
      <c r="L977" t="s">
        <v>25</v>
      </c>
      <c r="M977" t="b">
        <v>0</v>
      </c>
      <c r="N977">
        <v>9942.4140000000007</v>
      </c>
    </row>
    <row r="978" spans="1:14" x14ac:dyDescent="0.25">
      <c r="A978" t="s">
        <v>2066</v>
      </c>
      <c r="B978" t="s">
        <v>61</v>
      </c>
      <c r="C978" t="s">
        <v>47</v>
      </c>
      <c r="D978">
        <v>35</v>
      </c>
      <c r="E978" s="4" t="s">
        <v>2137</v>
      </c>
      <c r="F978" s="4" t="s">
        <v>2144</v>
      </c>
      <c r="G978" t="s">
        <v>36</v>
      </c>
      <c r="H978" s="1">
        <v>45395</v>
      </c>
      <c r="I978" s="4">
        <v>57656.74</v>
      </c>
      <c r="J978" t="s">
        <v>100</v>
      </c>
      <c r="K978">
        <v>-4864010423</v>
      </c>
      <c r="L978" t="s">
        <v>33</v>
      </c>
      <c r="M978" t="b">
        <v>1</v>
      </c>
      <c r="N978">
        <v>2882.837</v>
      </c>
    </row>
    <row r="979" spans="1:14" x14ac:dyDescent="0.25">
      <c r="A979" t="s">
        <v>2068</v>
      </c>
      <c r="B979" t="s">
        <v>75</v>
      </c>
      <c r="C979" t="s">
        <v>47</v>
      </c>
      <c r="D979">
        <v>40</v>
      </c>
      <c r="E979" s="4" t="s">
        <v>2145</v>
      </c>
      <c r="F979" s="4" t="s">
        <v>2146</v>
      </c>
      <c r="G979" t="s">
        <v>30</v>
      </c>
      <c r="H979" s="1">
        <v>43945</v>
      </c>
      <c r="I979" s="4">
        <v>77396.94</v>
      </c>
      <c r="J979" t="s">
        <v>300</v>
      </c>
      <c r="K979">
        <v>-6245618516</v>
      </c>
      <c r="L979" t="s">
        <v>25</v>
      </c>
      <c r="M979" t="b">
        <v>1</v>
      </c>
      <c r="N979">
        <v>7739.6940000000004</v>
      </c>
    </row>
    <row r="980" spans="1:14" x14ac:dyDescent="0.25">
      <c r="A980" t="s">
        <v>2070</v>
      </c>
      <c r="B980" t="s">
        <v>80</v>
      </c>
      <c r="C980" t="s">
        <v>47</v>
      </c>
      <c r="E980" s="4" t="s">
        <v>2137</v>
      </c>
      <c r="F980" s="4" t="s">
        <v>2138</v>
      </c>
      <c r="G980" t="s">
        <v>36</v>
      </c>
      <c r="H980" s="1">
        <v>44487</v>
      </c>
      <c r="I980" s="4">
        <v>54299.68</v>
      </c>
      <c r="J980" t="s">
        <v>96</v>
      </c>
      <c r="K980">
        <v>-4460045211</v>
      </c>
      <c r="L980" t="s">
        <v>19</v>
      </c>
      <c r="M980" t="b">
        <v>0</v>
      </c>
      <c r="N980">
        <v>1085.9936</v>
      </c>
    </row>
    <row r="981" spans="1:14" x14ac:dyDescent="0.25">
      <c r="A981" t="s">
        <v>2072</v>
      </c>
      <c r="B981" t="s">
        <v>61</v>
      </c>
      <c r="C981" t="s">
        <v>106</v>
      </c>
      <c r="D981">
        <v>35</v>
      </c>
      <c r="E981" s="4" t="s">
        <v>2147</v>
      </c>
      <c r="F981" s="4" t="s">
        <v>2142</v>
      </c>
      <c r="G981" t="s">
        <v>30</v>
      </c>
      <c r="H981" s="1">
        <v>43886</v>
      </c>
      <c r="I981" s="4">
        <v>103563.58</v>
      </c>
      <c r="J981" t="s">
        <v>607</v>
      </c>
      <c r="K981">
        <v>-8991511454</v>
      </c>
      <c r="L981" t="s">
        <v>25</v>
      </c>
      <c r="M981" t="b">
        <v>1</v>
      </c>
      <c r="N981">
        <v>10356.358</v>
      </c>
    </row>
    <row r="982" spans="1:14" x14ac:dyDescent="0.25">
      <c r="A982" t="s">
        <v>2074</v>
      </c>
      <c r="B982" t="s">
        <v>80</v>
      </c>
      <c r="C982" t="s">
        <v>21</v>
      </c>
      <c r="D982">
        <v>25</v>
      </c>
      <c r="E982" s="4" t="s">
        <v>2139</v>
      </c>
      <c r="F982" s="4" t="s">
        <v>2138</v>
      </c>
      <c r="G982" t="s">
        <v>36</v>
      </c>
      <c r="H982" s="1">
        <v>44674</v>
      </c>
      <c r="I982" s="4">
        <v>74588.850000000006</v>
      </c>
      <c r="J982" t="s">
        <v>240</v>
      </c>
      <c r="K982">
        <v>-1293913043</v>
      </c>
      <c r="L982" t="s">
        <v>19</v>
      </c>
      <c r="M982" t="b">
        <v>0</v>
      </c>
      <c r="N982">
        <v>1491.777</v>
      </c>
    </row>
    <row r="983" spans="1:14" x14ac:dyDescent="0.25">
      <c r="A983" t="s">
        <v>2076</v>
      </c>
      <c r="B983" t="s">
        <v>67</v>
      </c>
      <c r="C983" t="s">
        <v>47</v>
      </c>
      <c r="D983">
        <v>30</v>
      </c>
      <c r="E983" s="4" t="s">
        <v>2137</v>
      </c>
      <c r="F983" s="4" t="s">
        <v>2138</v>
      </c>
      <c r="G983" t="s">
        <v>30</v>
      </c>
      <c r="H983" s="1">
        <v>44004</v>
      </c>
      <c r="I983" s="4">
        <v>113727.23</v>
      </c>
      <c r="J983" t="s">
        <v>118</v>
      </c>
      <c r="K983">
        <v>-8818984840</v>
      </c>
      <c r="L983" t="s">
        <v>45</v>
      </c>
      <c r="M983" t="b">
        <v>0</v>
      </c>
      <c r="N983">
        <v>0</v>
      </c>
    </row>
    <row r="984" spans="1:14" x14ac:dyDescent="0.25">
      <c r="A984" t="s">
        <v>2078</v>
      </c>
      <c r="B984" t="s">
        <v>35</v>
      </c>
      <c r="C984" t="s">
        <v>21</v>
      </c>
      <c r="D984">
        <v>25</v>
      </c>
      <c r="E984" s="4" t="s">
        <v>2147</v>
      </c>
      <c r="F984" s="4" t="s">
        <v>2146</v>
      </c>
      <c r="G984" t="s">
        <v>16</v>
      </c>
      <c r="H984" s="1">
        <v>44933</v>
      </c>
      <c r="I984" s="4">
        <v>72828.179999999993</v>
      </c>
      <c r="J984" t="s">
        <v>183</v>
      </c>
      <c r="K984">
        <v>-6046154020</v>
      </c>
      <c r="L984" t="s">
        <v>33</v>
      </c>
      <c r="M984" t="b">
        <v>0</v>
      </c>
      <c r="N984">
        <v>3641.4089999999997</v>
      </c>
    </row>
    <row r="985" spans="1:14" x14ac:dyDescent="0.25">
      <c r="A985" t="s">
        <v>2080</v>
      </c>
      <c r="B985" t="s">
        <v>80</v>
      </c>
      <c r="C985" t="s">
        <v>28</v>
      </c>
      <c r="E985" s="4" t="s">
        <v>2145</v>
      </c>
      <c r="F985" s="4" t="s">
        <v>2144</v>
      </c>
      <c r="G985" t="s">
        <v>36</v>
      </c>
      <c r="H985" s="1">
        <v>43872</v>
      </c>
      <c r="I985" s="4">
        <v>98717.09</v>
      </c>
      <c r="J985" t="s">
        <v>89</v>
      </c>
      <c r="K985">
        <v>-1901707567</v>
      </c>
      <c r="L985" t="s">
        <v>45</v>
      </c>
      <c r="M985" t="b">
        <v>0</v>
      </c>
      <c r="N985">
        <v>0</v>
      </c>
    </row>
    <row r="986" spans="1:14" x14ac:dyDescent="0.25">
      <c r="A986" t="s">
        <v>2082</v>
      </c>
      <c r="B986" t="s">
        <v>40</v>
      </c>
      <c r="C986" t="s">
        <v>47</v>
      </c>
      <c r="D986">
        <v>40</v>
      </c>
      <c r="E986" s="4" t="s">
        <v>2145</v>
      </c>
      <c r="F986" s="4" t="s">
        <v>2144</v>
      </c>
      <c r="G986" t="s">
        <v>36</v>
      </c>
      <c r="H986" s="1">
        <v>45003</v>
      </c>
      <c r="I986" s="4">
        <v>56840.800000000003</v>
      </c>
      <c r="J986" t="s">
        <v>214</v>
      </c>
      <c r="K986">
        <v>-1429831521</v>
      </c>
      <c r="L986" t="s">
        <v>45</v>
      </c>
      <c r="M986" t="b">
        <v>1</v>
      </c>
      <c r="N986">
        <v>0</v>
      </c>
    </row>
    <row r="987" spans="1:14" x14ac:dyDescent="0.25">
      <c r="A987" t="s">
        <v>2084</v>
      </c>
      <c r="B987" t="s">
        <v>67</v>
      </c>
      <c r="C987" t="s">
        <v>62</v>
      </c>
      <c r="D987">
        <v>35</v>
      </c>
      <c r="E987" s="4" t="s">
        <v>2139</v>
      </c>
      <c r="F987" s="4" t="s">
        <v>2148</v>
      </c>
      <c r="G987" t="s">
        <v>30</v>
      </c>
      <c r="H987" s="1">
        <v>44526</v>
      </c>
      <c r="I987" s="4">
        <v>61663.91</v>
      </c>
      <c r="J987" t="s">
        <v>257</v>
      </c>
      <c r="K987">
        <v>-9107322835</v>
      </c>
      <c r="L987" t="s">
        <v>19</v>
      </c>
      <c r="M987" t="b">
        <v>1</v>
      </c>
      <c r="N987">
        <v>1233.2782000000002</v>
      </c>
    </row>
    <row r="988" spans="1:14" x14ac:dyDescent="0.25">
      <c r="A988" t="s">
        <v>2086</v>
      </c>
      <c r="B988" t="s">
        <v>80</v>
      </c>
      <c r="C988" t="s">
        <v>21</v>
      </c>
      <c r="D988">
        <v>30</v>
      </c>
      <c r="E988" s="4" t="s">
        <v>2139</v>
      </c>
      <c r="F988" s="4" t="s">
        <v>2142</v>
      </c>
      <c r="G988" t="s">
        <v>16</v>
      </c>
      <c r="H988" s="1">
        <v>45552</v>
      </c>
      <c r="I988" s="4">
        <v>109523.4</v>
      </c>
      <c r="J988" t="s">
        <v>240</v>
      </c>
      <c r="K988">
        <v>-849378305</v>
      </c>
      <c r="L988" t="s">
        <v>45</v>
      </c>
      <c r="M988" t="b">
        <v>1</v>
      </c>
      <c r="N988">
        <v>0</v>
      </c>
    </row>
    <row r="989" spans="1:14" x14ac:dyDescent="0.25">
      <c r="A989" t="s">
        <v>2088</v>
      </c>
      <c r="B989" t="s">
        <v>35</v>
      </c>
      <c r="C989" t="s">
        <v>21</v>
      </c>
      <c r="D989">
        <v>25</v>
      </c>
      <c r="E989" s="4" t="s">
        <v>2147</v>
      </c>
      <c r="F989" s="4" t="s">
        <v>2148</v>
      </c>
      <c r="G989" t="s">
        <v>36</v>
      </c>
      <c r="H989" s="1">
        <v>45478</v>
      </c>
      <c r="I989" s="4">
        <v>65812.02</v>
      </c>
      <c r="J989" t="s">
        <v>183</v>
      </c>
      <c r="K989">
        <v>-3963845268</v>
      </c>
      <c r="L989" t="s">
        <v>19</v>
      </c>
      <c r="M989" t="b">
        <v>1</v>
      </c>
      <c r="N989">
        <v>1316.2404000000001</v>
      </c>
    </row>
    <row r="990" spans="1:14" x14ac:dyDescent="0.25">
      <c r="A990" t="s">
        <v>2090</v>
      </c>
      <c r="B990" t="s">
        <v>13</v>
      </c>
      <c r="C990" t="s">
        <v>62</v>
      </c>
      <c r="E990" s="4" t="s">
        <v>2143</v>
      </c>
      <c r="F990" s="4" t="s">
        <v>2148</v>
      </c>
      <c r="G990" t="s">
        <v>36</v>
      </c>
      <c r="H990" s="1">
        <v>44390</v>
      </c>
      <c r="I990" s="4">
        <v>54708.88</v>
      </c>
      <c r="J990" t="s">
        <v>237</v>
      </c>
      <c r="K990">
        <v>-6944391648</v>
      </c>
      <c r="L990" t="s">
        <v>25</v>
      </c>
      <c r="M990" t="b">
        <v>1</v>
      </c>
      <c r="N990">
        <v>5470.8879999999999</v>
      </c>
    </row>
    <row r="991" spans="1:14" x14ac:dyDescent="0.25">
      <c r="A991" t="s">
        <v>2092</v>
      </c>
      <c r="B991" t="s">
        <v>75</v>
      </c>
      <c r="C991" t="s">
        <v>47</v>
      </c>
      <c r="D991">
        <v>40</v>
      </c>
      <c r="E991" s="4" t="s">
        <v>2141</v>
      </c>
      <c r="F991" s="4" t="s">
        <v>2138</v>
      </c>
      <c r="G991" t="s">
        <v>16</v>
      </c>
      <c r="H991" s="1">
        <v>45165</v>
      </c>
      <c r="I991" s="4">
        <v>107661.73</v>
      </c>
      <c r="J991" t="s">
        <v>300</v>
      </c>
      <c r="K991">
        <v>-7016934291</v>
      </c>
      <c r="L991" t="s">
        <v>25</v>
      </c>
      <c r="M991" t="b">
        <v>1</v>
      </c>
      <c r="N991">
        <v>10766.173000000001</v>
      </c>
    </row>
    <row r="992" spans="1:14" x14ac:dyDescent="0.25">
      <c r="A992" t="s">
        <v>2094</v>
      </c>
      <c r="B992" t="s">
        <v>35</v>
      </c>
      <c r="C992" t="s">
        <v>62</v>
      </c>
      <c r="D992">
        <v>40</v>
      </c>
      <c r="E992" s="4" t="s">
        <v>2137</v>
      </c>
      <c r="F992" s="4" t="s">
        <v>2148</v>
      </c>
      <c r="G992" t="s">
        <v>36</v>
      </c>
      <c r="H992" s="1">
        <v>44240</v>
      </c>
      <c r="I992" s="4">
        <v>79002</v>
      </c>
      <c r="J992" t="s">
        <v>380</v>
      </c>
      <c r="K992">
        <v>-9132033015</v>
      </c>
      <c r="L992" t="s">
        <v>19</v>
      </c>
      <c r="M992" t="b">
        <v>1</v>
      </c>
      <c r="N992">
        <v>1580.04</v>
      </c>
    </row>
    <row r="993" spans="1:14" x14ac:dyDescent="0.25">
      <c r="A993" t="s">
        <v>2096</v>
      </c>
      <c r="B993" t="s">
        <v>75</v>
      </c>
      <c r="C993" t="s">
        <v>21</v>
      </c>
      <c r="E993" s="4" t="s">
        <v>2141</v>
      </c>
      <c r="F993" s="4" t="s">
        <v>2140</v>
      </c>
      <c r="G993" t="s">
        <v>30</v>
      </c>
      <c r="H993" s="1">
        <v>45271</v>
      </c>
      <c r="I993" s="4">
        <v>86135.69</v>
      </c>
      <c r="J993" t="s">
        <v>480</v>
      </c>
      <c r="K993">
        <v>-2341903105</v>
      </c>
      <c r="L993" t="s">
        <v>25</v>
      </c>
      <c r="M993" t="b">
        <v>0</v>
      </c>
      <c r="N993">
        <v>8613.5690000000013</v>
      </c>
    </row>
    <row r="994" spans="1:14" x14ac:dyDescent="0.25">
      <c r="A994" t="s">
        <v>2098</v>
      </c>
      <c r="B994" t="s">
        <v>75</v>
      </c>
      <c r="C994" t="s">
        <v>62</v>
      </c>
      <c r="D994">
        <v>30</v>
      </c>
      <c r="E994" s="4" t="s">
        <v>2137</v>
      </c>
      <c r="F994" s="4" t="s">
        <v>2142</v>
      </c>
      <c r="G994" t="s">
        <v>36</v>
      </c>
      <c r="H994" s="1">
        <v>44379</v>
      </c>
      <c r="I994" s="4">
        <v>115601.4</v>
      </c>
      <c r="J994" t="s">
        <v>132</v>
      </c>
      <c r="K994">
        <v>-1537221555</v>
      </c>
      <c r="L994" t="s">
        <v>33</v>
      </c>
      <c r="M994" t="b">
        <v>1</v>
      </c>
      <c r="N994">
        <v>5780.07</v>
      </c>
    </row>
    <row r="995" spans="1:14" x14ac:dyDescent="0.25">
      <c r="A995" t="s">
        <v>2100</v>
      </c>
      <c r="B995" t="s">
        <v>80</v>
      </c>
      <c r="C995" t="s">
        <v>21</v>
      </c>
      <c r="E995" s="4" t="s">
        <v>2137</v>
      </c>
      <c r="F995" s="4" t="s">
        <v>2142</v>
      </c>
      <c r="G995" t="s">
        <v>16</v>
      </c>
      <c r="H995" s="1">
        <v>44900</v>
      </c>
      <c r="I995" s="4">
        <v>64045.36</v>
      </c>
      <c r="J995" t="s">
        <v>240</v>
      </c>
      <c r="K995">
        <v>-6847323652</v>
      </c>
      <c r="L995" t="s">
        <v>45</v>
      </c>
      <c r="M995" t="b">
        <v>1</v>
      </c>
      <c r="N995">
        <v>0</v>
      </c>
    </row>
    <row r="996" spans="1:14" x14ac:dyDescent="0.25">
      <c r="A996" t="s">
        <v>2102</v>
      </c>
      <c r="B996" t="s">
        <v>67</v>
      </c>
      <c r="C996" t="s">
        <v>21</v>
      </c>
      <c r="D996">
        <v>30</v>
      </c>
      <c r="E996" s="4" t="s">
        <v>2137</v>
      </c>
      <c r="F996" s="4" t="s">
        <v>2142</v>
      </c>
      <c r="G996" t="s">
        <v>36</v>
      </c>
      <c r="H996" s="1">
        <v>45559</v>
      </c>
      <c r="I996" s="4">
        <v>80477.210000000006</v>
      </c>
      <c r="J996" t="s">
        <v>265</v>
      </c>
      <c r="K996">
        <v>-3774604066</v>
      </c>
      <c r="L996" t="s">
        <v>33</v>
      </c>
      <c r="M996" t="b">
        <v>0</v>
      </c>
      <c r="N996">
        <v>4023.8605000000007</v>
      </c>
    </row>
    <row r="997" spans="1:14" x14ac:dyDescent="0.25">
      <c r="A997" t="s">
        <v>2104</v>
      </c>
      <c r="B997" t="s">
        <v>13</v>
      </c>
      <c r="C997" t="s">
        <v>28</v>
      </c>
      <c r="D997">
        <v>30</v>
      </c>
      <c r="E997" s="4" t="s">
        <v>2139</v>
      </c>
      <c r="F997" s="4" t="s">
        <v>2138</v>
      </c>
      <c r="G997" t="s">
        <v>36</v>
      </c>
      <c r="H997" s="1">
        <v>45154</v>
      </c>
      <c r="I997" s="4">
        <v>61240.9</v>
      </c>
      <c r="J997" t="s">
        <v>56</v>
      </c>
      <c r="K997">
        <v>-2007843613</v>
      </c>
      <c r="L997" t="s">
        <v>45</v>
      </c>
      <c r="M997" t="b">
        <v>1</v>
      </c>
      <c r="N997">
        <v>0</v>
      </c>
    </row>
    <row r="998" spans="1:14" x14ac:dyDescent="0.25">
      <c r="A998" t="s">
        <v>2106</v>
      </c>
      <c r="B998" t="s">
        <v>67</v>
      </c>
      <c r="C998" t="s">
        <v>142</v>
      </c>
      <c r="D998">
        <v>40</v>
      </c>
      <c r="E998" s="4" t="s">
        <v>2141</v>
      </c>
      <c r="F998" s="4" t="s">
        <v>2140</v>
      </c>
      <c r="G998" t="s">
        <v>16</v>
      </c>
      <c r="H998" s="1">
        <v>44224</v>
      </c>
      <c r="I998" s="4">
        <v>51939.29</v>
      </c>
      <c r="J998" t="s">
        <v>402</v>
      </c>
      <c r="K998">
        <v>-2442607818</v>
      </c>
      <c r="L998" t="s">
        <v>25</v>
      </c>
      <c r="M998" t="b">
        <v>1</v>
      </c>
      <c r="N998">
        <v>5193.9290000000001</v>
      </c>
    </row>
    <row r="999" spans="1:14" x14ac:dyDescent="0.25">
      <c r="A999" t="s">
        <v>2108</v>
      </c>
      <c r="B999" t="s">
        <v>35</v>
      </c>
      <c r="C999" t="s">
        <v>21</v>
      </c>
      <c r="D999">
        <v>40</v>
      </c>
      <c r="E999" s="4" t="s">
        <v>2139</v>
      </c>
      <c r="F999" s="4" t="s">
        <v>2148</v>
      </c>
      <c r="G999" t="s">
        <v>36</v>
      </c>
      <c r="H999" s="1">
        <v>44695</v>
      </c>
      <c r="I999" s="4">
        <v>95284.54</v>
      </c>
      <c r="J999" t="s">
        <v>183</v>
      </c>
      <c r="K999">
        <v>-7543734763</v>
      </c>
      <c r="L999" t="s">
        <v>33</v>
      </c>
      <c r="M999" t="b">
        <v>0</v>
      </c>
      <c r="N999">
        <v>4764.2269999999999</v>
      </c>
    </row>
    <row r="1000" spans="1:14" x14ac:dyDescent="0.25">
      <c r="A1000" t="s">
        <v>2110</v>
      </c>
      <c r="B1000" t="s">
        <v>61</v>
      </c>
      <c r="C1000" t="s">
        <v>47</v>
      </c>
      <c r="D1000">
        <v>35</v>
      </c>
      <c r="E1000" s="4" t="s">
        <v>2141</v>
      </c>
      <c r="F1000" s="4" t="s">
        <v>2140</v>
      </c>
      <c r="G1000" t="s">
        <v>36</v>
      </c>
      <c r="H1000" s="1">
        <v>45448</v>
      </c>
      <c r="I1000" s="4">
        <v>106247.67</v>
      </c>
      <c r="J1000" t="s">
        <v>100</v>
      </c>
      <c r="K1000">
        <v>-2737203762</v>
      </c>
      <c r="L1000" t="s">
        <v>25</v>
      </c>
      <c r="M1000" t="b">
        <v>1</v>
      </c>
      <c r="N1000">
        <v>10624.767</v>
      </c>
    </row>
    <row r="1001" spans="1:14" x14ac:dyDescent="0.25">
      <c r="A1001" t="s">
        <v>2112</v>
      </c>
      <c r="B1001" t="s">
        <v>61</v>
      </c>
      <c r="C1001" t="s">
        <v>41</v>
      </c>
      <c r="D1001">
        <v>25</v>
      </c>
      <c r="E1001" s="4" t="s">
        <v>2137</v>
      </c>
      <c r="F1001" s="4" t="s">
        <v>2144</v>
      </c>
      <c r="G1001" t="s">
        <v>16</v>
      </c>
      <c r="H1001" s="1">
        <v>43944</v>
      </c>
      <c r="I1001" s="4">
        <v>110170.88</v>
      </c>
      <c r="J1001" t="s">
        <v>104</v>
      </c>
      <c r="K1001">
        <v>-8821458413</v>
      </c>
      <c r="L1001" t="s">
        <v>45</v>
      </c>
      <c r="M1001" t="b">
        <v>1</v>
      </c>
      <c r="N1001">
        <v>0</v>
      </c>
    </row>
    <row r="1002" spans="1:14" x14ac:dyDescent="0.25">
      <c r="A1002" t="s">
        <v>2114</v>
      </c>
      <c r="B1002" t="s">
        <v>61</v>
      </c>
      <c r="C1002" t="s">
        <v>106</v>
      </c>
      <c r="D1002">
        <v>25</v>
      </c>
      <c r="E1002" s="4" t="s">
        <v>2147</v>
      </c>
      <c r="F1002" s="4" t="s">
        <v>2142</v>
      </c>
      <c r="G1002" t="s">
        <v>30</v>
      </c>
      <c r="H1002" s="1">
        <v>45453</v>
      </c>
      <c r="I1002" s="4">
        <v>52615.44</v>
      </c>
      <c r="J1002" t="s">
        <v>607</v>
      </c>
      <c r="K1002">
        <v>-8460191343</v>
      </c>
      <c r="L1002" t="s">
        <v>19</v>
      </c>
      <c r="M1002" t="b">
        <v>1</v>
      </c>
      <c r="N1002">
        <v>1052.3088</v>
      </c>
    </row>
    <row r="1003" spans="1:14" x14ac:dyDescent="0.25">
      <c r="A1003" t="s">
        <v>2115</v>
      </c>
      <c r="B1003" t="s">
        <v>35</v>
      </c>
      <c r="C1003" t="s">
        <v>14</v>
      </c>
      <c r="D1003">
        <v>30</v>
      </c>
      <c r="E1003" s="4" t="s">
        <v>2137</v>
      </c>
      <c r="F1003" s="4" t="s">
        <v>2148</v>
      </c>
      <c r="G1003" t="s">
        <v>36</v>
      </c>
      <c r="H1003" s="1">
        <v>43939</v>
      </c>
      <c r="I1003" s="4">
        <v>82547.259999999995</v>
      </c>
      <c r="J1003" t="s">
        <v>38</v>
      </c>
      <c r="K1003">
        <v>-3899827801</v>
      </c>
      <c r="L1003" t="s">
        <v>19</v>
      </c>
      <c r="M1003" t="b">
        <v>0</v>
      </c>
      <c r="N1003">
        <v>1650.9451999999999</v>
      </c>
    </row>
    <row r="1004" spans="1:14" x14ac:dyDescent="0.25">
      <c r="A1004" t="s">
        <v>2116</v>
      </c>
      <c r="B1004" t="s">
        <v>13</v>
      </c>
      <c r="C1004" t="s">
        <v>142</v>
      </c>
      <c r="D1004">
        <v>35</v>
      </c>
      <c r="E1004" s="4" t="s">
        <v>2139</v>
      </c>
      <c r="F1004" s="4" t="s">
        <v>2148</v>
      </c>
      <c r="G1004" t="s">
        <v>30</v>
      </c>
      <c r="H1004" s="1">
        <v>44011</v>
      </c>
      <c r="I1004" s="4">
        <v>63049.22</v>
      </c>
      <c r="J1004" t="s">
        <v>144</v>
      </c>
      <c r="K1004">
        <v>-586950731</v>
      </c>
      <c r="L1004" t="s">
        <v>33</v>
      </c>
      <c r="M1004" t="b">
        <v>1</v>
      </c>
      <c r="N1004">
        <v>3152.4610000000002</v>
      </c>
    </row>
    <row r="1005" spans="1:14" x14ac:dyDescent="0.25">
      <c r="A1005" t="s">
        <v>2117</v>
      </c>
      <c r="B1005" t="s">
        <v>40</v>
      </c>
      <c r="C1005" t="s">
        <v>142</v>
      </c>
      <c r="D1005">
        <v>35</v>
      </c>
      <c r="E1005" s="4" t="s">
        <v>2147</v>
      </c>
      <c r="F1005" s="4" t="s">
        <v>2138</v>
      </c>
      <c r="G1005" t="s">
        <v>30</v>
      </c>
      <c r="H1005" s="1">
        <v>44972</v>
      </c>
      <c r="I1005" s="4">
        <v>115229.12</v>
      </c>
      <c r="J1005" t="s">
        <v>163</v>
      </c>
      <c r="K1005">
        <v>-1464493698</v>
      </c>
      <c r="L1005" t="s">
        <v>25</v>
      </c>
      <c r="M1005" t="b">
        <v>1</v>
      </c>
      <c r="N1005">
        <v>11522.912</v>
      </c>
    </row>
    <row r="1006" spans="1:14" x14ac:dyDescent="0.25">
      <c r="A1006" t="s">
        <v>2118</v>
      </c>
      <c r="B1006" t="s">
        <v>80</v>
      </c>
      <c r="C1006" t="s">
        <v>142</v>
      </c>
      <c r="D1006">
        <v>25</v>
      </c>
      <c r="E1006" s="4" t="s">
        <v>2137</v>
      </c>
      <c r="F1006" s="4" t="s">
        <v>2148</v>
      </c>
      <c r="G1006" t="s">
        <v>30</v>
      </c>
      <c r="H1006" s="1">
        <v>45092</v>
      </c>
      <c r="I1006" s="4">
        <v>60687.63</v>
      </c>
      <c r="J1006" t="s">
        <v>160</v>
      </c>
      <c r="K1006">
        <v>-9516793349</v>
      </c>
      <c r="L1006" t="s">
        <v>25</v>
      </c>
      <c r="M1006" t="b">
        <v>0</v>
      </c>
      <c r="N1006">
        <v>6068.7629999999999</v>
      </c>
    </row>
    <row r="1007" spans="1:14" x14ac:dyDescent="0.25">
      <c r="A1007" t="s">
        <v>2119</v>
      </c>
      <c r="B1007" t="s">
        <v>40</v>
      </c>
      <c r="C1007" t="s">
        <v>28</v>
      </c>
      <c r="D1007">
        <v>30</v>
      </c>
      <c r="E1007" s="4" t="s">
        <v>2139</v>
      </c>
      <c r="F1007" s="4" t="s">
        <v>2148</v>
      </c>
      <c r="G1007" t="s">
        <v>36</v>
      </c>
      <c r="H1007" s="1">
        <v>44639</v>
      </c>
      <c r="I1007" s="4">
        <v>67492.73</v>
      </c>
      <c r="J1007" t="s">
        <v>53</v>
      </c>
      <c r="K1007">
        <v>-5573857367</v>
      </c>
      <c r="L1007" t="s">
        <v>33</v>
      </c>
      <c r="M1007" t="b">
        <v>1</v>
      </c>
      <c r="N1007">
        <v>3374.6365000000001</v>
      </c>
    </row>
    <row r="1008" spans="1:14" x14ac:dyDescent="0.25">
      <c r="A1008" t="s">
        <v>2120</v>
      </c>
      <c r="B1008" t="s">
        <v>80</v>
      </c>
      <c r="C1008" t="s">
        <v>21</v>
      </c>
      <c r="E1008" s="4" t="s">
        <v>2147</v>
      </c>
      <c r="F1008" s="4" t="s">
        <v>2148</v>
      </c>
      <c r="G1008" t="s">
        <v>36</v>
      </c>
      <c r="H1008" s="1">
        <v>45224</v>
      </c>
      <c r="I1008" s="4">
        <v>77821.789999999994</v>
      </c>
      <c r="J1008" t="s">
        <v>240</v>
      </c>
      <c r="K1008">
        <v>-119236036</v>
      </c>
      <c r="L1008" t="s">
        <v>19</v>
      </c>
      <c r="M1008" t="b">
        <v>0</v>
      </c>
      <c r="N1008">
        <v>1556.4358</v>
      </c>
    </row>
    <row r="1009" spans="1:14" x14ac:dyDescent="0.25">
      <c r="A1009" t="s">
        <v>2121</v>
      </c>
      <c r="B1009" t="s">
        <v>61</v>
      </c>
      <c r="C1009" t="s">
        <v>28</v>
      </c>
      <c r="D1009">
        <v>35</v>
      </c>
      <c r="E1009" s="4" t="s">
        <v>2137</v>
      </c>
      <c r="F1009" s="4" t="s">
        <v>2140</v>
      </c>
      <c r="G1009" t="s">
        <v>16</v>
      </c>
      <c r="H1009" s="1">
        <v>44756</v>
      </c>
      <c r="I1009" s="4">
        <v>69146.95</v>
      </c>
      <c r="J1009" t="s">
        <v>140</v>
      </c>
      <c r="K1009">
        <v>-6811872332</v>
      </c>
      <c r="L1009" t="s">
        <v>45</v>
      </c>
      <c r="M1009" t="b">
        <v>0</v>
      </c>
      <c r="N1009">
        <v>0</v>
      </c>
    </row>
    <row r="1010" spans="1:14" x14ac:dyDescent="0.25">
      <c r="A1010" t="s">
        <v>2122</v>
      </c>
      <c r="B1010" t="s">
        <v>80</v>
      </c>
      <c r="C1010" t="s">
        <v>21</v>
      </c>
      <c r="D1010">
        <v>35</v>
      </c>
      <c r="E1010" s="4" t="s">
        <v>2141</v>
      </c>
      <c r="F1010" s="4" t="s">
        <v>2142</v>
      </c>
      <c r="G1010" t="s">
        <v>36</v>
      </c>
      <c r="H1010" s="1">
        <v>44632</v>
      </c>
      <c r="I1010" s="4">
        <v>90224.82</v>
      </c>
      <c r="J1010" t="s">
        <v>240</v>
      </c>
      <c r="K1010">
        <v>-5104096148</v>
      </c>
      <c r="L1010" t="s">
        <v>33</v>
      </c>
      <c r="M1010" t="b">
        <v>1</v>
      </c>
      <c r="N1010">
        <v>4511.2410000000009</v>
      </c>
    </row>
    <row r="1011" spans="1:14" x14ac:dyDescent="0.25">
      <c r="A1011" t="s">
        <v>2123</v>
      </c>
      <c r="B1011" t="s">
        <v>67</v>
      </c>
      <c r="C1011" t="s">
        <v>47</v>
      </c>
      <c r="E1011" s="4" t="s">
        <v>2139</v>
      </c>
      <c r="F1011" s="4" t="s">
        <v>2148</v>
      </c>
      <c r="G1011" t="s">
        <v>30</v>
      </c>
      <c r="H1011" s="1">
        <v>45454</v>
      </c>
      <c r="I1011" s="4">
        <v>62603.98</v>
      </c>
      <c r="J1011" t="s">
        <v>118</v>
      </c>
      <c r="K1011">
        <v>-7315391148</v>
      </c>
      <c r="L1011" t="s">
        <v>45</v>
      </c>
      <c r="M1011" t="b">
        <v>0</v>
      </c>
      <c r="N1011">
        <v>0</v>
      </c>
    </row>
    <row r="1012" spans="1:14" x14ac:dyDescent="0.25">
      <c r="A1012" t="s">
        <v>2124</v>
      </c>
      <c r="B1012" t="s">
        <v>13</v>
      </c>
      <c r="C1012" t="s">
        <v>28</v>
      </c>
      <c r="D1012">
        <v>35</v>
      </c>
      <c r="E1012" s="4" t="s">
        <v>2145</v>
      </c>
      <c r="F1012" s="4" t="s">
        <v>2142</v>
      </c>
      <c r="G1012" t="s">
        <v>16</v>
      </c>
      <c r="H1012" s="1">
        <v>45453</v>
      </c>
      <c r="I1012" s="4">
        <v>71148.27</v>
      </c>
      <c r="J1012" t="s">
        <v>56</v>
      </c>
      <c r="K1012">
        <v>-8307482072</v>
      </c>
      <c r="L1012" t="s">
        <v>19</v>
      </c>
      <c r="M1012" t="b">
        <v>0</v>
      </c>
      <c r="N1012">
        <v>1422.9654</v>
      </c>
    </row>
    <row r="1013" spans="1:14" x14ac:dyDescent="0.25">
      <c r="A1013" t="s">
        <v>2125</v>
      </c>
      <c r="B1013" t="s">
        <v>67</v>
      </c>
      <c r="C1013" t="s">
        <v>28</v>
      </c>
      <c r="D1013">
        <v>40</v>
      </c>
      <c r="E1013" s="4" t="s">
        <v>2141</v>
      </c>
      <c r="F1013" s="4" t="s">
        <v>2138</v>
      </c>
      <c r="G1013" t="s">
        <v>36</v>
      </c>
      <c r="H1013" s="1">
        <v>44825</v>
      </c>
      <c r="I1013" s="4">
        <v>52031.74</v>
      </c>
      <c r="J1013" t="s">
        <v>283</v>
      </c>
      <c r="K1013">
        <v>-6511893939</v>
      </c>
      <c r="L1013" t="s">
        <v>25</v>
      </c>
      <c r="M1013" t="b">
        <v>1</v>
      </c>
      <c r="N1013">
        <v>5203.174</v>
      </c>
    </row>
    <row r="1014" spans="1:14" x14ac:dyDescent="0.25">
      <c r="A1014" t="s">
        <v>2126</v>
      </c>
      <c r="B1014" t="s">
        <v>80</v>
      </c>
      <c r="C1014" t="s">
        <v>106</v>
      </c>
      <c r="D1014">
        <v>35</v>
      </c>
      <c r="E1014" s="4" t="s">
        <v>2137</v>
      </c>
      <c r="F1014" s="4" t="s">
        <v>2144</v>
      </c>
      <c r="G1014" t="s">
        <v>36</v>
      </c>
      <c r="H1014" s="1">
        <v>45031</v>
      </c>
      <c r="I1014" s="4"/>
      <c r="J1014" t="s">
        <v>197</v>
      </c>
      <c r="K1014">
        <v>-6557820189</v>
      </c>
      <c r="L1014" t="s">
        <v>19</v>
      </c>
      <c r="M1014" t="b">
        <v>0</v>
      </c>
    </row>
    <row r="1015" spans="1:14" x14ac:dyDescent="0.25">
      <c r="A1015" t="s">
        <v>2127</v>
      </c>
      <c r="B1015" t="s">
        <v>35</v>
      </c>
      <c r="C1015" t="s">
        <v>41</v>
      </c>
      <c r="E1015" s="4" t="s">
        <v>2147</v>
      </c>
      <c r="F1015" s="4" t="s">
        <v>2148</v>
      </c>
      <c r="G1015" t="s">
        <v>30</v>
      </c>
      <c r="H1015" s="1">
        <v>43867</v>
      </c>
      <c r="I1015" s="4">
        <v>116680.63</v>
      </c>
      <c r="J1015" t="s">
        <v>167</v>
      </c>
      <c r="K1015">
        <v>-4322302332</v>
      </c>
      <c r="L1015" t="s">
        <v>33</v>
      </c>
      <c r="M1015" t="b">
        <v>0</v>
      </c>
      <c r="N1015">
        <v>5834.031500000001</v>
      </c>
    </row>
    <row r="1016" spans="1:14" x14ac:dyDescent="0.25">
      <c r="A1016" t="s">
        <v>2128</v>
      </c>
      <c r="B1016" t="s">
        <v>80</v>
      </c>
      <c r="C1016" t="s">
        <v>28</v>
      </c>
      <c r="D1016">
        <v>30</v>
      </c>
      <c r="E1016" s="4" t="s">
        <v>2139</v>
      </c>
      <c r="F1016" s="4" t="s">
        <v>2142</v>
      </c>
      <c r="G1016" t="s">
        <v>30</v>
      </c>
      <c r="H1016" s="1">
        <v>44332</v>
      </c>
      <c r="I1016" s="4">
        <v>51990.98</v>
      </c>
      <c r="J1016" t="s">
        <v>89</v>
      </c>
      <c r="K1016">
        <v>-2470739200</v>
      </c>
      <c r="L1016" t="s">
        <v>25</v>
      </c>
      <c r="M1016" t="b">
        <v>1</v>
      </c>
      <c r="N1016">
        <v>5199.0980000000009</v>
      </c>
    </row>
    <row r="1017" spans="1:14" x14ac:dyDescent="0.25">
      <c r="A1017" t="s">
        <v>2129</v>
      </c>
      <c r="B1017" t="s">
        <v>67</v>
      </c>
      <c r="C1017" t="s">
        <v>106</v>
      </c>
      <c r="D1017">
        <v>30</v>
      </c>
      <c r="E1017" s="4" t="s">
        <v>2147</v>
      </c>
      <c r="F1017" s="4" t="s">
        <v>2138</v>
      </c>
      <c r="G1017" t="s">
        <v>16</v>
      </c>
      <c r="H1017" s="1">
        <v>45157</v>
      </c>
      <c r="I1017" s="4"/>
      <c r="J1017" t="s">
        <v>124</v>
      </c>
      <c r="K1017">
        <v>-3546212759</v>
      </c>
      <c r="L1017" t="s">
        <v>33</v>
      </c>
      <c r="M1017" t="b">
        <v>1</v>
      </c>
    </row>
    <row r="1018" spans="1:14" x14ac:dyDescent="0.25">
      <c r="A1018" t="s">
        <v>2130</v>
      </c>
      <c r="B1018" t="s">
        <v>67</v>
      </c>
      <c r="C1018" t="s">
        <v>62</v>
      </c>
      <c r="D1018">
        <v>30</v>
      </c>
      <c r="E1018" s="4" t="s">
        <v>2143</v>
      </c>
      <c r="F1018" s="4" t="s">
        <v>2140</v>
      </c>
      <c r="G1018" t="s">
        <v>36</v>
      </c>
      <c r="H1018" s="1">
        <v>44507</v>
      </c>
      <c r="I1018" s="4">
        <v>100215.06</v>
      </c>
      <c r="J1018" t="s">
        <v>257</v>
      </c>
      <c r="K1018">
        <v>-2508261122</v>
      </c>
      <c r="L1018" t="s">
        <v>33</v>
      </c>
      <c r="M1018" t="b">
        <v>1</v>
      </c>
      <c r="N1018">
        <v>5010.7530000000006</v>
      </c>
    </row>
    <row r="1019" spans="1:14" x14ac:dyDescent="0.25">
      <c r="A1019" t="s">
        <v>2131</v>
      </c>
      <c r="B1019" t="s">
        <v>61</v>
      </c>
      <c r="C1019" t="s">
        <v>41</v>
      </c>
      <c r="D1019">
        <v>40</v>
      </c>
      <c r="E1019" s="4" t="s">
        <v>2139</v>
      </c>
      <c r="F1019" s="4" t="s">
        <v>2146</v>
      </c>
      <c r="G1019" t="s">
        <v>16</v>
      </c>
      <c r="H1019" s="1">
        <v>45203</v>
      </c>
      <c r="I1019" s="4">
        <v>114587.11</v>
      </c>
      <c r="J1019" t="s">
        <v>104</v>
      </c>
      <c r="K1019">
        <v>-1261632487</v>
      </c>
      <c r="L1019" t="s">
        <v>19</v>
      </c>
      <c r="M1019" t="b">
        <v>0</v>
      </c>
      <c r="N1019">
        <v>2291.7422000000001</v>
      </c>
    </row>
    <row r="1020" spans="1:14" x14ac:dyDescent="0.25">
      <c r="A1020" t="s">
        <v>2132</v>
      </c>
      <c r="B1020" t="s">
        <v>27</v>
      </c>
      <c r="C1020" t="s">
        <v>47</v>
      </c>
      <c r="D1020">
        <v>30</v>
      </c>
      <c r="E1020" s="4" t="s">
        <v>2147</v>
      </c>
      <c r="F1020" s="4" t="s">
        <v>2144</v>
      </c>
      <c r="G1020" t="s">
        <v>36</v>
      </c>
      <c r="H1020" s="1">
        <v>45642</v>
      </c>
      <c r="I1020" s="4">
        <v>71318.789999999994</v>
      </c>
      <c r="J1020" t="s">
        <v>50</v>
      </c>
      <c r="K1020">
        <v>-8995729892</v>
      </c>
      <c r="L1020" t="s">
        <v>33</v>
      </c>
      <c r="M1020" t="b">
        <v>1</v>
      </c>
      <c r="N1020">
        <v>3565.9395</v>
      </c>
    </row>
    <row r="1021" spans="1:14" x14ac:dyDescent="0.25">
      <c r="A1021" t="s">
        <v>2133</v>
      </c>
      <c r="B1021" t="s">
        <v>75</v>
      </c>
      <c r="C1021" t="s">
        <v>28</v>
      </c>
      <c r="D1021">
        <v>30</v>
      </c>
      <c r="E1021" s="4" t="s">
        <v>2137</v>
      </c>
      <c r="F1021" s="4" t="s">
        <v>2148</v>
      </c>
      <c r="G1021" t="s">
        <v>30</v>
      </c>
      <c r="H1021" s="1">
        <v>44249</v>
      </c>
      <c r="I1021" s="4">
        <v>77764.240000000005</v>
      </c>
      <c r="J1021" t="s">
        <v>375</v>
      </c>
      <c r="K1021">
        <v>-7629745492</v>
      </c>
      <c r="L1021" t="s">
        <v>19</v>
      </c>
      <c r="M1021" t="b">
        <v>0</v>
      </c>
      <c r="N1021">
        <v>1555.2848000000001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DC510-BA57-4296-A0BA-C5D7DDAE3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Formula_Cleansing</vt:lpstr>
      <vt:lpstr>PQ_Cleansing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Tasneem</dc:creator>
  <cp:lastModifiedBy>Nida Tasneem</cp:lastModifiedBy>
  <dcterms:created xsi:type="dcterms:W3CDTF">2026-03-31T10:05:12Z</dcterms:created>
  <dcterms:modified xsi:type="dcterms:W3CDTF">2026-03-31T13:19:57Z</dcterms:modified>
</cp:coreProperties>
</file>